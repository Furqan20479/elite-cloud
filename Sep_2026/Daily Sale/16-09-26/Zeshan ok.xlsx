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583AB09-7B17-4E62-A9D9-419B4030FBFA}" xr6:coauthVersionLast="47" xr6:coauthVersionMax="47" xr10:uidLastSave="{00000000-0000-0000-0000-000000000000}"/>
  <bookViews>
    <workbookView xWindow="-110" yWindow="-110" windowWidth="19420" windowHeight="10420" tabRatio="948" firstSheet="3" activeTab="2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3" l="1"/>
  <c r="O21" i="53" s="1"/>
  <c r="P21" i="53" s="1"/>
  <c r="M16" i="48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<sst xmlns="http://schemas.openxmlformats.org/spreadsheetml/2006/main" count="3948" uniqueCount="537">
  <si>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</si>
  <si>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</si>
  <si>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</si>
  <si>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</si>
  <si>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</si>
  <si>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</si>
  <si>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</si>
  <si>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</si>
  <si>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</si>
  <si>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</si>
  <si>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</si>
  <si>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</si>
  <si>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</si>
  <si>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</si>
  <si>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</si>
  <si>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</si>
  <si>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</si>
  <si>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</si>
  <si>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</si>
  <si>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</si>
  <si>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</si>
  <si>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</si>
  <si>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</si>
  <si>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</si>
  <si>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</si>
  <si>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</si>
  <si>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</si>
  <si>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</si>
  <si>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</si>
  <si>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</si>
  <si>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</si>
  <si>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</si>
  <si>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</si>
  <si>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</si>
  <si>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</si>
  <si>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</si>
  <si>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</si>
  <si>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</si>
  <si>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</si>
  <si>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</si>
  <si>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</si>
  <si>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</si>
  <si>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</si>
  <si>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</si>
  <si>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</si>
  <si>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</si>
  <si>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</si>
  <si>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</si>
  <si>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</si>
  <si>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</si>
  <si>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</si>
  <si>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</si>
  <si>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</si>
  <si>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</si>
  <si>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</si>
  <si>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</si>
  <si>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</si>
  <si>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</si>
  <si>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</si>
  <si>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</si>
  <si>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</si>
  <si>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</si>
  <si>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</si>
  <si>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</si>
  <si>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</si>
  <si>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</si>
  <si>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</si>
  <si>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</si>
  <si>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</si>
  <si>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</si>
  <si>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</si>
  <si>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</si>
  <si>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</si>
  <si>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</si>
  <si>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</si>
  <si>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</si>
  <si>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</si>
  <si>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</si>
  <si>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</si>
  <si>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</si>
  <si>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</si>
  <si>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</si>
  <si>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</si>
  <si>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</si>
  <si>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</si>
  <si>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</si>
  <si>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</si>
  <si>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</si>
  <si>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</si>
  <si>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</si>
  <si>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</si>
  <si>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</si>
  <si>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</si>
  <si>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</si>
  <si>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</si>
  <si>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</si>
  <si>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</si>
  <si>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</si>
  <si>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</si>
  <si>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</si>
  <si>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</si>
  <si>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</si>
  <si>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</si>
  <si>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</si>
  <si>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</si>
  <si>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</si>
  <si>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</si>
  <si>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</si>
  <si>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</si>
  <si>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</si>
  <si>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</si>
  <si>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</si>
  <si>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</si>
  <si>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</si>
  <si>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</si>
  <si>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</si>
  <si>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</si>
  <si>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</si>
  <si>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</si>
  <si>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</si>
  <si>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</si>
  <si>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</si>
  <si>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</si>
  <si>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</si>
  <si>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</si>
  <si>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</si>
  <si>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</si>
  <si>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</si>
  <si>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</si>
  <si>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</si>
  <si>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</si>
  <si>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</si>
  <si>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</si>
  <si>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</si>
  <si>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</si>
  <si>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</si>
  <si>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</si>
  <si>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</si>
  <si>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</si>
  <si>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</si>
  <si>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</si>
  <si>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</si>
  <si>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</si>
  <si>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</si>
  <si>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</si>
  <si>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</si>
  <si>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</si>
  <si>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</si>
  <si>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</si>
  <si>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</si>
  <si>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</si>
  <si>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</si>
  <si>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</si>
  <si>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</si>
  <si>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</si>
  <si>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</si>
  <si>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</si>
  <si>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</si>
  <si>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</si>
  <si>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</si>
  <si>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</si>
  <si>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</si>
  <si>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</si>
  <si>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</si>
  <si>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</si>
  <si>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</si>
  <si>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</si>
  <si>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</si>
  <si>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</si>
  <si>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</si>
  <si>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</si>
  <si>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</si>
  <si>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</si>
  <si>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</si>
  <si>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</si>
  <si>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</si>
  <si>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</si>
  <si>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</si>
  <si>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</si>
  <si>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</si>
  <si>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</si>
  <si>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</si>
  <si>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</si>
  <si>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</si>
  <si>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</si>
  <si>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</si>
  <si>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</si>
  <si>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</si>
  <si>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</si>
  <si>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</si>
  <si>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</si>
  <si>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</si>
  <si>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</si>
  <si>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</si>
  <si>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</si>
  <si>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</si>
  <si>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</si>
  <si>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</si>
  <si>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</si>
  <si>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</si>
  <si>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</si>
  <si>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</si>
  <si>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</si>
  <si>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</si>
  <si>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</si>
  <si>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</si>
  <si>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</si>
  <si>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</si>
  <si>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</si>
  <si>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</si>
  <si>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</si>
  <si>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</si>
  <si>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</si>
  <si>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</si>
  <si>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</si>
  <si>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</si>
  <si>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</si>
  <si>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</si>
  <si>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</si>
  <si>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</si>
  <si>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</si>
  <si>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</si>
  <si>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</si>
  <si>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</si>
  <si>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</si>
  <si>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</si>
  <si>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</si>
  <si>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</si>
  <si>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</si>
  <si>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</si>
  <si>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</si>
  <si>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</si>
  <si>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</si>
  <si>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</si>
  <si>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</si>
  <si>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</si>
  <si>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</si>
  <si>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</si>
  <si>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</si>
  <si>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</si>
  <si>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</si>
  <si>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</si>
  <si>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</si>
  <si>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</si>
  <si>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</si>
  <si>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</si>
  <si>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</si>
  <si>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</si>
  <si>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</si>
  <si>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</si>
  <si>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</si>
  <si>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</si>
  <si>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</si>
  <si>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</si>
  <si>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</si>
  <si>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</si>
  <si>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</si>
  <si>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</si>
  <si>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</si>
  <si>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</si>
  <si>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</si>
  <si>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</si>
  <si>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</si>
  <si>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</si>
  <si>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</si>
  <si>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</si>
  <si>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</si>
  <si>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</si>
  <si>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</si>
  <si>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</si>
  <si>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</si>
  <si>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</si>
  <si>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</si>
  <si>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</si>
  <si>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</si>
  <si>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</si>
  <si>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</si>
  <si>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</si>
  <si>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</si>
  <si>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</si>
  <si>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</si>
  <si>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</si>
  <si>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</si>
  <si>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</si>
  <si>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</si>
  <si>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</si>
  <si>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</si>
  <si>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</si>
  <si>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</si>
  <si>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</si>
  <si>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</si>
  <si>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</si>
  <si>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</si>
  <si>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</si>
  <si>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</si>
  <si>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</si>
  <si>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</si>
  <si>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</si>
  <si>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</si>
  <si>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</si>
  <si>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</si>
  <si>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</si>
  <si>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</si>
  <si>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</si>
  <si>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</si>
  <si>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</si>
  <si>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</si>
  <si>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</si>
  <si>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</si>
  <si>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</si>
  <si>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</si>
  <si>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</si>
  <si>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</si>
  <si>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</si>
  <si>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</si>
  <si>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</si>
  <si>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</si>
  <si>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</si>
  <si>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</si>
  <si>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</si>
  <si>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</si>
  <si>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</si>
  <si>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</si>
  <si>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</si>
  <si>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</si>
  <si>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</si>
  <si>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</si>
  <si>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</si>
  <si>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</si>
  <si>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</si>
  <si>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</si>
  <si>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</si>
  <si>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</si>
  <si>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</si>
  <si>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</si>
  <si>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</si>
  <si>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</si>
  <si>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</si>
  <si>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</si>
  <si>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</si>
  <si>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</si>
  <si>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</si>
  <si>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</si>
  <si>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</si>
  <si>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</si>
  <si>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</si>
  <si>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</si>
  <si>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</si>
  <si>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</si>
  <si>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</si>
  <si>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</si>
  <si>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</si>
  <si>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</si>
  <si>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</si>
  <si>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</si>
  <si>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</si>
  <si>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</si>
  <si>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</si>
  <si>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</si>
  <si>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</si>
  <si>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</si>
  <si>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</si>
  <si>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</si>
  <si>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</si>
  <si>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</si>
  <si>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</si>
  <si>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</si>
  <si>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</si>
  <si>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</si>
  <si>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</si>
  <si>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</si>
  <si>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</si>
  <si>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</si>
  <si>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</si>
  <si>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</si>
  <si>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</si>
  <si>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</si>
  <si>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</si>
  <si>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</si>
  <si>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</si>
  <si>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</si>
  <si>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</si>
  <si>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</si>
  <si>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</si>
  <si>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</si>
  <si>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</si>
  <si>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</si>
  <si>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</si>
  <si>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</si>
  <si>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</si>
  <si>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</si>
  <si>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</si>
  <si>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</si>
  <si>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</si>
  <si>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</si>
  <si>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</si>
  <si>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</si>
  <si>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</si>
  <si>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</si>
  <si>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</si>
  <si>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</si>
  <si>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</si>
  <si>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</si>
  <si>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</si>
  <si>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</si>
  <si>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</si>
  <si>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</si>
  <si>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</si>
  <si>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</si>
  <si>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</si>
  <si>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</si>
  <si>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</si>
  <si>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</si>
  <si>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</si>
  <si>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</si>
  <si>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</si>
  <si>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</si>
  <si>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</si>
  <si>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</si>
  <si>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</si>
  <si>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</si>
  <si>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</si>
  <si>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</si>
  <si>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</si>
  <si>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</si>
  <si>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</si>
  <si>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</si>
  <si>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</si>
  <si>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</si>
  <si>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</si>
  <si>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</si>
  <si>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</si>
  <si>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</si>
  <si>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</si>
  <si>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</si>
  <si>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</si>
  <si>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</si>
  <si>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</si>
  <si>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</si>
  <si>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</si>
  <si>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</si>
  <si>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</si>
  <si>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</si>
  <si>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</si>
  <si>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</si>
  <si>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</si>
  <si>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</si>
  <si>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</si>
  <si>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</si>
  <si>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</si>
  <si>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</si>
  <si>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</si>
  <si>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</si>
  <si>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</si>
  <si>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</si>
  <si>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</si>
  <si>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</si>
  <si>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</si>
  <si>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</si>
  <si>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</si>
  <si>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</si>
  <si>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</si>
  <si>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</si>
  <si>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</si>
  <si>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</si>
  <si>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</si>
  <si>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</si>
  <si>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</si>
  <si>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</si>
  <si>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</si>
  <si>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</si>
  <si>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</si>
  <si>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</si>
  <si>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</si>
  <si>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</si>
  <si>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</si>
  <si>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</si>
  <si>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</si>
  <si>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</si>
  <si>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</si>
  <si>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</si>
  <si>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</si>
  <si>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</si>
  <si>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</si>
  <si>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</si>
  <si>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</si>
  <si>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</si>
  <si>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</si>
  <si>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</si>
  <si>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</si>
  <si>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</si>
  <si>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</si>
  <si>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</si>
  <si>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</si>
  <si>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</si>
  <si>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</si>
  <si>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</si>
  <si>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</si>
  <si>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</si>
  <si>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</si>
  <si>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</si>
  <si>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</si>
  <si>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</si>
  <si>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</si>
  <si>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</si>
  <si>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</si>
  <si>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</si>
  <si>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</si>
  <si>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</si>
  <si>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</si>
  <si>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</si>
  <si>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</si>
  <si>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</si>
  <si>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</si>
  <si>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>Address: Nishat Colony</t>
  </si>
  <si>
    <t xml:space="preserve">Adil Pharmacy </t>
  </si>
  <si>
    <t>Faizan Store</t>
  </si>
  <si>
    <t>Usman Store</t>
  </si>
  <si>
    <t>Imran Store</t>
  </si>
  <si>
    <t>Ghosia Store</t>
  </si>
  <si>
    <t>Syed Store</t>
  </si>
  <si>
    <t>MS Store</t>
  </si>
  <si>
    <t>Qadri Store</t>
  </si>
  <si>
    <t>Delishia Store</t>
  </si>
  <si>
    <t>Jammal Store</t>
  </si>
  <si>
    <t>Lal Store</t>
  </si>
  <si>
    <t>Latif Store</t>
  </si>
  <si>
    <t>Bismillah Store</t>
  </si>
  <si>
    <t>Chaudry Store</t>
  </si>
  <si>
    <t>Bilal Store</t>
  </si>
  <si>
    <t>Chorahi Store</t>
  </si>
  <si>
    <t xml:space="preserve">Shreef Mart </t>
  </si>
  <si>
    <t xml:space="preserve">Raka Poshi </t>
  </si>
  <si>
    <t>Subedaar Store</t>
  </si>
  <si>
    <t>Mian Store</t>
  </si>
  <si>
    <t>Sheikh Store</t>
  </si>
  <si>
    <t xml:space="preserve">Value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</si>
</sst>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A3" workbookViewId="0">
      <selection activeCell="S3" sqref="S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46281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Adil Pharmacy </v>
      </c>
      <c r="T3" s="301">
        <f>+'1'!P35</f>
        <v>417.29447837288137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Faizan Store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Usman Store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Imran Store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56</v>
      </c>
      <c r="I7" s="235">
        <f>(G7*D7)*F7+H7*F7</f>
        <v>2937.9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235.03199999999998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102.82650000000001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2600.0415000000003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555.2542372881353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15.776478686440678</v>
      </c>
      <c r="P7" s="310">
        <f>M7+N7+O7</f>
        <v>3171.0722159745765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Ghosia Store</v>
      </c>
      <c r="T7" s="301">
        <f>+'5'!P35</f>
        <v>283.13144785487287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56</v>
      </c>
      <c r="I8" s="236">
        <f t="shared" ref="I8:I14" si="0">(G8*D8)*F8+H8*F8</f>
        <v>2937.9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235.03199999999998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102.82650000000001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2600.0415000000003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555.2542372881353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15.776478686440678</v>
      </c>
      <c r="P8" s="311">
        <f t="shared" ref="P8:P15" si="2">M8+N8+O8</f>
        <v>3171.0722159745765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Syed Store</v>
      </c>
      <c r="T8" s="301">
        <f>+'6'!P35</f>
        <v>283.13144785487287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MS Store</v>
      </c>
      <c r="T9" s="301">
        <f>+'7'!P35</f>
        <v>283.13144785487287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70</v>
      </c>
      <c r="I10" s="236">
        <f t="shared" si="0"/>
        <v>5084.8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406.78399999999999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177.96800000000002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4500.0480000000007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961.01694915254245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27.305324745762714</v>
      </c>
      <c r="P10" s="311">
        <f t="shared" si="2"/>
        <v>5488.3702738983056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Qadri Store</v>
      </c>
      <c r="T10" s="301">
        <f>+'8'!P35</f>
        <v>283.13144785487287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65</v>
      </c>
      <c r="I11" s="236">
        <f t="shared" si="0"/>
        <v>4721.6000000000004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377.72800000000001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165.256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4178.616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892.37288135593224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25.354944406779662</v>
      </c>
      <c r="P11" s="311">
        <f t="shared" si="2"/>
        <v>5096.3438257627113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3">
        <v>9</v>
      </c>
      <c r="S11" s="300" t="str">
        <f>+'9'!A6:A6</f>
        <v>Delishia Store</v>
      </c>
      <c r="T11" s="301">
        <f>+'9'!P35</f>
        <v>283.13144785487287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311">
        <f t="shared" si="2"/>
        <v>6272.4231701694916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Jammal Store</v>
      </c>
      <c r="T12" s="301">
        <f>+'10'!P35</f>
        <v>283.13144785487287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135</v>
      </c>
      <c r="I13" s="236">
        <f t="shared" si="0"/>
        <v>5296.05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264.80250000000007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185.36175000000003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270.09854999999999</v>
      </c>
      <c r="M13" s="230">
        <f t="shared" si="1"/>
        <v>4575.7871999999998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1029.6610169491519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28.027241084745764</v>
      </c>
      <c r="P13" s="311">
        <f t="shared" si="2"/>
        <v>5633.4754580338968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120</v>
      </c>
      <c r="R13" s="313">
        <v>11</v>
      </c>
      <c r="S13" s="300" t="str">
        <f>+'11'!A6:A6</f>
        <v>Lal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Latif Store</v>
      </c>
      <c r="T14" s="301">
        <f>+'12'!P35</f>
        <v>12746.990582237289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Bismillah Store</v>
      </c>
      <c r="T15" s="301">
        <f>+'13'!P35</f>
        <v>5401.2631679237284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11.55</v>
      </c>
      <c r="H16" s="113">
        <f t="shared" ref="H16:M16" si="3">SUM(H7:H15)</f>
        <v>462</v>
      </c>
      <c r="I16" s="114">
        <f t="shared" si="3"/>
        <v>26789.45</v>
      </c>
      <c r="J16" s="274">
        <f>SUM(J7:J15)</f>
        <v>1984.2745</v>
      </c>
      <c r="K16" s="275">
        <f t="shared" si="3"/>
        <v>937.63075000000015</v>
      </c>
      <c r="L16" s="276">
        <f t="shared" si="3"/>
        <v>270.09854999999999</v>
      </c>
      <c r="M16" s="232">
        <f t="shared" si="3"/>
        <v>23597.446199999998</v>
      </c>
      <c r="N16" s="233">
        <f>SUM(N7:N15)</f>
        <v>5091.8644067796595</v>
      </c>
      <c r="O16" s="101">
        <f>SUM(O7:O15)</f>
        <v>143.44655303389831</v>
      </c>
      <c r="P16" s="113">
        <f>SUM(P7:P15)</f>
        <v>28832.757159813555</v>
      </c>
      <c r="Q16" s="128">
        <f>SUM(Q7:Q15)</f>
        <v>130</v>
      </c>
      <c r="R16" s="313">
        <v>14</v>
      </c>
      <c r="S16" s="315" t="str">
        <f>+'14'!A6:A6</f>
        <v>Chaudry Store</v>
      </c>
      <c r="T16" s="301">
        <f>+'14'!P35</f>
        <v>1463.568371122881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Bilal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Chorahi Store</v>
      </c>
      <c r="T18" s="301">
        <f>+'16'!P35</f>
        <v>392.02644813559323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26789.45</v>
      </c>
      <c r="R19" s="299">
        <v>17</v>
      </c>
      <c r="S19" s="300" t="str">
        <f>+'17'!A6:A6</f>
        <v xml:space="preserve">Shreef Mart </v>
      </c>
      <c r="T19" s="301">
        <f>+'17'!P35</f>
        <v>784.05289627118646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1984.2745</v>
      </c>
      <c r="R20" s="299">
        <v>18</v>
      </c>
      <c r="S20" s="300" t="str">
        <f>+'18'!A6:A6</f>
        <v xml:space="preserve">Raka Poshi </v>
      </c>
      <c r="T20" s="301">
        <f>+'18'!P35</f>
        <v>392.02644813559323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1207.7293000000002</v>
      </c>
      <c r="R21" s="299">
        <v>19</v>
      </c>
      <c r="S21" s="300" t="str">
        <f>+'19'!A6:A6</f>
        <v>MS Store</v>
      </c>
      <c r="T21" s="301">
        <f>+'19'!P35</f>
        <v>784.05289627118646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23597.446200000002</v>
      </c>
      <c r="R22" s="299">
        <v>20</v>
      </c>
      <c r="S22" s="300" t="str">
        <f>+'20'!A6:A6</f>
        <v>Subedaar Store</v>
      </c>
      <c r="T22" s="301">
        <f>+'20'!P35</f>
        <v>392.02644813559323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5091.8644067796595</v>
      </c>
      <c r="R23" s="299">
        <v>21</v>
      </c>
      <c r="S23" s="300" t="str">
        <f>+'21'!A6:A6</f>
        <v>Mian Store</v>
      </c>
      <c r="T23" s="301">
        <f>+'21'!P35</f>
        <v>849.39434356461845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28689.310606779662</v>
      </c>
      <c r="R24" s="299">
        <v>22</v>
      </c>
      <c r="S24" s="300" t="str">
        <f>+'22'!A6:A6</f>
        <v>Sheikh Store</v>
      </c>
      <c r="T24" s="301">
        <f>+'22'!P35</f>
        <v>1475.3360611239405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143.44655303389831</v>
      </c>
      <c r="R25" s="299">
        <v>23</v>
      </c>
      <c r="S25" s="300" t="str">
        <f>+'23'!A6:A6</f>
        <v xml:space="preserve">Value Mart 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28832.757159813558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28832.757159813555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A26" sqref="A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392.30000000000007</v>
      </c>
      <c r="J25" s="274">
        <f>SUM(J16:J24)</f>
        <v>19.615000000000006</v>
      </c>
      <c r="K25" s="275">
        <f t="shared" si="10"/>
        <v>13.730500000000003</v>
      </c>
      <c r="L25" s="276">
        <f t="shared" si="10"/>
        <v>20.007300000000001</v>
      </c>
      <c r="M25" s="232">
        <f t="shared" si="10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392.30000000000007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19.615000000000006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33.737800000000007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338.94720000000007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415.21838644067799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4" t="s">
        <v>88</v>
      </c>
      <c r="O35" s="375"/>
      <c r="P35" s="297">
        <f>+P33+P34</f>
        <v>417.29447837288137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392.30000000000007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19.615000000000006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33.737800000000007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338.94720000000007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415.21838644067799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4" t="s">
        <v>88</v>
      </c>
      <c r="O35" s="375"/>
      <c r="P35" s="297">
        <f>+P33+P34</f>
        <v>417.29447837288137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392.30000000000007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19.615000000000006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33.737800000000007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338.94720000000007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415.21838644067799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4" t="s">
        <v>88</v>
      </c>
      <c r="O35" s="375"/>
      <c r="P35" s="297">
        <f>+P33+P34</f>
        <v>417.29447837288137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392.30000000000007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19.615000000000006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33.737800000000007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338.94720000000007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415.21838644067799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4" t="s">
        <v>88</v>
      </c>
      <c r="O35" s="375"/>
      <c r="P35" s="297">
        <f>+P33+P34</f>
        <v>417.29447837288137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2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200</v>
      </c>
      <c r="I25" s="114">
        <f t="shared" si="7"/>
        <v>11855.2</v>
      </c>
      <c r="J25" s="274">
        <f>SUM(J16:J24)</f>
        <v>854.26400000000012</v>
      </c>
      <c r="K25" s="275">
        <f t="shared" si="7"/>
        <v>414.93200000000002</v>
      </c>
      <c r="L25" s="276">
        <f t="shared" si="7"/>
        <v>160.05840000000001</v>
      </c>
      <c r="M25" s="232">
        <f t="shared" si="7"/>
        <v>10425.945600000001</v>
      </c>
      <c r="N25" s="233">
        <f>SUM(N16:N24)</f>
        <v>2257.6271186440677</v>
      </c>
      <c r="O25" s="101">
        <f>SUM(O16:O24)</f>
        <v>63.417863593220346</v>
      </c>
      <c r="P25" s="234">
        <f>SUM(P16:P24)</f>
        <v>12746.990582237289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11855.2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854.26400000000012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574.99040000000002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10425.945600000001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2257.6271186440677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12683.572718644069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63.417863593220346</v>
      </c>
    </row>
    <row r="35" spans="2:16" ht="15.75" customHeight="1" thickBot="1" x14ac:dyDescent="0.4">
      <c r="N35" s="374" t="s">
        <v>88</v>
      </c>
      <c r="O35" s="375"/>
      <c r="P35" s="297">
        <f>+P33+P34</f>
        <v>12746.990582237289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1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22</v>
      </c>
      <c r="I25" s="114">
        <f t="shared" si="7"/>
        <v>1355.9499999999998</v>
      </c>
      <c r="J25" s="274">
        <f>SUM(J16:J24)</f>
        <v>108.476</v>
      </c>
      <c r="K25" s="275">
        <f t="shared" si="7"/>
        <v>47.458250000000007</v>
      </c>
      <c r="L25" s="276">
        <f t="shared" si="7"/>
        <v>0</v>
      </c>
      <c r="M25" s="232">
        <f t="shared" si="7"/>
        <v>1200.01575</v>
      </c>
      <c r="N25" s="233">
        <f>SUM(N16:N24)</f>
        <v>256.27118644067792</v>
      </c>
      <c r="O25" s="101">
        <f>SUM(O16:O24)</f>
        <v>7.2814346822033897</v>
      </c>
      <c r="P25" s="234">
        <f>SUM(P16:P24)</f>
        <v>1463.5683711228812</v>
      </c>
      <c r="Q25" s="239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1355.9499999999998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108.476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47.458250000000007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1200.0157499999998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256.27118644067792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1456.2869364406777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7.2814346822033889</v>
      </c>
    </row>
    <row r="35" spans="2:16" ht="15.75" customHeight="1" thickBot="1" x14ac:dyDescent="0.4">
      <c r="N35" s="374" t="s">
        <v>88</v>
      </c>
      <c r="O35" s="375"/>
      <c r="P35" s="297">
        <f>+P33+P34</f>
        <v>1463.568371122881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8.7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15</v>
      </c>
      <c r="I25" s="114">
        <f t="shared" si="7"/>
        <v>786.9375</v>
      </c>
      <c r="J25" s="274">
        <f>SUM(J16:J24)</f>
        <v>62.954999999999998</v>
      </c>
      <c r="K25" s="275">
        <f t="shared" si="7"/>
        <v>27.542812500000004</v>
      </c>
      <c r="L25" s="276">
        <f t="shared" si="7"/>
        <v>0</v>
      </c>
      <c r="M25" s="232">
        <f t="shared" si="7"/>
        <v>696.43968749999999</v>
      </c>
      <c r="N25" s="233">
        <f>SUM(N16:N24)</f>
        <v>148.72881355932196</v>
      </c>
      <c r="O25" s="101">
        <f>SUM(O16:O24)</f>
        <v>4.22584250529661</v>
      </c>
      <c r="P25" s="234">
        <f>SUM(P16:P24)</f>
        <v>849.39434356461845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786.9375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62.954999999999998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27.542812500000004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696.43968749999999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148.72881355932196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845.1685010593219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4.22584250529661</v>
      </c>
    </row>
    <row r="35" spans="2:16" ht="15.75" customHeight="1" thickBot="1" x14ac:dyDescent="0.4">
      <c r="N35" s="374" t="s">
        <v>88</v>
      </c>
      <c r="O35" s="375"/>
      <c r="P35" s="297">
        <f>+P33+P34</f>
        <v>849.39434356461845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119">
        <f t="shared" ref="P17:P24" si="5">M17+N17+O17</f>
        <v>849.39434356461845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15</v>
      </c>
      <c r="I22" s="236">
        <f t="shared" si="0"/>
        <v>588.45000000000005</v>
      </c>
      <c r="J22" s="272">
        <f t="shared" si="1"/>
        <v>29.422500000000003</v>
      </c>
      <c r="K22" s="128">
        <f t="shared" si="1"/>
        <v>20.595750000000002</v>
      </c>
      <c r="L22" s="119">
        <f t="shared" si="1"/>
        <v>30.010950000000001</v>
      </c>
      <c r="M22" s="230">
        <f t="shared" si="2"/>
        <v>508.42080000000004</v>
      </c>
      <c r="N22" s="277">
        <f t="shared" si="3"/>
        <v>114.40677966101688</v>
      </c>
      <c r="O22" s="239">
        <f t="shared" si="4"/>
        <v>3.1141378983050845</v>
      </c>
      <c r="P22" s="119">
        <f t="shared" si="5"/>
        <v>625.941717559322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1375.3875</v>
      </c>
      <c r="J25" s="274">
        <f>SUM(J16:J24)</f>
        <v>92.377499999999998</v>
      </c>
      <c r="K25" s="275">
        <f t="shared" si="7"/>
        <v>48.138562500000006</v>
      </c>
      <c r="L25" s="276">
        <f t="shared" si="7"/>
        <v>30.010950000000001</v>
      </c>
      <c r="M25" s="232">
        <f t="shared" si="7"/>
        <v>1204.8604875000001</v>
      </c>
      <c r="N25" s="233">
        <f>SUM(N16:N24)</f>
        <v>263.13559322033882</v>
      </c>
      <c r="O25" s="101">
        <f>SUM(O16:O24)</f>
        <v>7.3399804036016949</v>
      </c>
      <c r="P25" s="234">
        <f>SUM(P16:P24)</f>
        <v>1475.3360611239405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1375.3875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92.377499999999998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78.149512500000014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1204.8604875000001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263.13559322033882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1467.9960807203388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7.339980403601694</v>
      </c>
    </row>
    <row r="35" spans="2:16" ht="15.75" customHeight="1" thickBot="1" x14ac:dyDescent="0.4">
      <c r="N35" s="374" t="s">
        <v>88</v>
      </c>
      <c r="O35" s="375"/>
      <c r="P35" s="297">
        <f>+P33+P34</f>
        <v>1475.3360611239405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8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536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80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abSelected="1"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2026-09-30T07:37:56Z</dcterms:modified>
</cp:coreProperties>
</file>