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5314892-175D-4D36-B48A-14EF2C6644A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<sst xmlns="http://schemas.openxmlformats.org/spreadsheetml/2006/main" count="3948" uniqueCount="532">
  <si>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</si>
  <si>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</si>
  <si>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</si>
  <si>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</si>
  <si>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</si>
  <si>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</si>
  <si>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</si>
  <si>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</si>
  <si>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</si>
  <si>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</si>
  <si>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</si>
  <si>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</si>
  <si>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</si>
  <si>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</si>
  <si>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</si>
  <si>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</si>
  <si>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</si>
  <si>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</si>
  <si>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</si>
  <si>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</si>
  <si>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</si>
  <si>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</si>
  <si>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</si>
  <si>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</si>
  <si>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</si>
  <si>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</si>
  <si>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</si>
  <si>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</si>
  <si>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</si>
  <si>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</si>
  <si>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</si>
  <si>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</si>
  <si>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</si>
  <si>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</si>
  <si>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</si>
  <si>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</si>
  <si>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</si>
  <si>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</si>
  <si>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</si>
  <si>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</si>
  <si>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</si>
  <si>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</si>
  <si>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</si>
  <si>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</si>
  <si>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</si>
  <si>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</si>
  <si>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</si>
  <si>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</si>
  <si>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</si>
  <si>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</si>
  <si>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</si>
  <si>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</si>
  <si>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</si>
  <si>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</si>
  <si>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</si>
  <si>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</si>
  <si>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</si>
  <si>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</si>
  <si>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</si>
  <si>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</si>
  <si>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</si>
  <si>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</si>
  <si>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</si>
  <si>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</si>
  <si>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</si>
  <si>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</si>
  <si>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</si>
  <si>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</si>
  <si>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</si>
  <si>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</si>
  <si>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</si>
  <si>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</si>
  <si>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</si>
  <si>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</si>
  <si>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</si>
  <si>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</si>
  <si>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</si>
  <si>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</si>
  <si>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</si>
  <si>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</si>
  <si>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</si>
  <si>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</si>
  <si>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</si>
  <si>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</si>
  <si>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</si>
  <si>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</si>
  <si>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</si>
  <si>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</si>
  <si>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</si>
  <si>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</si>
  <si>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</si>
  <si>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</si>
  <si>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</si>
  <si>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</si>
  <si>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</si>
  <si>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</si>
  <si>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</si>
  <si>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</si>
  <si>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</si>
  <si>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</si>
  <si>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</si>
  <si>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</si>
  <si>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</si>
  <si>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</si>
  <si>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</si>
  <si>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</si>
  <si>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</si>
  <si>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</si>
  <si>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</si>
  <si>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</si>
  <si>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</si>
  <si>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</si>
  <si>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</si>
  <si>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</si>
  <si>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</si>
  <si>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</si>
  <si>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</si>
  <si>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</si>
  <si>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</si>
  <si>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</si>
  <si>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</si>
  <si>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</si>
  <si>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</si>
  <si>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</si>
  <si>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</si>
  <si>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</si>
  <si>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</si>
  <si>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</si>
  <si>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</si>
  <si>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</si>
  <si>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</si>
  <si>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</si>
  <si>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</si>
  <si>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</si>
  <si>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</si>
  <si>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</si>
  <si>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</si>
  <si>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</si>
  <si>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</si>
  <si>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</si>
  <si>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</si>
  <si>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</si>
  <si>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</si>
  <si>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</si>
  <si>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</si>
  <si>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</si>
  <si>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</si>
  <si>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</si>
  <si>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</si>
  <si>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</si>
  <si>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</si>
  <si>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</si>
  <si>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</si>
  <si>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</si>
  <si>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</si>
  <si>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</si>
  <si>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</si>
  <si>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</si>
  <si>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</si>
  <si>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</si>
  <si>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</si>
  <si>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</si>
  <si>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</si>
  <si>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</si>
  <si>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</si>
  <si>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</si>
  <si>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</si>
  <si>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</si>
  <si>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</si>
  <si>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</si>
  <si>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</si>
  <si>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</si>
  <si>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</si>
  <si>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</si>
  <si>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</si>
  <si>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</si>
  <si>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</si>
  <si>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</si>
  <si>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</si>
  <si>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</si>
  <si>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</si>
  <si>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</si>
  <si>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</si>
  <si>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</si>
  <si>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</si>
  <si>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</si>
  <si>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</si>
  <si>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</si>
  <si>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</si>
  <si>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</si>
  <si>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</si>
  <si>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</si>
  <si>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</si>
  <si>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</si>
  <si>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</si>
  <si>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</si>
  <si>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</si>
  <si>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</si>
  <si>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</si>
  <si>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</si>
  <si>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</si>
  <si>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</si>
  <si>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</si>
  <si>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</si>
  <si>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</si>
  <si>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</si>
  <si>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</si>
  <si>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</si>
  <si>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</si>
  <si>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</si>
  <si>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</si>
  <si>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</si>
  <si>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</si>
  <si>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</si>
  <si>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</si>
  <si>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</si>
  <si>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</si>
  <si>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</si>
  <si>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</si>
  <si>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</si>
  <si>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</si>
  <si>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</si>
  <si>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</si>
  <si>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</si>
  <si>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</si>
  <si>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</si>
  <si>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</si>
  <si>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</si>
  <si>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</si>
  <si>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</si>
  <si>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</si>
  <si>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</si>
  <si>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</si>
  <si>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</si>
  <si>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</si>
  <si>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</si>
  <si>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</si>
  <si>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</si>
  <si>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</si>
  <si>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</si>
  <si>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</si>
  <si>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</si>
  <si>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</si>
  <si>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</si>
  <si>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</si>
  <si>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</si>
  <si>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</si>
  <si>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</si>
  <si>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</si>
  <si>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</si>
  <si>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</si>
  <si>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</si>
  <si>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</si>
  <si>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</si>
  <si>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</si>
  <si>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</si>
  <si>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</si>
  <si>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</si>
  <si>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</si>
  <si>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</si>
  <si>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</si>
  <si>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</si>
  <si>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</si>
  <si>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</si>
  <si>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</si>
  <si>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</si>
  <si>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</si>
  <si>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</si>
  <si>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</si>
  <si>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</si>
  <si>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</si>
  <si>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</si>
  <si>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</si>
  <si>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</si>
  <si>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</si>
  <si>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</si>
  <si>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</si>
  <si>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</si>
  <si>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</si>
  <si>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</si>
  <si>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</si>
  <si>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</si>
  <si>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</si>
  <si>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</si>
  <si>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</si>
  <si>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</si>
  <si>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</si>
  <si>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</si>
  <si>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</si>
  <si>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</si>
  <si>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</si>
  <si>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</si>
  <si>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</si>
  <si>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</si>
  <si>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</si>
  <si>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</si>
  <si>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</si>
  <si>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</si>
  <si>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</si>
  <si>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</si>
  <si>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</si>
  <si>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</si>
  <si>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</si>
  <si>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</si>
  <si>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</si>
  <si>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</si>
  <si>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</si>
  <si>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</si>
  <si>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</si>
  <si>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</si>
  <si>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</si>
  <si>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</si>
  <si>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</si>
  <si>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</si>
  <si>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</si>
  <si>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</si>
  <si>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</si>
  <si>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</si>
  <si>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</si>
  <si>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</si>
  <si>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</si>
  <si>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</si>
  <si>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</si>
  <si>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</si>
  <si>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</si>
  <si>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</si>
  <si>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</si>
  <si>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</si>
  <si>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</si>
  <si>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</si>
  <si>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</si>
  <si>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</si>
  <si>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</si>
  <si>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</si>
  <si>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</si>
  <si>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</si>
  <si>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</si>
  <si>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</si>
  <si>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</si>
  <si>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</si>
  <si>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</si>
  <si>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</si>
  <si>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</si>
  <si>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</si>
  <si>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</si>
  <si>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</si>
  <si>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</si>
  <si>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</si>
  <si>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</si>
  <si>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</si>
  <si>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</si>
  <si>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</si>
  <si>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</si>
  <si>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</si>
  <si>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</si>
  <si>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</si>
  <si>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</si>
  <si>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</si>
  <si>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</si>
  <si>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</si>
  <si>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</si>
  <si>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</si>
  <si>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</si>
  <si>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</si>
  <si>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</si>
  <si>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</si>
  <si>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</si>
  <si>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</si>
  <si>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</si>
  <si>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</si>
  <si>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</si>
  <si>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</si>
  <si>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</si>
  <si>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</si>
  <si>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</si>
  <si>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</si>
  <si>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</si>
  <si>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</si>
  <si>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</si>
  <si>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</si>
  <si>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</si>
  <si>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</si>
  <si>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</si>
  <si>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</si>
  <si>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</si>
  <si>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</si>
  <si>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</si>
  <si>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</si>
  <si>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</si>
  <si>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</si>
  <si>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</si>
  <si>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</si>
  <si>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</si>
  <si>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</si>
  <si>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</si>
  <si>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</si>
  <si>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</si>
  <si>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</si>
  <si>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</si>
  <si>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</si>
  <si>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</si>
  <si>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</si>
  <si>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</si>
  <si>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</si>
  <si>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</si>
  <si>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</si>
  <si>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</si>
  <si>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</si>
  <si>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</si>
  <si>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</si>
  <si>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</si>
  <si>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</si>
  <si>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</si>
  <si>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</si>
  <si>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</si>
  <si>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</si>
  <si>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</si>
  <si>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</si>
  <si>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</si>
  <si>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</si>
  <si>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</si>
  <si>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</si>
  <si>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</si>
  <si>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</si>
  <si>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</si>
  <si>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</si>
  <si>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</si>
  <si>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</si>
  <si>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</si>
  <si>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</si>
  <si>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</si>
  <si>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</si>
  <si>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</si>
  <si>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</si>
  <si>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</si>
  <si>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</si>
  <si>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</si>
  <si>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</si>
  <si>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</si>
  <si>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</si>
  <si>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</si>
  <si>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</si>
  <si>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</si>
  <si>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</si>
  <si>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</si>
  <si>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</si>
  <si>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</si>
  <si>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</si>
  <si>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</si>
  <si>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</si>
  <si>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</si>
  <si>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</si>
  <si>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</si>
  <si>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</si>
  <si>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</si>
  <si>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</si>
  <si>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</si>
  <si>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</si>
  <si>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</si>
  <si>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</si>
  <si>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</si>
  <si>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</si>
  <si>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</si>
  <si>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</si>
  <si>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</si>
  <si>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</si>
  <si>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</si>
  <si>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</si>
  <si>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</si>
  <si>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</si>
  <si>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</si>
  <si>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</si>
  <si>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</si>
  <si>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</si>
  <si>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</si>
  <si>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</si>
  <si>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</si>
  <si>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</si>
  <si>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</si>
  <si>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</si>
  <si>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</si>
  <si>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</si>
  <si>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</si>
  <si>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</si>
  <si>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</si>
  <si>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</si>
  <si>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</si>
  <si>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</si>
  <si>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</si>
  <si>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</si>
  <si>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</si>
  <si>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</si>
  <si>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</si>
  <si>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</si>
  <si>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</si>
  <si>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</si>
  <si>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</si>
  <si>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</si>
  <si>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</si>
  <si>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</si>
  <si>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</si>
  <si>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</si>
  <si>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</si>
  <si>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</si>
  <si>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</si>
  <si>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</si>
  <si>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</si>
  <si>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</si>
  <si>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</si>
  <si>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</si>
  <si>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</si>
  <si>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</si>
  <si>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</si>
  <si>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</si>
  <si>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 xml:space="preserve">Address:Rifal Range </t>
  </si>
  <si>
    <t xml:space="preserve">Eliza &amp; Brothers </t>
  </si>
  <si>
    <t xml:space="preserve">A One Mart </t>
  </si>
  <si>
    <t>Madina Medical Store</t>
  </si>
  <si>
    <t>Address: Shah Taj Colony</t>
  </si>
  <si>
    <t>Sheikh Ashraf Kareyana Store</t>
  </si>
  <si>
    <t>TLP Store</t>
  </si>
  <si>
    <t>Address: Qadri Colony</t>
  </si>
  <si>
    <t>Bismillah Mediacal Store</t>
  </si>
  <si>
    <t>AB Store</t>
  </si>
  <si>
    <t>Address: Qadri colony</t>
  </si>
  <si>
    <t>Hafiz GS</t>
  </si>
  <si>
    <t>Abid GS</t>
  </si>
  <si>
    <t>Address: Qadri Colony Near Allah Rehmat Masjid</t>
  </si>
  <si>
    <t xml:space="preserve">Iftakhar Pharmacy </t>
  </si>
  <si>
    <t xml:space="preserve">Address: Qadri Colony  Opposite Masjid </t>
  </si>
  <si>
    <t>SM Store</t>
  </si>
  <si>
    <t>Murad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</si>
</sst>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Eliza &amp; Brothers </v>
      </c>
      <c r="T3" s="301">
        <f>+'1'!P35</f>
        <v>849.39434356461845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 One Mart </v>
      </c>
      <c r="T4" s="301">
        <f>+'2'!P35</f>
        <v>250.37668702372881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Madina Medical Store</v>
      </c>
      <c r="T5" s="301">
        <f>+'3'!P35</f>
        <v>500.75337404745761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Sheikh Ashraf Kareyana Store</v>
      </c>
      <c r="T6" s="301">
        <f>+'4'!P35</f>
        <v>1060.5661622122882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TLP Store</v>
      </c>
      <c r="T7" s="301">
        <f>+'5'!P35</f>
        <v>250.37668702372881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41</v>
      </c>
      <c r="I8" s="236">
        <f t="shared" ref="I8:I14" si="0">(G8*D8)*F8+H8*F8</f>
        <v>2150.9625000000001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172.077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75.283687499999999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1903.6018125000001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406.52542372881345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11.550636181144068</v>
      </c>
      <c r="P8" s="311">
        <f t="shared" ref="P8:P15" si="2">M8+N8+O8</f>
        <v>2321.6778724099577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Bismillah Mediacal Store</v>
      </c>
      <c r="T8" s="301">
        <f>+'6'!P35</f>
        <v>500.75337404745761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26</v>
      </c>
      <c r="I9" s="236">
        <f t="shared" si="0"/>
        <v>1364.0249999999999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109.122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47.740875000000003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1207.1621249999998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257.79661016949143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7.3247936758474577</v>
      </c>
      <c r="P9" s="311">
        <f t="shared" si="2"/>
        <v>1472.2835288453389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AB Store</v>
      </c>
      <c r="T9" s="301">
        <f>+'7'!P35</f>
        <v>5502.3352888728805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21</v>
      </c>
      <c r="I10" s="236">
        <f t="shared" si="0"/>
        <v>1525.44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122.0352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53.390400000000007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1350.0144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288.30508474576277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8.1915974237288154</v>
      </c>
      <c r="P10" s="311">
        <f t="shared" si="2"/>
        <v>1646.5110821694916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Hafiz GS</v>
      </c>
      <c r="T10" s="301">
        <f>+'8'!P35</f>
        <v>1001.5067480949152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</v>
      </c>
      <c r="I11" s="236">
        <f t="shared" si="0"/>
        <v>363.2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29.056000000000001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12.712000000000002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321.43200000000002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68.644067796610173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1.950380338983051</v>
      </c>
      <c r="P11" s="311">
        <f t="shared" si="2"/>
        <v>392.02644813559323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Abid GS</v>
      </c>
      <c r="T11" s="301">
        <f>+'9'!P35</f>
        <v>250.37668702372881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</v>
      </c>
      <c r="I12" s="236">
        <f t="shared" si="0"/>
        <v>726.4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58.112000000000002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25.424000000000003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642.86400000000003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137.28813559322035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3.9007606779661019</v>
      </c>
      <c r="P12" s="311">
        <f t="shared" si="2"/>
        <v>784.05289627118646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Iftakhar Pharmacy </v>
      </c>
      <c r="T12" s="301">
        <f>+'10'!P35</f>
        <v>2038.5464245550845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150</v>
      </c>
      <c r="I13" s="236">
        <f t="shared" si="0"/>
        <v>5884.5000000000009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294.22500000000008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205.95750000000007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300.10950000000003</v>
      </c>
      <c r="M13" s="230">
        <f t="shared" si="1"/>
        <v>5084.2080000000005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1144.0677966101689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31.141378983050849</v>
      </c>
      <c r="P13" s="311">
        <f t="shared" si="2"/>
        <v>6259.4171755932202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SM Store</v>
      </c>
      <c r="T13" s="301">
        <f>+'11'!P35</f>
        <v>2184.9047487266948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Murad Store</v>
      </c>
      <c r="T14" s="301">
        <f>+'12'!P35</f>
        <v>751.13006107118645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7.3250000000000002</v>
      </c>
      <c r="H16" s="113">
        <f t="shared" ref="H16:M16" si="3">SUM(H7:H15)</f>
        <v>293</v>
      </c>
      <c r="I16" s="114">
        <f t="shared" si="3"/>
        <v>14113.0275</v>
      </c>
      <c r="J16" s="274">
        <f>SUM(J7:J15)</f>
        <v>952.50720000000001</v>
      </c>
      <c r="K16" s="275">
        <f t="shared" si="3"/>
        <v>493.95596250000006</v>
      </c>
      <c r="L16" s="276">
        <f t="shared" si="3"/>
        <v>300.10950000000003</v>
      </c>
      <c r="M16" s="232">
        <f t="shared" si="3"/>
        <v>12366.454837500001</v>
      </c>
      <c r="N16" s="233">
        <f>SUM(N7:N15)</f>
        <v>2699.2372881355923</v>
      </c>
      <c r="O16" s="101">
        <f>SUM(O7:O15)</f>
        <v>75.328460628177965</v>
      </c>
      <c r="P16" s="113">
        <f>SUM(P7:P15)</f>
        <v>15141.02058626377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14113.0275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952.50720000000001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794.06546250000008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12366.454837499999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2699.2372881355923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15065.692125635593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75.328460628177965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15141.02058626377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15141.020586263769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15</v>
      </c>
      <c r="I25" s="114">
        <f t="shared" ref="I25:M25" si="10">SUM(I16:I24)</f>
        <v>786.9375</v>
      </c>
      <c r="J25" s="274">
        <f>SUM(J16:J24)</f>
        <v>62.954999999999998</v>
      </c>
      <c r="K25" s="275">
        <f t="shared" si="10"/>
        <v>27.5428125</v>
      </c>
      <c r="L25" s="276">
        <f t="shared" si="10"/>
        <v>0</v>
      </c>
      <c r="M25" s="232">
        <f t="shared" si="10"/>
        <v>696.43968749999999</v>
      </c>
      <c r="N25" s="233">
        <f>SUM(N16:N24)</f>
        <v>148.72881355932196</v>
      </c>
      <c r="O25" s="101">
        <f>SUM(O16:O24)</f>
        <v>4.22584250529661</v>
      </c>
      <c r="P25" s="234">
        <f>SUM(P16:P24)</f>
        <v>849.39434356461857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786.9375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62.954999999999998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27.5428125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696.43968749999999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148.72881355932196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845.1685010593219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4.22584250529661</v>
      </c>
    </row>
    <row r="35" spans="2:16" ht="15.75" customHeight="1" thickBot="1" x14ac:dyDescent="0.4">
      <c r="N35" s="374" t="s">
        <v>88</v>
      </c>
      <c r="O35" s="375"/>
      <c r="P35" s="297">
        <f>+P33+P34</f>
        <v>849.39434356461845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234">
        <f>SUM(P16:P24)</f>
        <v>250.37668702372881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235.38000000000002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11.769000000000002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20.242680000000004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203.36832000000001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249.13103186440676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4" t="s">
        <v>88</v>
      </c>
      <c r="O35" s="375"/>
      <c r="P35" s="297">
        <f>+P33+P34</f>
        <v>250.37668702372881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985.995</v>
      </c>
      <c r="J25" s="274">
        <f>SUM(J16:J24)</f>
        <v>71.818200000000004</v>
      </c>
      <c r="K25" s="275">
        <f t="shared" si="7"/>
        <v>34.509825000000006</v>
      </c>
      <c r="L25" s="276">
        <f t="shared" si="7"/>
        <v>12.004380000000001</v>
      </c>
      <c r="M25" s="232">
        <f t="shared" si="7"/>
        <v>867.66259500000001</v>
      </c>
      <c r="N25" s="233">
        <f>SUM(N16:N24)</f>
        <v>187.62711864406776</v>
      </c>
      <c r="O25" s="101">
        <f>SUM(O16:O24)</f>
        <v>5.2764485682203386</v>
      </c>
      <c r="P25" s="234">
        <f>SUM(P16:P24)</f>
        <v>1060.5661622122882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985.995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71.818200000000004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46.514205000000004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867.66259500000001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187.62711864406776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1055.2897136440679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5.2764485682203395</v>
      </c>
    </row>
    <row r="35" spans="2:16" ht="15.75" customHeight="1" thickBot="1" x14ac:dyDescent="0.4">
      <c r="N35" s="374" t="s">
        <v>88</v>
      </c>
      <c r="O35" s="375"/>
      <c r="P35" s="297">
        <f>+P33+P34</f>
        <v>1060.5661622122882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234">
        <f>SUM(P16:P24)</f>
        <v>250.37668702372881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235.38000000000002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11.769000000000002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20.242680000000004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203.36832000000001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249.13103186440676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4" t="s">
        <v>88</v>
      </c>
      <c r="O35" s="375"/>
      <c r="P35" s="297">
        <f>+P33+P34</f>
        <v>250.37668702372881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100</v>
      </c>
      <c r="I25" s="114">
        <f t="shared" si="7"/>
        <v>5120.5</v>
      </c>
      <c r="J25" s="274">
        <f>SUM(J16:J24)</f>
        <v>362.56400000000008</v>
      </c>
      <c r="K25" s="275">
        <f t="shared" si="7"/>
        <v>179.21750000000003</v>
      </c>
      <c r="L25" s="276">
        <f t="shared" si="7"/>
        <v>80.029200000000003</v>
      </c>
      <c r="M25" s="232">
        <f t="shared" si="7"/>
        <v>4498.6893</v>
      </c>
      <c r="N25" s="233">
        <f>SUM(N16:N24)</f>
        <v>976.27118644067764</v>
      </c>
      <c r="O25" s="101">
        <f>SUM(O16:O24)</f>
        <v>27.374802432203388</v>
      </c>
      <c r="P25" s="234">
        <f>SUM(P16:P24)</f>
        <v>5502.3352888728814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5120.5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362.56400000000008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259.24670000000003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4498.6893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976.27118644067764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5474.9604864406774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27.374802432203388</v>
      </c>
    </row>
    <row r="35" spans="2:16" ht="15.75" customHeight="1" thickBot="1" x14ac:dyDescent="0.4">
      <c r="N35" s="374" t="s">
        <v>88</v>
      </c>
      <c r="O35" s="375"/>
      <c r="P35" s="297">
        <f>+P33+P34</f>
        <v>5502.3352888728805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941.5200000000001</v>
      </c>
      <c r="J25" s="274">
        <f>SUM(J16:J24)</f>
        <v>47.076000000000008</v>
      </c>
      <c r="K25" s="275">
        <f t="shared" si="7"/>
        <v>32.95320000000001</v>
      </c>
      <c r="L25" s="276">
        <f t="shared" si="7"/>
        <v>48.017520000000005</v>
      </c>
      <c r="M25" s="232">
        <f t="shared" si="7"/>
        <v>813.47328000000005</v>
      </c>
      <c r="N25" s="233">
        <f>SUM(N16:N24)</f>
        <v>183.05084745762701</v>
      </c>
      <c r="O25" s="101">
        <f>SUM(O16:O24)</f>
        <v>4.982620637288135</v>
      </c>
      <c r="P25" s="234">
        <f>SUM(P16:P24)</f>
        <v>1001.5067480949152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941.5200000000001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47.076000000000008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80.970720000000014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813.47328000000005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996.52412745762706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74" t="s">
        <v>88</v>
      </c>
      <c r="O35" s="375"/>
      <c r="P35" s="297">
        <f>+P33+P34</f>
        <v>1001.5067480949152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234">
        <f>SUM(P16:P24)</f>
        <v>250.37668702372881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235.38000000000002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11.769000000000002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20.242680000000004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203.36832000000001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249.13103186440676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4" t="s">
        <v>88</v>
      </c>
      <c r="O35" s="375"/>
      <c r="P35" s="297">
        <f>+P33+P34</f>
        <v>250.37668702372881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24</v>
      </c>
      <c r="I16" s="235">
        <f>(G16*D16)*F16+H16*F16</f>
        <v>1259.0999999999999</v>
      </c>
      <c r="J16" s="271">
        <f>$I16*S16</f>
        <v>100.72799999999999</v>
      </c>
      <c r="K16" s="127">
        <f>$I16*T16</f>
        <v>44.0685</v>
      </c>
      <c r="L16" s="118">
        <f>$I16*U16</f>
        <v>0</v>
      </c>
      <c r="M16" s="229">
        <f>I16-SUM(J16:L16)</f>
        <v>1114.3035</v>
      </c>
      <c r="N16" s="248">
        <f>+(G16*D16+H16)*V16</f>
        <v>237.96610169491515</v>
      </c>
      <c r="O16" s="238">
        <f>(N16+M16)*$O$15</f>
        <v>6.7613480084745756</v>
      </c>
      <c r="P16" s="118">
        <f>M16+N16+O16</f>
        <v>1359.0309497033898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1888.6499999999999</v>
      </c>
      <c r="J25" s="274">
        <f>SUM(J16:J24)</f>
        <v>151.09199999999998</v>
      </c>
      <c r="K25" s="275">
        <f t="shared" si="7"/>
        <v>66.10275</v>
      </c>
      <c r="L25" s="276">
        <f t="shared" si="7"/>
        <v>0</v>
      </c>
      <c r="M25" s="232">
        <f t="shared" si="7"/>
        <v>1671.45525</v>
      </c>
      <c r="N25" s="233">
        <f>SUM(N16:N24)</f>
        <v>356.94915254237276</v>
      </c>
      <c r="O25" s="101">
        <f>SUM(O16:O24)</f>
        <v>10.142022012711863</v>
      </c>
      <c r="P25" s="234">
        <f>SUM(P16:P24)</f>
        <v>2038.5464245550847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1888.6499999999999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151.09199999999998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66.10275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1671.45525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356.94915254237276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2028.4044025423727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10.142022012711864</v>
      </c>
    </row>
    <row r="35" spans="2:16" ht="15.75" customHeight="1" thickBot="1" x14ac:dyDescent="0.4">
      <c r="N35" s="374" t="s">
        <v>88</v>
      </c>
      <c r="O35" s="375"/>
      <c r="P35" s="297">
        <f>+P33+P34</f>
        <v>2038.5464245550845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2035.6250000000002</v>
      </c>
      <c r="J25" s="274">
        <f>SUM(J16:J24)</f>
        <v>139.31200000000001</v>
      </c>
      <c r="K25" s="275">
        <f t="shared" si="7"/>
        <v>71.246875000000017</v>
      </c>
      <c r="L25" s="276">
        <f t="shared" si="7"/>
        <v>40.014600000000002</v>
      </c>
      <c r="M25" s="232">
        <f t="shared" si="7"/>
        <v>1785.0515250000003</v>
      </c>
      <c r="N25" s="233">
        <f>SUM(N16:N24)</f>
        <v>388.98305084745749</v>
      </c>
      <c r="O25" s="101">
        <f>SUM(O16:O24)</f>
        <v>10.870172879237288</v>
      </c>
      <c r="P25" s="234">
        <f>SUM(P16:P24)</f>
        <v>2184.9047487266953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2035.6250000000002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139.31200000000001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111.26147500000002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1785.0515250000001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388.98305084745749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2174.0345758474577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10.870172879237289</v>
      </c>
    </row>
    <row r="35" spans="2:16" ht="15.75" customHeight="1" thickBot="1" x14ac:dyDescent="0.4">
      <c r="N35" s="374" t="s">
        <v>88</v>
      </c>
      <c r="O35" s="375"/>
      <c r="P35" s="297">
        <f>+P33+P34</f>
        <v>2184.9047487266948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18</v>
      </c>
      <c r="I22" s="236">
        <f t="shared" si="0"/>
        <v>706.1400000000001</v>
      </c>
      <c r="J22" s="272">
        <f t="shared" si="1"/>
        <v>35.307000000000009</v>
      </c>
      <c r="K22" s="128">
        <f t="shared" si="1"/>
        <v>24.714900000000007</v>
      </c>
      <c r="L22" s="119">
        <f t="shared" si="1"/>
        <v>36.01314</v>
      </c>
      <c r="M22" s="230">
        <f t="shared" si="2"/>
        <v>610.10496000000012</v>
      </c>
      <c r="N22" s="277">
        <f t="shared" si="3"/>
        <v>137.28813559322026</v>
      </c>
      <c r="O22" s="239">
        <f t="shared" si="4"/>
        <v>3.7369654779661019</v>
      </c>
      <c r="P22" s="119">
        <f t="shared" si="5"/>
        <v>751.13006107118645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706.1400000000001</v>
      </c>
      <c r="J25" s="274">
        <f>SUM(J16:J24)</f>
        <v>35.307000000000009</v>
      </c>
      <c r="K25" s="275">
        <f t="shared" si="7"/>
        <v>24.714900000000007</v>
      </c>
      <c r="L25" s="276">
        <f t="shared" si="7"/>
        <v>36.01314</v>
      </c>
      <c r="M25" s="232">
        <f t="shared" si="7"/>
        <v>610.10496000000012</v>
      </c>
      <c r="N25" s="233">
        <f>SUM(N16:N24)</f>
        <v>137.28813559322026</v>
      </c>
      <c r="O25" s="101">
        <f>SUM(O16:O24)</f>
        <v>3.7369654779661019</v>
      </c>
      <c r="P25" s="234">
        <f>SUM(P16:P24)</f>
        <v>751.13006107118645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706.1400000000001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35.307000000000009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60.728040000000007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610.10496000000012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747.39309559322032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3.7369654779661019</v>
      </c>
    </row>
    <row r="35" spans="2:16" ht="15.75" customHeight="1" thickBot="1" x14ac:dyDescent="0.4">
      <c r="N35" s="374" t="s">
        <v>88</v>
      </c>
      <c r="O35" s="375"/>
      <c r="P35" s="297">
        <f>+P33+P34</f>
        <v>751.13006107118645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2026-09-15T12:52:12Z</dcterms:modified>
</cp:coreProperties>
</file>