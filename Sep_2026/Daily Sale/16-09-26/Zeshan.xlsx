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96E6E7A8-6BB2-4107-A5A4-E6F4BDFA204D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0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2" l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M16" i="48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<sst xmlns="http://schemas.openxmlformats.org/spreadsheetml/2006/main" count="3948" uniqueCount="537">
  <si>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</si>
  <si>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</si>
  <si>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</si>
  <si>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</si>
  <si>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</si>
  <si>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</si>
  <si>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</si>
  <si>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</si>
  <si>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</si>
  <si>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</si>
  <si>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</si>
  <si>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</si>
  <si>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</si>
  <si>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</si>
  <si>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</si>
  <si>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</si>
  <si>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</si>
  <si>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</si>
  <si>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</si>
  <si>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</si>
  <si>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</si>
  <si>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</si>
  <si>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</si>
  <si>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</si>
  <si>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</si>
  <si>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</si>
  <si>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</si>
  <si>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</si>
  <si>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</si>
  <si>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</si>
  <si>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</si>
  <si>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</si>
  <si>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</si>
  <si>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</si>
  <si>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</si>
  <si>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</si>
  <si>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</si>
  <si>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</si>
  <si>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</si>
  <si>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</si>
  <si>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</si>
  <si>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</si>
  <si>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</si>
  <si>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</si>
  <si>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</si>
  <si>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</si>
  <si>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</si>
  <si>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</si>
  <si>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</si>
  <si>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</si>
  <si>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</si>
  <si>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</si>
  <si>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</si>
  <si>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</si>
  <si>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</si>
  <si>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</si>
  <si>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</si>
  <si>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</si>
  <si>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</si>
  <si>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</si>
  <si>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</si>
  <si>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</si>
  <si>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</si>
  <si>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</si>
  <si>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</si>
  <si>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</si>
  <si>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</si>
  <si>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</si>
  <si>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</si>
  <si>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</si>
  <si>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</si>
  <si>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</si>
  <si>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</si>
  <si>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</si>
  <si>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</si>
  <si>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</si>
  <si>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</si>
  <si>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</si>
  <si>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</si>
  <si>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</si>
  <si>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</si>
  <si>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</si>
  <si>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</si>
  <si>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</si>
  <si>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</si>
  <si>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</si>
  <si>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</si>
  <si>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</si>
  <si>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</si>
  <si>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</si>
  <si>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</si>
  <si>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</si>
  <si>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</si>
  <si>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</si>
  <si>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</si>
  <si>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</si>
  <si>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</si>
  <si>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</si>
  <si>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</si>
  <si>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</si>
  <si>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</si>
  <si>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</si>
  <si>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</si>
  <si>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</si>
  <si>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</si>
  <si>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</si>
  <si>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</si>
  <si>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</si>
  <si>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</si>
  <si>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</si>
  <si>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</si>
  <si>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</si>
  <si>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</si>
  <si>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</si>
  <si>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</si>
  <si>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</si>
  <si>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</si>
  <si>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</si>
  <si>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</si>
  <si>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</si>
  <si>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</si>
  <si>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</si>
  <si>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</si>
  <si>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</si>
  <si>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</si>
  <si>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</si>
  <si>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</si>
  <si>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</si>
  <si>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</si>
  <si>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</si>
  <si>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</si>
  <si>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</si>
  <si>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</si>
  <si>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</si>
  <si>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</si>
  <si>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</si>
  <si>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</si>
  <si>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</si>
  <si>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</si>
  <si>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</si>
  <si>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</si>
  <si>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</si>
  <si>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</si>
  <si>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</si>
  <si>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</si>
  <si>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</si>
  <si>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</si>
  <si>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</si>
  <si>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</si>
  <si>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</si>
  <si>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</si>
  <si>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</si>
  <si>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</si>
  <si>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</si>
  <si>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</si>
  <si>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</si>
  <si>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</si>
  <si>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</si>
  <si>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</si>
  <si>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</si>
  <si>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</si>
  <si>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</si>
  <si>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</si>
  <si>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</si>
  <si>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</si>
  <si>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</si>
  <si>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</si>
  <si>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</si>
  <si>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</si>
  <si>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</si>
  <si>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</si>
  <si>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</si>
  <si>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</si>
  <si>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</si>
  <si>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</si>
  <si>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</si>
  <si>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</si>
  <si>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</si>
  <si>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</si>
  <si>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</si>
  <si>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</si>
  <si>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</si>
  <si>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</si>
  <si>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</si>
  <si>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</si>
  <si>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</si>
  <si>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</si>
  <si>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</si>
  <si>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</si>
  <si>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</si>
  <si>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</si>
  <si>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</si>
  <si>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</si>
  <si>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</si>
  <si>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</si>
  <si>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</si>
  <si>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</si>
  <si>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</si>
  <si>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</si>
  <si>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</si>
  <si>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</si>
  <si>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</si>
  <si>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</si>
  <si>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</si>
  <si>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</si>
  <si>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</si>
  <si>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</si>
  <si>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</si>
  <si>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</si>
  <si>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</si>
  <si>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</si>
  <si>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</si>
  <si>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</si>
  <si>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</si>
  <si>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</si>
  <si>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</si>
  <si>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</si>
  <si>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</si>
  <si>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</si>
  <si>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</si>
  <si>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</si>
  <si>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</si>
  <si>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</si>
  <si>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</si>
  <si>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</si>
  <si>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</si>
  <si>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</si>
  <si>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</si>
  <si>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</si>
  <si>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</si>
  <si>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</si>
  <si>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</si>
  <si>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</si>
  <si>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</si>
  <si>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</si>
  <si>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</si>
  <si>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</si>
  <si>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</si>
  <si>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</si>
  <si>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</si>
  <si>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</si>
  <si>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</si>
  <si>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</si>
  <si>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</si>
  <si>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</si>
  <si>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</si>
  <si>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</si>
  <si>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</si>
  <si>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</si>
  <si>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</si>
  <si>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</si>
  <si>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</si>
  <si>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</si>
  <si>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</si>
  <si>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</si>
  <si>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</si>
  <si>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</si>
  <si>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</si>
  <si>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</si>
  <si>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</si>
  <si>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</si>
  <si>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</si>
  <si>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</si>
  <si>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</si>
  <si>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</si>
  <si>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</si>
  <si>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</si>
  <si>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</si>
  <si>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</si>
  <si>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</si>
  <si>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</si>
  <si>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</si>
  <si>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</si>
  <si>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</si>
  <si>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</si>
  <si>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</si>
  <si>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</si>
  <si>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</si>
  <si>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</si>
  <si>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</si>
  <si>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</si>
  <si>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</si>
  <si>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</si>
  <si>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</si>
  <si>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</si>
  <si>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</si>
  <si>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</si>
  <si>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</si>
  <si>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</si>
  <si>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</si>
  <si>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</si>
  <si>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</si>
  <si>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</si>
  <si>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</si>
  <si>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</si>
  <si>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</si>
  <si>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</si>
  <si>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</si>
  <si>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</si>
  <si>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</si>
  <si>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</si>
  <si>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</si>
  <si>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</si>
  <si>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</si>
  <si>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</si>
  <si>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</si>
  <si>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</si>
  <si>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</si>
  <si>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</si>
  <si>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</si>
  <si>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</si>
  <si>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</si>
  <si>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</si>
  <si>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</si>
  <si>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</si>
  <si>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</si>
  <si>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</si>
  <si>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</si>
  <si>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</si>
  <si>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</si>
  <si>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</si>
  <si>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</si>
  <si>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</si>
  <si>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</si>
  <si>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</si>
  <si>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</si>
  <si>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</si>
  <si>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</si>
  <si>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</si>
  <si>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</si>
  <si>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</si>
  <si>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</si>
  <si>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</si>
  <si>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</si>
  <si>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</si>
  <si>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</si>
  <si>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</si>
  <si>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</si>
  <si>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</si>
  <si>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</si>
  <si>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</si>
  <si>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</si>
  <si>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</si>
  <si>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</si>
  <si>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</si>
  <si>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</si>
  <si>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</si>
  <si>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</si>
  <si>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</si>
  <si>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</si>
  <si>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</si>
  <si>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</si>
  <si>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</si>
  <si>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</si>
  <si>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</si>
  <si>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</si>
  <si>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</si>
  <si>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</si>
  <si>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</si>
  <si>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</si>
  <si>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</si>
  <si>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</si>
  <si>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</si>
  <si>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</si>
  <si>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</si>
  <si>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</si>
  <si>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</si>
  <si>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</si>
  <si>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</si>
  <si>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</si>
  <si>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</si>
  <si>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</si>
  <si>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</si>
  <si>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</si>
  <si>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</si>
  <si>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</si>
  <si>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</si>
  <si>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</si>
  <si>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</si>
  <si>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</si>
  <si>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</si>
  <si>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</si>
  <si>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</si>
  <si>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</si>
  <si>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</si>
  <si>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</si>
  <si>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</si>
  <si>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</si>
  <si>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</si>
  <si>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</si>
  <si>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</si>
  <si>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</si>
  <si>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</si>
  <si>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</si>
  <si>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</si>
  <si>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</si>
  <si>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</si>
  <si>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</si>
  <si>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</si>
  <si>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</si>
  <si>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</si>
  <si>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</si>
  <si>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</si>
  <si>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</si>
  <si>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</si>
  <si>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</si>
  <si>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</si>
  <si>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</si>
  <si>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</si>
  <si>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</si>
  <si>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</si>
  <si>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</si>
  <si>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</si>
  <si>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</si>
  <si>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</si>
  <si>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</si>
  <si>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</si>
  <si>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</si>
  <si>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</si>
  <si>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</si>
  <si>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</si>
  <si>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</si>
  <si>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</si>
  <si>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</si>
  <si>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</si>
  <si>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</si>
  <si>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</si>
  <si>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</si>
  <si>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</si>
  <si>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</si>
  <si>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</si>
  <si>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</si>
  <si>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</si>
  <si>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</si>
  <si>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</si>
  <si>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</si>
  <si>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</si>
  <si>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</si>
  <si>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</si>
  <si>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</si>
  <si>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</si>
  <si>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</si>
  <si>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</si>
  <si>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</si>
  <si>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</si>
  <si>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</si>
  <si>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</si>
  <si>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</si>
  <si>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</si>
  <si>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</si>
  <si>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</si>
  <si>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</si>
  <si>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</si>
  <si>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</si>
  <si>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</si>
  <si>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</si>
  <si>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</si>
  <si>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</si>
  <si>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</si>
  <si>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</si>
  <si>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</si>
  <si>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</si>
  <si>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</si>
  <si>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</si>
  <si>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</si>
  <si>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</si>
  <si>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</si>
  <si>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</si>
  <si>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</si>
  <si>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</si>
  <si>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</si>
  <si>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</si>
  <si>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</si>
  <si>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</si>
  <si>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</si>
  <si>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</si>
  <si>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</si>
  <si>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</si>
  <si>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</si>
  <si>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</si>
  <si>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</si>
  <si>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</si>
  <si>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</si>
  <si>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</si>
  <si>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</si>
  <si>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</si>
  <si>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</si>
  <si>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</si>
  <si>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</si>
  <si>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</si>
  <si>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</si>
  <si>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</si>
  <si>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</si>
  <si>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</si>
  <si>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</si>
  <si>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</si>
  <si>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</si>
  <si>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</si>
  <si>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</si>
  <si>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</si>
  <si>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</si>
  <si>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</si>
  <si>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</si>
  <si>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</si>
  <si>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</si>
  <si>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</si>
  <si>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</si>
  <si>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</si>
  <si>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</si>
  <si>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</si>
  <si>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</si>
  <si>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</si>
  <si>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</si>
  <si>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</si>
  <si>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Nishat Colony</t>
  </si>
  <si>
    <t xml:space="preserve">Adil Pharmacy </t>
  </si>
  <si>
    <t>Faizan Store</t>
  </si>
  <si>
    <t>Usman Store</t>
  </si>
  <si>
    <t>Imran Store</t>
  </si>
  <si>
    <t>Ghosia Store</t>
  </si>
  <si>
    <t>Syed Store</t>
  </si>
  <si>
    <t>MS Store</t>
  </si>
  <si>
    <t>Qadri Store</t>
  </si>
  <si>
    <t>Delishia Store</t>
  </si>
  <si>
    <t>Jammal Store</t>
  </si>
  <si>
    <t>Lal Store</t>
  </si>
  <si>
    <t>Latif Store</t>
  </si>
  <si>
    <t>Bismillah Store</t>
  </si>
  <si>
    <t>Chaudry Store</t>
  </si>
  <si>
    <t>Bilal Store</t>
  </si>
  <si>
    <t>Chorahi Store</t>
  </si>
  <si>
    <t xml:space="preserve">Shreef Mart </t>
  </si>
  <si>
    <t xml:space="preserve">Raka Poshi </t>
  </si>
  <si>
    <t>Subedaar Store</t>
  </si>
  <si>
    <t>Mian Store</t>
  </si>
  <si>
    <t>Sheikh Store</t>
  </si>
  <si>
    <t xml:space="preserve">Value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</si>
</sst>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30" workbookViewId="0">
      <selection activeCell="R34" sqref="R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46281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Adil Pharmacy 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Faizan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Usman Store</v>
      </c>
      <c r="T5" s="301">
        <f>+'3'!P35</f>
        <v>417.29447837288137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Imran Store</v>
      </c>
      <c r="T6" s="301">
        <f>+'4'!P35</f>
        <v>417.29447837288137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56</v>
      </c>
      <c r="I7" s="235">
        <f>(G7*D7)*F7+H7*F7</f>
        <v>2937.9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235.03199999999998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102.82650000000001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2600.0415000000003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555.2542372881353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15.776478686440678</v>
      </c>
      <c r="P7" s="310">
        <f>M7+N7+O7</f>
        <v>3171.0722159745765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Ghosia Store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56</v>
      </c>
      <c r="I8" s="236">
        <f t="shared" ref="I8:I14" si="0">(G8*D8)*F8+H8*F8</f>
        <v>2937.9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235.03199999999998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102.82650000000001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2600.0415000000003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555.2542372881353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15.776478686440678</v>
      </c>
      <c r="P8" s="311">
        <f t="shared" ref="P8:P15" si="2">M8+N8+O8</f>
        <v>3171.0722159745765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Syed Store</v>
      </c>
      <c r="T8" s="301">
        <f>+'6'!P35</f>
        <v>283.13144785487287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MS Store</v>
      </c>
      <c r="T9" s="301">
        <f>+'7'!P35</f>
        <v>283.13144785487287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70</v>
      </c>
      <c r="I10" s="236">
        <f t="shared" si="0"/>
        <v>5084.8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406.78399999999999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177.96800000000002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4500.0480000000007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961.01694915254245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27.305324745762714</v>
      </c>
      <c r="P10" s="311">
        <f t="shared" si="2"/>
        <v>5488.3702738983056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Qadri Store</v>
      </c>
      <c r="T10" s="301">
        <f>+'8'!P35</f>
        <v>283.13144785487287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75</v>
      </c>
      <c r="I11" s="236">
        <f t="shared" si="0"/>
        <v>5448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435.84000000000003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190.68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4821.4799999999996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1029.6610169491526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29.255705084745763</v>
      </c>
      <c r="P11" s="311">
        <f t="shared" si="2"/>
        <v>5880.3967220338973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Delishia Store</v>
      </c>
      <c r="T11" s="301">
        <f>+'9'!P35</f>
        <v>283.13144785487287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Jammal Store</v>
      </c>
      <c r="T12" s="301">
        <f>+'10'!P35</f>
        <v>283.13144785487287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255</v>
      </c>
      <c r="I13" s="236">
        <f t="shared" si="0"/>
        <v>10003.650000000001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500.18250000000012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350.12775000000011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510.18615</v>
      </c>
      <c r="M13" s="230">
        <f t="shared" si="1"/>
        <v>8643.1536000000015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1944.9152542372869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52.94034427118644</v>
      </c>
      <c r="P13" s="311">
        <f t="shared" si="2"/>
        <v>10641.009198508475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Lal Store</v>
      </c>
      <c r="T13" s="301">
        <f>+'11'!P35</f>
        <v>1669.1779134915255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Latif Store</v>
      </c>
      <c r="T14" s="301">
        <f>+'12'!P35</f>
        <v>12746.990582237289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Bismillah Store</v>
      </c>
      <c r="T15" s="301">
        <f>+'13'!P35</f>
        <v>5401.2631679237284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14.8</v>
      </c>
      <c r="H16" s="113">
        <f t="shared" ref="H16:M16" si="3">SUM(H7:H15)</f>
        <v>592</v>
      </c>
      <c r="I16" s="114">
        <f t="shared" si="3"/>
        <v>32223.45</v>
      </c>
      <c r="J16" s="274">
        <f>SUM(J7:J15)</f>
        <v>2277.7665000000002</v>
      </c>
      <c r="K16" s="275">
        <f t="shared" si="3"/>
        <v>1127.8207500000003</v>
      </c>
      <c r="L16" s="276">
        <f t="shared" si="3"/>
        <v>510.18615</v>
      </c>
      <c r="M16" s="232">
        <f t="shared" si="3"/>
        <v>28307.676600000003</v>
      </c>
      <c r="N16" s="233">
        <f>SUM(N7:N15)</f>
        <v>6144.4067796610152</v>
      </c>
      <c r="O16" s="101">
        <f>SUM(O7:O15)</f>
        <v>172.26041689830507</v>
      </c>
      <c r="P16" s="113">
        <f>SUM(P7:P15)</f>
        <v>34624.343796559318</v>
      </c>
      <c r="Q16" s="128">
        <f>SUM(Q7:Q15)</f>
        <v>0</v>
      </c>
      <c r="R16" s="313">
        <v>14</v>
      </c>
      <c r="S16" s="315" t="str">
        <f>+'14'!A6:A6</f>
        <v>Chaudry Store</v>
      </c>
      <c r="T16" s="301">
        <f>+'14'!P35</f>
        <v>2247.6212673940672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Bilal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Chorahi Store</v>
      </c>
      <c r="T18" s="301">
        <f>+'16'!P35</f>
        <v>392.02644813559323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32223.45</v>
      </c>
      <c r="R19" s="299">
        <v>17</v>
      </c>
      <c r="S19" s="300" t="str">
        <f>+'17'!A6:A6</f>
        <v xml:space="preserve">Shreef Mart </v>
      </c>
      <c r="T19" s="301">
        <f>+'17'!P35</f>
        <v>784.05289627118646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2277.7665000000002</v>
      </c>
      <c r="R20" s="299">
        <v>18</v>
      </c>
      <c r="S20" s="300" t="str">
        <f>+'18'!A6:A6</f>
        <v xml:space="preserve">Raka Poshi </v>
      </c>
      <c r="T20" s="301">
        <f>+'18'!P35</f>
        <v>392.02644813559323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1638.0069000000003</v>
      </c>
      <c r="R21" s="299">
        <v>19</v>
      </c>
      <c r="S21" s="300" t="str">
        <f>+'19'!A6:A6</f>
        <v>MS Store</v>
      </c>
      <c r="T21" s="301">
        <f>+'19'!P35</f>
        <v>784.05289627118646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28307.676599999999</v>
      </c>
      <c r="R22" s="299">
        <v>20</v>
      </c>
      <c r="S22" s="300" t="str">
        <f>+'20'!A6:A6</f>
        <v>Subedaar Store</v>
      </c>
      <c r="T22" s="301">
        <f>+'20'!P35</f>
        <v>392.02644813559323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6144.4067796610152</v>
      </c>
      <c r="R23" s="299">
        <v>21</v>
      </c>
      <c r="S23" s="300" t="str">
        <f>+'21'!A6:A6</f>
        <v>Mian Store</v>
      </c>
      <c r="T23" s="301">
        <f>+'21'!P35</f>
        <v>849.39434356461845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34452.083379661017</v>
      </c>
      <c r="R24" s="299">
        <v>22</v>
      </c>
      <c r="S24" s="300" t="str">
        <f>+'22'!A6:A6</f>
        <v>Sheikh Store</v>
      </c>
      <c r="T24" s="301">
        <f>+'22'!P35</f>
        <v>1475.3360611239405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172.26041689830507</v>
      </c>
      <c r="R25" s="299">
        <v>23</v>
      </c>
      <c r="S25" s="300" t="str">
        <f>+'23'!A6:A6</f>
        <v xml:space="preserve">Value Mart </v>
      </c>
      <c r="T25" s="301">
        <f>+'23'!P35</f>
        <v>3338.355826983051</v>
      </c>
    </row>
    <row r="26" spans="1:20" ht="21.75" customHeight="1" thickBot="1" x14ac:dyDescent="0.4">
      <c r="N26" s="374" t="s">
        <v>88</v>
      </c>
      <c r="O26" s="375"/>
      <c r="P26" s="297">
        <f>+P24+P25</f>
        <v>34624.343796559318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34624.343796559318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1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4" t="s">
        <v>88</v>
      </c>
      <c r="O35" s="375"/>
      <c r="P35" s="297">
        <f>+P33+P34</f>
        <v>417.29447837288137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4" t="s">
        <v>88</v>
      </c>
      <c r="O35" s="375"/>
      <c r="P35" s="297">
        <f>+P33+P34</f>
        <v>417.29447837288137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4" t="s">
        <v>88</v>
      </c>
      <c r="O35" s="375"/>
      <c r="P35" s="297">
        <f>+P33+P34</f>
        <v>417.29447837288137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392.30000000000007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19.615000000000006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33.737800000000007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338.94720000000007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415.21838644067799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74" t="s">
        <v>88</v>
      </c>
      <c r="O35" s="375"/>
      <c r="P35" s="297">
        <f>+P33+P34</f>
        <v>417.29447837288137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262.3125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20.984999999999999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9.1809375000000006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232.14656249999999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281.72283368644065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74" t="s">
        <v>88</v>
      </c>
      <c r="O35" s="375"/>
      <c r="P35" s="297">
        <f>+P33+P34</f>
        <v>283.13144785487287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1569.2000000000003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78.460000000000022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134.95120000000003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1355.7888000000003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1660.873545762712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4" t="s">
        <v>88</v>
      </c>
      <c r="O35" s="375"/>
      <c r="P35" s="297">
        <f>+P33+P34</f>
        <v>1669.1779134915255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200</v>
      </c>
      <c r="I25" s="114">
        <f t="shared" si="7"/>
        <v>11855.2</v>
      </c>
      <c r="J25" s="274">
        <f>SUM(J16:J24)</f>
        <v>854.26400000000012</v>
      </c>
      <c r="K25" s="275">
        <f t="shared" si="7"/>
        <v>414.93200000000002</v>
      </c>
      <c r="L25" s="276">
        <f t="shared" si="7"/>
        <v>160.05840000000001</v>
      </c>
      <c r="M25" s="232">
        <f t="shared" si="7"/>
        <v>10425.945600000001</v>
      </c>
      <c r="N25" s="233">
        <f>SUM(N16:N24)</f>
        <v>2257.6271186440677</v>
      </c>
      <c r="O25" s="101">
        <f>SUM(O16:O24)</f>
        <v>63.417863593220346</v>
      </c>
      <c r="P25" s="234">
        <f>SUM(P16:P24)</f>
        <v>12746.990582237289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11855.2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854.26400000000012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574.99040000000002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10425.945600000001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2257.6271186440677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12683.572718644069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63.417863593220346</v>
      </c>
    </row>
    <row r="35" spans="2:16" ht="15.75" customHeight="1" thickBot="1" x14ac:dyDescent="0.4">
      <c r="N35" s="374" t="s">
        <v>88</v>
      </c>
      <c r="O35" s="375"/>
      <c r="P35" s="297">
        <f>+P33+P34</f>
        <v>12746.990582237289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</v>
      </c>
      <c r="I16" s="235">
        <f>(G16*D16)*F16+H16*F16</f>
        <v>314.77499999999998</v>
      </c>
      <c r="J16" s="271">
        <f>$I16*S16</f>
        <v>25.181999999999999</v>
      </c>
      <c r="K16" s="127">
        <f>$I16*T16</f>
        <v>11.017125</v>
      </c>
      <c r="L16" s="118">
        <f>$I16*U16</f>
        <v>0</v>
      </c>
      <c r="M16" s="229">
        <f>I16-SUM(J16:L16)</f>
        <v>278.575875</v>
      </c>
      <c r="N16" s="248">
        <f>+(G16*D16+H16)*V16</f>
        <v>59.491525423728788</v>
      </c>
      <c r="O16" s="238">
        <f>(N16+M16)*$O$15</f>
        <v>1.6903370021186439</v>
      </c>
      <c r="P16" s="118">
        <f>M16+N16+O16</f>
        <v>339.75773742584744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119">
        <f t="shared" ref="P17:P24" si="5">M17+N17+O17</f>
        <v>339.75773742584744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32</v>
      </c>
      <c r="I25" s="114">
        <f t="shared" si="7"/>
        <v>2082.35</v>
      </c>
      <c r="J25" s="274">
        <f>SUM(J16:J24)</f>
        <v>166.58799999999999</v>
      </c>
      <c r="K25" s="275">
        <f t="shared" si="7"/>
        <v>72.882250000000013</v>
      </c>
      <c r="L25" s="276">
        <f t="shared" si="7"/>
        <v>0</v>
      </c>
      <c r="M25" s="232">
        <f t="shared" si="7"/>
        <v>1842.8797500000001</v>
      </c>
      <c r="N25" s="233">
        <f>SUM(N16:N24)</f>
        <v>393.5593220338983</v>
      </c>
      <c r="O25" s="101">
        <f>SUM(O16:O24)</f>
        <v>11.182195360169491</v>
      </c>
      <c r="P25" s="234">
        <f>SUM(P16:P24)</f>
        <v>2247.6212673940677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2082.35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166.58799999999999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72.882250000000013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1842.8797499999998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393.5593220338983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2236.4390720338979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11.182195360169489</v>
      </c>
    </row>
    <row r="35" spans="2:16" ht="15.75" customHeight="1" thickBot="1" x14ac:dyDescent="0.4">
      <c r="N35" s="374" t="s">
        <v>88</v>
      </c>
      <c r="O35" s="375"/>
      <c r="P35" s="297">
        <f>+P33+P34</f>
        <v>2247.6212673940672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8.75" customHeight="1" x14ac:dyDescent="0.4">
      <c r="A6" s="400" t="s">
        <v>533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234">
        <f>SUM(P16:P24)</f>
        <v>392.02644813559323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363.2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29.056000000000001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12.712000000000002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321.43200000000002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390.07606779661018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74" t="s">
        <v>88</v>
      </c>
      <c r="O35" s="375"/>
      <c r="P35" s="297">
        <f>+P33+P34</f>
        <v>392.02644813559323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15</v>
      </c>
      <c r="I25" s="114">
        <f t="shared" si="7"/>
        <v>786.9375</v>
      </c>
      <c r="J25" s="274">
        <f>SUM(J16:J24)</f>
        <v>62.954999999999998</v>
      </c>
      <c r="K25" s="275">
        <f t="shared" si="7"/>
        <v>27.542812500000004</v>
      </c>
      <c r="L25" s="276">
        <f t="shared" si="7"/>
        <v>0</v>
      </c>
      <c r="M25" s="232">
        <f t="shared" si="7"/>
        <v>696.43968749999999</v>
      </c>
      <c r="N25" s="233">
        <f>SUM(N16:N24)</f>
        <v>148.72881355932196</v>
      </c>
      <c r="O25" s="101">
        <f>SUM(O16:O24)</f>
        <v>4.22584250529661</v>
      </c>
      <c r="P25" s="234">
        <f>SUM(P16:P24)</f>
        <v>849.39434356461845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786.9375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62.954999999999998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27.542812500000004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696.43968749999999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148.72881355932196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845.1685010593219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4.22584250529661</v>
      </c>
    </row>
    <row r="35" spans="2:16" ht="15.75" customHeight="1" thickBot="1" x14ac:dyDescent="0.4">
      <c r="N35" s="374" t="s">
        <v>88</v>
      </c>
      <c r="O35" s="375"/>
      <c r="P35" s="297">
        <f>+P33+P34</f>
        <v>849.39434356461845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62.954999999999998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696.43968749999999</v>
      </c>
      <c r="N17" s="277">
        <f t="shared" ref="N17:N24" si="3">+(G17*D17+H17)*V17</f>
        <v>148.72881355932196</v>
      </c>
      <c r="O17" s="239">
        <f t="shared" ref="O17:O24" si="4">(N17+M17)*$O$15</f>
        <v>4.22584250529661</v>
      </c>
      <c r="P17" s="119">
        <f t="shared" ref="P17:P24" si="5">M17+N17+O17</f>
        <v>849.39434356461845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15</v>
      </c>
      <c r="I22" s="236">
        <f t="shared" si="0"/>
        <v>588.45000000000005</v>
      </c>
      <c r="J22" s="272">
        <f t="shared" si="1"/>
        <v>29.422500000000003</v>
      </c>
      <c r="K22" s="128">
        <f t="shared" si="1"/>
        <v>20.595750000000002</v>
      </c>
      <c r="L22" s="119">
        <f t="shared" si="1"/>
        <v>30.010950000000001</v>
      </c>
      <c r="M22" s="230">
        <f t="shared" si="2"/>
        <v>508.42080000000004</v>
      </c>
      <c r="N22" s="277">
        <f t="shared" si="3"/>
        <v>114.40677966101688</v>
      </c>
      <c r="O22" s="239">
        <f t="shared" si="4"/>
        <v>3.1141378983050845</v>
      </c>
      <c r="P22" s="119">
        <f t="shared" si="5"/>
        <v>625.941717559322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30</v>
      </c>
      <c r="I25" s="114">
        <f t="shared" si="7"/>
        <v>1375.3875</v>
      </c>
      <c r="J25" s="274">
        <f>SUM(J16:J24)</f>
        <v>92.377499999999998</v>
      </c>
      <c r="K25" s="275">
        <f t="shared" si="7"/>
        <v>48.138562500000006</v>
      </c>
      <c r="L25" s="276">
        <f t="shared" si="7"/>
        <v>30.010950000000001</v>
      </c>
      <c r="M25" s="232">
        <f t="shared" si="7"/>
        <v>1204.8604875000001</v>
      </c>
      <c r="N25" s="233">
        <f>SUM(N16:N24)</f>
        <v>263.13559322033882</v>
      </c>
      <c r="O25" s="101">
        <f>SUM(O16:O24)</f>
        <v>7.3399804036016949</v>
      </c>
      <c r="P25" s="234">
        <f>SUM(P16:P24)</f>
        <v>1475.3360611239405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1375.3875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92.377499999999998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78.149512500000014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1204.8604875000001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263.13559322033882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1467.9960807203388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7.339980403601694</v>
      </c>
    </row>
    <row r="35" spans="2:16" ht="15.75" customHeight="1" thickBot="1" x14ac:dyDescent="0.4">
      <c r="N35" s="374" t="s">
        <v>88</v>
      </c>
      <c r="O35" s="375"/>
      <c r="P35" s="297">
        <f>+P33+P34</f>
        <v>1475.3360611239405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8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536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3138.4000000000005</v>
      </c>
      <c r="J25" s="274">
        <f>SUM(J16:J24)</f>
        <v>156.92000000000004</v>
      </c>
      <c r="K25" s="275">
        <f t="shared" si="7"/>
        <v>109.84400000000002</v>
      </c>
      <c r="L25" s="276">
        <f t="shared" si="7"/>
        <v>160.05840000000001</v>
      </c>
      <c r="M25" s="232">
        <f t="shared" si="7"/>
        <v>2711.5776000000005</v>
      </c>
      <c r="N25" s="233">
        <f>SUM(N16:N24)</f>
        <v>610.16949152542338</v>
      </c>
      <c r="O25" s="101">
        <f>SUM(O16:O24)</f>
        <v>16.60873545762712</v>
      </c>
      <c r="P25" s="234">
        <f>SUM(P16:P24)</f>
        <v>3338.355826983051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3138.4000000000005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156.92000000000004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269.90240000000006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2711.5776000000005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610.16949152542338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3321.7470915254239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16.60873545762712</v>
      </c>
    </row>
    <row r="35" spans="2:16" ht="15.75" customHeight="1" thickBot="1" x14ac:dyDescent="0.4">
      <c r="N35" s="374" t="s">
        <v>88</v>
      </c>
      <c r="O35" s="375"/>
      <c r="P35" s="297">
        <f>+P33+P34</f>
        <v>3338.355826983051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46281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46280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46281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46280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2026-09-15T11:18:13Z</dcterms:modified>
</cp:coreProperties>
</file>