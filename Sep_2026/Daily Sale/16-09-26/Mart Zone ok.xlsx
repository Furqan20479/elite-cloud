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02907A0-A7D2-4E62-ACBC-9D1ABC676C7C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<sst xmlns="http://schemas.openxmlformats.org/spreadsheetml/2006/main" count="3918" uniqueCount="517">
  <si>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</si>
  <si>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</si>
  <si>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</si>
  <si>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</si>
  <si>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</si>
  <si>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</si>
  <si>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</si>
  <si>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</si>
  <si>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</si>
  <si>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</si>
  <si>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</si>
  <si>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</si>
  <si>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</si>
  <si>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</si>
  <si>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</si>
  <si>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</si>
  <si>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</si>
  <si>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</si>
  <si>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</si>
  <si>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</si>
  <si>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</si>
  <si>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</si>
  <si>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</si>
  <si>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</si>
  <si>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</si>
  <si>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</si>
  <si>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</si>
  <si>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</si>
  <si>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</si>
  <si>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</si>
  <si>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</si>
  <si>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</si>
  <si>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</si>
  <si>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</si>
  <si>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</si>
  <si>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</si>
  <si>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</si>
  <si>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</si>
  <si>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</si>
  <si>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</si>
  <si>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</si>
  <si>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</si>
  <si>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</si>
  <si>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</si>
  <si>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</si>
  <si>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</si>
  <si>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</si>
  <si>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</si>
  <si>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</si>
  <si>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</si>
  <si>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</si>
  <si>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</si>
  <si>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</si>
  <si>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</si>
  <si>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</si>
  <si>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</si>
  <si>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</si>
  <si>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</si>
  <si>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</si>
  <si>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</si>
  <si>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</si>
  <si>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</si>
  <si>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</si>
  <si>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</si>
  <si>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</si>
  <si>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</si>
  <si>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</si>
  <si>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</si>
  <si>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</si>
  <si>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</si>
  <si>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</si>
  <si>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</si>
  <si>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</si>
  <si>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</si>
  <si>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</si>
  <si>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</si>
  <si>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</si>
  <si>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</si>
  <si>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</si>
  <si>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</si>
  <si>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</si>
  <si>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</si>
  <si>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</si>
  <si>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</si>
  <si>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</si>
  <si>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</si>
  <si>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</si>
  <si>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</si>
  <si>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</si>
  <si>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</si>
  <si>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</si>
  <si>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</si>
  <si>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</si>
  <si>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</si>
  <si>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</si>
  <si>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</si>
  <si>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</si>
  <si>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</si>
  <si>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</si>
  <si>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</si>
  <si>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</si>
  <si>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</si>
  <si>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</si>
  <si>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</si>
  <si>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</si>
  <si>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</si>
  <si>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</si>
  <si>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</si>
  <si>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</si>
  <si>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</si>
  <si>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</si>
  <si>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</si>
  <si>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</si>
  <si>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</si>
  <si>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</si>
  <si>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</si>
  <si>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</si>
  <si>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</si>
  <si>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</si>
  <si>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</si>
  <si>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</si>
  <si>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</si>
  <si>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</si>
  <si>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</si>
  <si>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</si>
  <si>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</si>
  <si>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</si>
  <si>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</si>
  <si>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</si>
  <si>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</si>
  <si>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</si>
  <si>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</si>
  <si>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</si>
  <si>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</si>
  <si>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</si>
  <si>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</si>
  <si>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</si>
  <si>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</si>
  <si>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</si>
  <si>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</si>
  <si>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</si>
  <si>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</si>
  <si>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</si>
  <si>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</si>
  <si>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</si>
  <si>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</si>
  <si>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</si>
  <si>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</si>
  <si>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</si>
  <si>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</si>
  <si>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</si>
  <si>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</si>
  <si>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</si>
  <si>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</si>
  <si>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</si>
  <si>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</si>
  <si>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</si>
  <si>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</si>
  <si>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</si>
  <si>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</si>
  <si>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</si>
  <si>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</si>
  <si>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</si>
  <si>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</si>
  <si>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</si>
  <si>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</si>
  <si>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</si>
  <si>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</si>
  <si>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</si>
  <si>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</si>
  <si>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</si>
  <si>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</si>
  <si>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</si>
  <si>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</si>
  <si>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</si>
  <si>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</si>
  <si>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</si>
  <si>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</si>
  <si>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</si>
  <si>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</si>
  <si>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</si>
  <si>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</si>
  <si>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</si>
  <si>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</si>
  <si>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</si>
  <si>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</si>
  <si>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</si>
  <si>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</si>
  <si>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</si>
  <si>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</si>
  <si>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</si>
  <si>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</si>
  <si>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</si>
  <si>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</si>
  <si>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</si>
  <si>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</si>
  <si>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</si>
  <si>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</si>
  <si>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</si>
  <si>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</si>
  <si>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</si>
  <si>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</si>
  <si>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</si>
  <si>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</si>
  <si>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</si>
  <si>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</si>
  <si>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</si>
  <si>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</si>
  <si>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</si>
  <si>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</si>
  <si>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</si>
  <si>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</si>
  <si>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</si>
  <si>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</si>
  <si>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</si>
  <si>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</si>
  <si>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</si>
  <si>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</si>
  <si>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</si>
  <si>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</si>
  <si>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</si>
  <si>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</si>
  <si>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</si>
  <si>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</si>
  <si>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</si>
  <si>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</si>
  <si>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</si>
  <si>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</si>
  <si>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</si>
  <si>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</si>
  <si>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</si>
  <si>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</si>
  <si>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</si>
  <si>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</si>
  <si>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</si>
  <si>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</si>
  <si>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</si>
  <si>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</si>
  <si>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</si>
  <si>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</si>
  <si>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</si>
  <si>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</si>
  <si>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</si>
  <si>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</si>
  <si>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</si>
  <si>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</si>
  <si>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</si>
  <si>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</si>
  <si>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</si>
  <si>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</si>
  <si>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</si>
  <si>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</si>
  <si>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</si>
  <si>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</si>
  <si>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</si>
  <si>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</si>
  <si>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</si>
  <si>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</si>
  <si>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</si>
  <si>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</si>
  <si>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</si>
  <si>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</si>
  <si>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</si>
  <si>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</si>
  <si>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</si>
  <si>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</si>
  <si>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</si>
  <si>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</si>
  <si>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</si>
  <si>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</si>
  <si>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</si>
  <si>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</si>
  <si>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</si>
  <si>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</si>
  <si>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</si>
  <si>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</si>
  <si>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</si>
  <si>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</si>
  <si>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</si>
  <si>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</si>
  <si>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</si>
  <si>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</si>
  <si>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</si>
  <si>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</si>
  <si>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</si>
  <si>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</si>
  <si>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</si>
  <si>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</si>
  <si>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</si>
  <si>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</si>
  <si>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</si>
  <si>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</si>
  <si>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</si>
  <si>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</si>
  <si>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</si>
  <si>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</si>
  <si>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</si>
  <si>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</si>
  <si>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</si>
  <si>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</si>
  <si>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</si>
  <si>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</si>
  <si>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</si>
  <si>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</si>
  <si>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</si>
  <si>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</si>
  <si>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</si>
  <si>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</si>
  <si>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</si>
  <si>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</si>
  <si>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</si>
  <si>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</si>
  <si>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</si>
  <si>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</si>
  <si>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</si>
  <si>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</si>
  <si>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</si>
  <si>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</si>
  <si>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</si>
  <si>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</si>
  <si>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</si>
  <si>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</si>
  <si>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</si>
  <si>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</si>
  <si>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</si>
  <si>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</si>
  <si>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</si>
  <si>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</si>
  <si>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</si>
  <si>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</si>
  <si>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</si>
  <si>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</si>
  <si>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</si>
  <si>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</si>
  <si>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</si>
  <si>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</si>
  <si>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</si>
  <si>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</si>
  <si>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</si>
  <si>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</si>
  <si>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</si>
  <si>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</si>
  <si>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</si>
  <si>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</si>
  <si>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</si>
  <si>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</si>
  <si>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</si>
  <si>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</si>
  <si>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</si>
  <si>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</si>
  <si>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</si>
  <si>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</si>
  <si>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</si>
  <si>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</si>
  <si>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</si>
  <si>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</si>
  <si>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</si>
  <si>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</si>
  <si>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</si>
  <si>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</si>
  <si>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</si>
  <si>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</si>
  <si>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</si>
  <si>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</si>
  <si>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</si>
  <si>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</si>
  <si>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</si>
  <si>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</si>
  <si>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</si>
  <si>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</si>
  <si>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</si>
  <si>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</si>
  <si>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</si>
  <si>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</si>
  <si>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</si>
  <si>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</si>
  <si>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</si>
  <si>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</si>
  <si>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</si>
  <si>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</si>
  <si>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</si>
  <si>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</si>
  <si>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</si>
  <si>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</si>
  <si>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</si>
  <si>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</si>
  <si>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</si>
  <si>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</si>
  <si>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</si>
  <si>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</si>
  <si>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</si>
  <si>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</si>
  <si>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</si>
  <si>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</si>
  <si>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</si>
  <si>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</si>
  <si>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</si>
  <si>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</si>
  <si>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</si>
  <si>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</si>
  <si>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</si>
  <si>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</si>
  <si>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</si>
  <si>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</si>
  <si>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</si>
  <si>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</si>
  <si>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</si>
  <si>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</si>
  <si>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</si>
  <si>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</si>
  <si>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</si>
  <si>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</si>
  <si>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</si>
  <si>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</si>
  <si>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</si>
  <si>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</si>
  <si>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</si>
  <si>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</si>
  <si>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</si>
  <si>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</si>
  <si>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</si>
  <si>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</si>
  <si>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</si>
  <si>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</si>
  <si>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</si>
  <si>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</si>
  <si>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</si>
  <si>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</si>
  <si>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</si>
  <si>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</si>
  <si>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</si>
  <si>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</si>
  <si>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</si>
  <si>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</si>
  <si>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</si>
  <si>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</si>
  <si>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</si>
  <si>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</si>
  <si>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</si>
  <si>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</si>
  <si>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</si>
  <si>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</si>
  <si>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</si>
  <si>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</si>
  <si>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</si>
  <si>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</si>
  <si>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</si>
  <si>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</si>
  <si>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</si>
  <si>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</si>
  <si>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</si>
  <si>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</si>
  <si>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</si>
  <si>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</si>
  <si>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</si>
  <si>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</si>
  <si>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</si>
  <si>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</si>
  <si>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</si>
  <si>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</si>
  <si>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</si>
  <si>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</si>
  <si>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</si>
  <si>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</si>
  <si>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</si>
  <si>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</si>
  <si>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</si>
  <si>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</si>
  <si>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</si>
  <si>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</si>
  <si>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</si>
  <si>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</si>
  <si>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</si>
  <si>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</si>
  <si>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</si>
  <si>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</si>
  <si>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</si>
  <si>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</si>
  <si>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</si>
  <si>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</si>
  <si>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</si>
  <si>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</si>
  <si>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</si>
  <si>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</si>
  <si>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</si>
  <si>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</si>
  <si>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</si>
  <si>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</si>
  <si>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</si>
  <si>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</si>
  <si>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</si>
  <si>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</si>
  <si>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</si>
  <si>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</si>
  <si>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</si>
  <si>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</si>
  <si>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</si>
  <si>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</si>
  <si>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</si>
  <si>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</si>
  <si>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</si>
  <si>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</si>
  <si>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</si>
  <si>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</si>
  <si>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</si>
  <si>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</si>
  <si>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</si>
  <si>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</si>
  <si>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</si>
  <si>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</si>
  <si>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</si>
  <si>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</si>
  <si>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9796921</t>
  </si>
  <si>
    <t>Mart Zone</t>
  </si>
  <si>
    <t>Address: Opf Housing Society Lahore</t>
  </si>
  <si>
    <t>Shakoor</t>
  </si>
  <si>
    <t>Invoice No # :0001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</si>
</sst>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515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v>46281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>Mart Zone</v>
      </c>
      <c r="T3" s="301">
        <f>+'1'!P35</f>
        <v>15902.042273771185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Mart Zone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Mart Zone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Mart Zone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1815.2024999999999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11.059063347457625</v>
      </c>
      <c r="P7" s="310">
        <f>M7+N7+O7</f>
        <v>2222.8717328389826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Mart Zone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1815.2024999999999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11.059063347457625</v>
      </c>
      <c r="P8" s="311">
        <f t="shared" ref="P8:P15" si="2">M8+N8+O8</f>
        <v>2222.8717328389826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Mart Zone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209.85000000000002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1815.2024999999999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11.059063347457625</v>
      </c>
      <c r="P9" s="311">
        <f t="shared" si="2"/>
        <v>2222.8717328389826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Mart Zone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2513.3440000000001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15.312482711864407</v>
      </c>
      <c r="P10" s="311">
        <f t="shared" si="2"/>
        <v>3077.8090250847458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Mart Zone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2513.3440000000001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15.312482711864407</v>
      </c>
      <c r="P11" s="311">
        <f t="shared" si="2"/>
        <v>3077.8090250847458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Mart Zone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2513.3440000000001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15.312482711864407</v>
      </c>
      <c r="P12" s="311">
        <f t="shared" si="2"/>
        <v>3077.8090250847458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Mart Zone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Mart Zone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Mart Zone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Mart Zone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6</v>
      </c>
      <c r="H16" s="113">
        <f t="shared" ref="H16:M16" si="3">SUM(H7:H15)</f>
        <v>240</v>
      </c>
      <c r="I16" s="114">
        <f t="shared" si="3"/>
        <v>15012.300000000001</v>
      </c>
      <c r="J16" s="274">
        <f>SUM(J7:J15)</f>
        <v>1501.23</v>
      </c>
      <c r="K16" s="275">
        <f t="shared" si="3"/>
        <v>525.43050000000005</v>
      </c>
      <c r="L16" s="276">
        <f t="shared" si="3"/>
        <v>0</v>
      </c>
      <c r="M16" s="232">
        <f t="shared" si="3"/>
        <v>12985.639500000001</v>
      </c>
      <c r="N16" s="233">
        <f>SUM(N7:N15)</f>
        <v>2837.2881355932195</v>
      </c>
      <c r="O16" s="101">
        <f>SUM(O7:O15)</f>
        <v>79.1146381779661</v>
      </c>
      <c r="P16" s="113">
        <f>SUM(P7:P15)</f>
        <v>15902.042273771183</v>
      </c>
      <c r="Q16" s="128">
        <f>SUM(Q7:Q15)</f>
        <v>0</v>
      </c>
      <c r="R16" s="313">
        <v>14</v>
      </c>
      <c r="S16" s="315" t="str">
        <f>+'14'!A6:A6</f>
        <v>Mart Zone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Mart Zone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Mart Zone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15012.300000000001</v>
      </c>
      <c r="R19" s="299">
        <v>17</v>
      </c>
      <c r="S19" s="300" t="str">
        <f>+'17'!A6:A6</f>
        <v>Mart Zone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1501.23</v>
      </c>
      <c r="R20" s="299">
        <v>18</v>
      </c>
      <c r="S20" s="300" t="str">
        <f>+'18'!A6:A6</f>
        <v>Mart Zone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525.43050000000005</v>
      </c>
      <c r="R21" s="299">
        <v>19</v>
      </c>
      <c r="S21" s="300" t="str">
        <f>+'19'!A6:A6</f>
        <v>Mart Zone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12985.639500000001</v>
      </c>
      <c r="R22" s="299">
        <v>20</v>
      </c>
      <c r="S22" s="300" t="str">
        <f>+'20'!A6:A6</f>
        <v>Mart Zone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2837.2881355932195</v>
      </c>
      <c r="R23" s="299">
        <v>21</v>
      </c>
      <c r="S23" s="300" t="str">
        <f>+'21'!A6:A6</f>
        <v>Mart Zone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15822.92763559322</v>
      </c>
      <c r="R24" s="299">
        <v>22</v>
      </c>
      <c r="S24" s="300" t="str">
        <f>+'22'!A6:A6</f>
        <v>Mart Zone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79.1146381779661</v>
      </c>
      <c r="R25" s="299">
        <v>23</v>
      </c>
      <c r="S25" s="300" t="str">
        <f>+'23'!A6:A6</f>
        <v>Mart Zone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15902.042273771185</v>
      </c>
      <c r="R26" s="299">
        <v>24</v>
      </c>
      <c r="S26" s="300" t="str">
        <f>+'24'!A6:A6</f>
        <v>Mart Zone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>Mart Zone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Mart Zone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Mart Zone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Mart Zone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Mart Zone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Mart Zone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15902.042273771185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4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Summary!H3</f>
        <v>46281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46280</v>
      </c>
      <c r="O5" s="395"/>
      <c r="P5" s="395"/>
      <c r="R5" s="85"/>
      <c r="S5" s="266"/>
    </row>
    <row r="6" spans="1:22 16383:16384" ht="17.2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118">
        <f>M16+N16+O16</f>
        <v>2222.8717328389826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119">
        <f t="shared" ref="P17:P24" si="5">M17+N17+O17</f>
        <v>2222.8717328389826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209.85000000000002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1815.2024999999999</v>
      </c>
      <c r="N18" s="277">
        <f t="shared" si="3"/>
        <v>396.61016949152526</v>
      </c>
      <c r="O18" s="239">
        <f t="shared" si="4"/>
        <v>11.059063347457625</v>
      </c>
      <c r="P18" s="119">
        <f t="shared" si="5"/>
        <v>2222.8717328389826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119">
        <f t="shared" si="5"/>
        <v>3077.8090250847458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119">
        <f t="shared" si="5"/>
        <v>3077.8090250847458</v>
      </c>
      <c r="Q20" s="319"/>
      <c r="R20">
        <f>P20/21</f>
        <v>146.56233452784505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119">
        <f t="shared" si="5"/>
        <v>3077.8090250847458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1501.23</v>
      </c>
      <c r="K25" s="275">
        <f t="shared" si="10"/>
        <v>525.43050000000005</v>
      </c>
      <c r="L25" s="276">
        <f t="shared" si="10"/>
        <v>0</v>
      </c>
      <c r="M25" s="232">
        <f t="shared" si="10"/>
        <v>12985.639500000001</v>
      </c>
      <c r="N25" s="233">
        <f>SUM(N16:N24)</f>
        <v>2837.2881355932195</v>
      </c>
      <c r="O25" s="101">
        <f>SUM(O16:O24)</f>
        <v>79.1146381779661</v>
      </c>
      <c r="P25" s="234">
        <f>SUM(P16:P24)</f>
        <v>15902.042273771183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15012.300000000001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1501.23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525.43050000000005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12985.639500000001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15822.92763559322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79.1146381779661</v>
      </c>
    </row>
    <row r="35" spans="2:16" ht="15.75" customHeight="1" thickBot="1" x14ac:dyDescent="0.4">
      <c r="N35" s="375" t="s">
        <v>88</v>
      </c>
      <c r="O35" s="376"/>
      <c r="P35" s="297">
        <f>+P33+P34</f>
        <v>15902.042273771185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46280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46280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46280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46280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'1'!N4:P5</f>
        <v>46281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46280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46280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46280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46280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46280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46280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46280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46280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46280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46280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46280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46280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46280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46280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46280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46280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46280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46280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46280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46280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46280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46280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46280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46280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46281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46280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512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46296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46295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2026-09-30T07:30:26Z</dcterms:modified>
</cp:coreProperties>
</file>