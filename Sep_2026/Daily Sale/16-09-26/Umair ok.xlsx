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8E26346-325E-4F76-A2A5-4D9FBF8C6015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44" l="1"/>
  <c r="O21" i="44" s="1"/>
  <c r="P21" i="44" s="1"/>
  <c r="K12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<sst xmlns="http://schemas.openxmlformats.org/spreadsheetml/2006/main" count="3948" uniqueCount="524">
  <si>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</si>
  <si>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</si>
  <si>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</si>
  <si>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</si>
  <si>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</si>
  <si>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</si>
  <si>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</si>
  <si>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</si>
  <si>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</si>
  <si>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</si>
  <si>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</si>
  <si>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</si>
  <si>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</si>
  <si>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</si>
  <si>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</si>
  <si>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</si>
  <si>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</si>
  <si>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</si>
  <si>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</si>
  <si>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</si>
  <si>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</si>
  <si>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</si>
  <si>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</si>
  <si>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</si>
  <si>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</si>
  <si>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</si>
  <si>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</si>
  <si>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</si>
  <si>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</si>
  <si>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</si>
  <si>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</si>
  <si>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</si>
  <si>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</si>
  <si>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</si>
  <si>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</si>
  <si>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</si>
  <si>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</si>
  <si>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</si>
  <si>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</si>
  <si>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</si>
  <si>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</si>
  <si>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</si>
  <si>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</si>
  <si>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</si>
  <si>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</si>
  <si>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</si>
  <si>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</si>
  <si>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</si>
  <si>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</si>
  <si>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</si>
  <si>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</si>
  <si>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</si>
  <si>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</si>
  <si>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</si>
  <si>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</si>
  <si>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</si>
  <si>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</si>
  <si>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</si>
  <si>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</si>
  <si>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</si>
  <si>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</si>
  <si>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</si>
  <si>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</si>
  <si>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</si>
  <si>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</si>
  <si>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</si>
  <si>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</si>
  <si>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</si>
  <si>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</si>
  <si>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</si>
  <si>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</si>
  <si>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</si>
  <si>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</si>
  <si>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</si>
  <si>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</si>
  <si>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</si>
  <si>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</si>
  <si>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</si>
  <si>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</si>
  <si>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</si>
  <si>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</si>
  <si>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</si>
  <si>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</si>
  <si>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</si>
  <si>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</si>
  <si>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</si>
  <si>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</si>
  <si>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</si>
  <si>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</si>
  <si>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</si>
  <si>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</si>
  <si>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</si>
  <si>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</si>
  <si>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</si>
  <si>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</si>
  <si>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</si>
  <si>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</si>
  <si>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</si>
  <si>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</si>
  <si>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</si>
  <si>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</si>
  <si>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</si>
  <si>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</si>
  <si>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</si>
  <si>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</si>
  <si>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</si>
  <si>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</si>
  <si>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</si>
  <si>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</si>
  <si>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</si>
  <si>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</si>
  <si>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</si>
  <si>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</si>
  <si>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</si>
  <si>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</si>
  <si>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</si>
  <si>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</si>
  <si>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</si>
  <si>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</si>
  <si>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</si>
  <si>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</si>
  <si>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</si>
  <si>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</si>
  <si>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</si>
  <si>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</si>
  <si>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</si>
  <si>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</si>
  <si>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</si>
  <si>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</si>
  <si>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</si>
  <si>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</si>
  <si>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</si>
  <si>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</si>
  <si>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</si>
  <si>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</si>
  <si>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</si>
  <si>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</si>
  <si>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</si>
  <si>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</si>
  <si>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</si>
  <si>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</si>
  <si>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</si>
  <si>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</si>
  <si>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</si>
  <si>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</si>
  <si>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</si>
  <si>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</si>
  <si>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</si>
  <si>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</si>
  <si>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</si>
  <si>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</si>
  <si>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</si>
  <si>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</si>
  <si>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</si>
  <si>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</si>
  <si>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</si>
  <si>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</si>
  <si>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</si>
  <si>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</si>
  <si>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</si>
  <si>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</si>
  <si>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</si>
  <si>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</si>
  <si>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</si>
  <si>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</si>
  <si>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</si>
  <si>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</si>
  <si>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</si>
  <si>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</si>
  <si>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</si>
  <si>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</si>
  <si>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</si>
  <si>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</si>
  <si>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</si>
  <si>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</si>
  <si>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</si>
  <si>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</si>
  <si>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</si>
  <si>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</si>
  <si>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</si>
  <si>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</si>
  <si>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</si>
  <si>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</si>
  <si>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</si>
  <si>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</si>
  <si>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</si>
  <si>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</si>
  <si>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</si>
  <si>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</si>
  <si>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</si>
  <si>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</si>
  <si>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</si>
  <si>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</si>
  <si>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</si>
  <si>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</si>
  <si>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</si>
  <si>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</si>
  <si>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</si>
  <si>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</si>
  <si>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</si>
  <si>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</si>
  <si>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</si>
  <si>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</si>
  <si>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</si>
  <si>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</si>
  <si>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</si>
  <si>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</si>
  <si>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</si>
  <si>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</si>
  <si>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</si>
  <si>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</si>
  <si>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</si>
  <si>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</si>
  <si>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</si>
  <si>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</si>
  <si>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</si>
  <si>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</si>
  <si>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</si>
  <si>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</si>
  <si>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</si>
  <si>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</si>
  <si>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</si>
  <si>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</si>
  <si>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</si>
  <si>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</si>
  <si>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</si>
  <si>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</si>
  <si>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</si>
  <si>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</si>
  <si>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</si>
  <si>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</si>
  <si>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</si>
  <si>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</si>
  <si>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</si>
  <si>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</si>
  <si>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</si>
  <si>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</si>
  <si>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</si>
  <si>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</si>
  <si>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</si>
  <si>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</si>
  <si>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</si>
  <si>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</si>
  <si>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</si>
  <si>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</si>
  <si>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</si>
  <si>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</si>
  <si>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</si>
  <si>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</si>
  <si>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</si>
  <si>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</si>
  <si>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</si>
  <si>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</si>
  <si>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</si>
  <si>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</si>
  <si>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</si>
  <si>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</si>
  <si>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</si>
  <si>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</si>
  <si>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</si>
  <si>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</si>
  <si>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</si>
  <si>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</si>
  <si>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</si>
  <si>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</si>
  <si>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</si>
  <si>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</si>
  <si>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</si>
  <si>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</si>
  <si>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</si>
  <si>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</si>
  <si>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</si>
  <si>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</si>
  <si>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</si>
  <si>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</si>
  <si>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</si>
  <si>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</si>
  <si>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</si>
  <si>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</si>
  <si>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</si>
  <si>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</si>
  <si>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</si>
  <si>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</si>
  <si>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</si>
  <si>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</si>
  <si>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</si>
  <si>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</si>
  <si>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</si>
  <si>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</si>
  <si>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</si>
  <si>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</si>
  <si>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</si>
  <si>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</si>
  <si>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</si>
  <si>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</si>
  <si>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</si>
  <si>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</si>
  <si>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</si>
  <si>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</si>
  <si>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</si>
  <si>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</si>
  <si>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</si>
  <si>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</si>
  <si>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</si>
  <si>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</si>
  <si>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</si>
  <si>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</si>
  <si>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</si>
  <si>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</si>
  <si>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</si>
  <si>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</si>
  <si>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</si>
  <si>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</si>
  <si>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</si>
  <si>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</si>
  <si>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</si>
  <si>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</si>
  <si>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</si>
  <si>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</si>
  <si>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</si>
  <si>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</si>
  <si>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</si>
  <si>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</si>
  <si>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</si>
  <si>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</si>
  <si>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</si>
  <si>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</si>
  <si>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</si>
  <si>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</si>
  <si>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</si>
  <si>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</si>
  <si>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</si>
  <si>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</si>
  <si>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</si>
  <si>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</si>
  <si>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</si>
  <si>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</si>
  <si>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</si>
  <si>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</si>
  <si>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</si>
  <si>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</si>
  <si>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</si>
  <si>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</si>
  <si>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</si>
  <si>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</si>
  <si>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</si>
  <si>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</si>
  <si>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</si>
  <si>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</si>
  <si>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</si>
  <si>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</si>
  <si>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</si>
  <si>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</si>
  <si>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</si>
  <si>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</si>
  <si>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</si>
  <si>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</si>
  <si>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</si>
  <si>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</si>
  <si>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</si>
  <si>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</si>
  <si>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</si>
  <si>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</si>
  <si>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</si>
  <si>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</si>
  <si>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</si>
  <si>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</si>
  <si>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</si>
  <si>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</si>
  <si>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</si>
  <si>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</si>
  <si>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</si>
  <si>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</si>
  <si>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</si>
  <si>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</si>
  <si>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</si>
  <si>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</si>
  <si>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</si>
  <si>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</si>
  <si>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</si>
  <si>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</si>
  <si>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</si>
  <si>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</si>
  <si>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</si>
  <si>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</si>
  <si>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</si>
  <si>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</si>
  <si>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</si>
  <si>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</si>
  <si>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</si>
  <si>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</si>
  <si>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</si>
  <si>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</si>
  <si>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</si>
  <si>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</si>
  <si>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</si>
  <si>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</si>
  <si>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</si>
  <si>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</si>
  <si>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</si>
  <si>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</si>
  <si>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</si>
  <si>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</si>
  <si>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</si>
  <si>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</si>
  <si>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</si>
  <si>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</si>
  <si>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</si>
  <si>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</si>
  <si>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</si>
  <si>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</si>
  <si>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</si>
  <si>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</si>
  <si>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</si>
  <si>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</si>
  <si>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</si>
  <si>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</si>
  <si>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</si>
  <si>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</si>
  <si>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</si>
  <si>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</si>
  <si>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</si>
  <si>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</si>
  <si>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</si>
  <si>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</si>
  <si>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</si>
  <si>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</si>
  <si>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</si>
  <si>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</si>
  <si>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</si>
  <si>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</si>
  <si>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</si>
  <si>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</si>
  <si>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</si>
  <si>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</si>
  <si>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</si>
  <si>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</si>
  <si>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</si>
  <si>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</si>
  <si>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</si>
  <si>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</si>
  <si>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</si>
  <si>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</si>
  <si>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</si>
  <si>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</si>
  <si>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</si>
  <si>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</si>
  <si>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</si>
  <si>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</si>
  <si>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</si>
  <si>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</si>
  <si>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</si>
  <si>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</si>
  <si>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</si>
  <si>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</si>
  <si>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</si>
  <si>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</si>
  <si>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</si>
  <si>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</si>
  <si>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</si>
  <si>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</si>
  <si>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</si>
  <si>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</si>
  <si>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</si>
  <si>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</si>
  <si>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</si>
  <si>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</si>
  <si>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</si>
  <si>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</si>
  <si>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</si>
  <si>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</si>
  <si>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</si>
  <si>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</si>
  <si>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</si>
  <si>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</si>
  <si>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</si>
  <si>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</si>
  <si>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</si>
  <si>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</si>
  <si>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</si>
  <si>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</si>
  <si>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</si>
  <si>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</si>
  <si>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</si>
  <si>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</si>
  <si>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</si>
  <si>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</si>
  <si>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</si>
  <si>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</si>
  <si>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</si>
  <si>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</si>
  <si>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</si>
  <si>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</si>
  <si>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</si>
  <si>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</si>
  <si>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</si>
  <si>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</si>
  <si>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</si>
  <si>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</si>
  <si>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</si>
  <si>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</si>
  <si>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</si>
  <si>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</si>
  <si>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</si>
  <si>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</si>
  <si>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</si>
  <si>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</si>
  <si>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</si>
  <si>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</si>
  <si>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</si>
  <si>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</si>
  <si>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</si>
  <si>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</si>
  <si>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Umair</t>
  </si>
  <si>
    <t>Address: Aashiyana Road</t>
  </si>
  <si>
    <t>Rizwan Kareyana Store</t>
  </si>
  <si>
    <t xml:space="preserve">Ghosia Goldtra Bakery </t>
  </si>
  <si>
    <t xml:space="preserve">Ok Bakers </t>
  </si>
  <si>
    <t xml:space="preserve">Address: Awan Market </t>
  </si>
  <si>
    <t xml:space="preserve">Ameen Super Mart </t>
  </si>
  <si>
    <t xml:space="preserve">Gulshan Bakery </t>
  </si>
  <si>
    <t>Sabri Kareyana Store</t>
  </si>
  <si>
    <t>Address: Awan Market</t>
  </si>
  <si>
    <t xml:space="preserve">Hafiz Bakery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</si>
</sst>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3" workbookViewId="0">
      <selection activeCell="H13" sqref="H1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46281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Rizwan Kareyana Store</v>
      </c>
      <c r="T3" s="301">
        <f>+'1'!P35</f>
        <v>1669.1779134915255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Ghosia Goldtra Bakery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Ok Bakers </v>
      </c>
      <c r="T5" s="301">
        <f>+'3'!P35</f>
        <v>4883.7947882033905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Ameen Super Mart </v>
      </c>
      <c r="T6" s="301">
        <f>+'4'!P35</f>
        <v>1669.1779134915255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6</v>
      </c>
      <c r="R7" s="313">
        <v>5</v>
      </c>
      <c r="S7" s="300" t="str">
        <f>+'5'!A6:A6</f>
        <v xml:space="preserve">Gulshan Bakery </v>
      </c>
      <c r="T7" s="301">
        <f>+'5'!P35</f>
        <v>1669.1779134915255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6</v>
      </c>
      <c r="R8" s="313">
        <v>6</v>
      </c>
      <c r="S8" s="300" t="str">
        <f>+'6'!A6:A6</f>
        <v>Sabri Kareyana Store</v>
      </c>
      <c r="T8" s="301">
        <f>+'6'!P35</f>
        <v>1669.1779134915255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6</v>
      </c>
      <c r="R9" s="313">
        <v>7</v>
      </c>
      <c r="S9" s="300" t="str">
        <f>+'7'!A6:A6</f>
        <v xml:space="preserve">Hafiz Bakery </v>
      </c>
      <c r="T9" s="301">
        <f>+'7'!P35</f>
        <v>500.75337404745761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15</v>
      </c>
      <c r="I10" s="236">
        <f t="shared" si="0"/>
        <v>1089.5999999999999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87.167999999999992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38.136000000000003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964.29599999999994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205.93220338983053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5.8511410169491525</v>
      </c>
      <c r="P10" s="311">
        <f t="shared" si="2"/>
        <v>1176.0793444067797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13</v>
      </c>
      <c r="I11" s="236">
        <f t="shared" si="0"/>
        <v>944.32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75.545600000000007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33.051200000000001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835.72320000000002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178.47457627118644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5.070988881355933</v>
      </c>
      <c r="P11" s="311">
        <f t="shared" si="2"/>
        <v>1019.2687651525424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13</v>
      </c>
      <c r="I12" s="236">
        <f t="shared" si="0"/>
        <v>944.32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75.545600000000007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33.051200000000001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835.72320000000002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178.47457627118644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5.070988881355933</v>
      </c>
      <c r="P12" s="311">
        <f t="shared" si="2"/>
        <v>1019.2687651525424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212</v>
      </c>
      <c r="I13" s="236">
        <f t="shared" si="0"/>
        <v>8316.76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415.83800000000014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291.08660000000009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424.15476000000001</v>
      </c>
      <c r="M13" s="230">
        <f t="shared" si="1"/>
        <v>7185.6806400000005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1616.9491525423718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44.013148962711867</v>
      </c>
      <c r="P13" s="311">
        <f t="shared" si="2"/>
        <v>8846.6429415050825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40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6.3250000000000002</v>
      </c>
      <c r="H16" s="113">
        <f t="shared" ref="H16:M16" si="3">SUM(H7:H15)</f>
        <v>253</v>
      </c>
      <c r="I16" s="114">
        <f t="shared" si="3"/>
        <v>11295</v>
      </c>
      <c r="J16" s="274">
        <f>SUM(J7:J15)</f>
        <v>654.09720000000016</v>
      </c>
      <c r="K16" s="275">
        <f t="shared" si="3"/>
        <v>395.3250000000001</v>
      </c>
      <c r="L16" s="276">
        <f t="shared" si="3"/>
        <v>424.15476000000001</v>
      </c>
      <c r="M16" s="232">
        <f t="shared" si="3"/>
        <v>9821.4230400000015</v>
      </c>
      <c r="N16" s="233">
        <f>SUM(N7:N15)</f>
        <v>2179.8305084745753</v>
      </c>
      <c r="O16" s="101">
        <f>SUM(O7:O15)</f>
        <v>60.006267742372884</v>
      </c>
      <c r="P16" s="113">
        <f>SUM(P7:P15)</f>
        <v>12061.259816216947</v>
      </c>
      <c r="Q16" s="128">
        <f>SUM(Q7:Q15)</f>
        <v>58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11295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654.09720000000016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819.47976000000017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9821.4230399999997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2179.8305084745753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12001.253548474575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60.006267742372884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12061.259816216947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12061.259816216949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1569.2000000000003</v>
      </c>
      <c r="J25" s="274">
        <f>SUM(J16:J24)</f>
        <v>78.460000000000022</v>
      </c>
      <c r="K25" s="275">
        <f t="shared" si="10"/>
        <v>54.922000000000011</v>
      </c>
      <c r="L25" s="276">
        <f t="shared" si="10"/>
        <v>80.029200000000003</v>
      </c>
      <c r="M25" s="232">
        <f t="shared" si="10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1569.2000000000003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78.460000000000022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134.95120000000003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1355.7888000000003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1660.873545762712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45" t="s">
        <v>88</v>
      </c>
      <c r="O35" s="346"/>
      <c r="P35" s="297">
        <f>+P33+P34</f>
        <v>1669.1779134915255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9" workbookViewId="0">
      <selection activeCell="H22" sqref="H16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6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6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6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58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0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R20">
        <f>P20/21</f>
        <v>48.536607864406783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13</v>
      </c>
      <c r="I21" s="236">
        <f t="shared" si="0"/>
        <v>944.32</v>
      </c>
      <c r="J21" s="272">
        <f t="shared" si="1"/>
        <v>75.545600000000007</v>
      </c>
      <c r="K21" s="128">
        <f t="shared" si="1"/>
        <v>33.051200000000001</v>
      </c>
      <c r="L21" s="119">
        <f t="shared" si="1"/>
        <v>0</v>
      </c>
      <c r="M21" s="230">
        <f t="shared" si="2"/>
        <v>835.72320000000002</v>
      </c>
      <c r="N21" s="277">
        <f t="shared" si="3"/>
        <v>178.47457627118644</v>
      </c>
      <c r="O21" s="239">
        <f t="shared" si="4"/>
        <v>5.070988881355933</v>
      </c>
      <c r="P21" s="119">
        <f t="shared" si="5"/>
        <v>1019.2687651525424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81</v>
      </c>
      <c r="I25" s="114">
        <f t="shared" si="7"/>
        <v>4547.4400000000005</v>
      </c>
      <c r="J25" s="274">
        <f>SUM(J16:J24)</f>
        <v>316.7192</v>
      </c>
      <c r="K25" s="275">
        <f t="shared" si="7"/>
        <v>159.16040000000004</v>
      </c>
      <c r="L25" s="276">
        <f t="shared" si="7"/>
        <v>80.029200000000003</v>
      </c>
      <c r="M25" s="232">
        <f t="shared" si="7"/>
        <v>3991.5312000000004</v>
      </c>
      <c r="N25" s="233">
        <f>SUM(N16:N24)</f>
        <v>867.9661016949151</v>
      </c>
      <c r="O25" s="101">
        <f>SUM(O16:O24)</f>
        <v>24.297486508474577</v>
      </c>
      <c r="P25" s="234">
        <f>SUM(P16:P24)</f>
        <v>4883.7947882033895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4547.4400000000005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316.7192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239.18960000000004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3991.5312000000008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867.9661016949151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4859.4973016949161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24.297486508474581</v>
      </c>
    </row>
    <row r="35" spans="2:16" ht="15.75" customHeight="1" thickBot="1" x14ac:dyDescent="0.4">
      <c r="N35" s="345" t="s">
        <v>88</v>
      </c>
      <c r="O35" s="346"/>
      <c r="P35" s="297">
        <f>+P33+P34</f>
        <v>4883.7947882033905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1569.2000000000003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78.460000000000022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134.95120000000003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1355.7888000000003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1660.873545762712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45" t="s">
        <v>88</v>
      </c>
      <c r="O35" s="346"/>
      <c r="P35" s="297">
        <f>+P33+P34</f>
        <v>1669.1779134915255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1569.2000000000003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78.460000000000022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134.95120000000003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1355.7888000000003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1660.873545762712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45" t="s">
        <v>88</v>
      </c>
      <c r="O35" s="346"/>
      <c r="P35" s="297">
        <f>+P33+P34</f>
        <v>1669.1779134915255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1569.2000000000003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78.460000000000022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134.95120000000003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1355.7888000000003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1660.873545762712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45" t="s">
        <v>88</v>
      </c>
      <c r="O35" s="346"/>
      <c r="P35" s="297">
        <f>+P33+P34</f>
        <v>1669.1779134915255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470.76000000000005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23.538000000000004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40.485360000000007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406.73664000000002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498.26206372881353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45" t="s">
        <v>88</v>
      </c>
      <c r="O35" s="346"/>
      <c r="P35" s="297">
        <f>+P33+P34</f>
        <v>500.75337404745761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46283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46282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2026-09-17T04:32:11Z</dcterms:modified>
</cp:coreProperties>
</file>