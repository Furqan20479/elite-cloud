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603908A-01C0-4EE2-8C30-CC875FE16A25}" xr6:coauthVersionLast="47" xr6:coauthVersionMax="47" xr10:uidLastSave="{00000000-0000-0000-0000-000000000000}"/>
  <bookViews>
    <workbookView xWindow="-110" yWindow="-110" windowWidth="19420" windowHeight="10420" tabRatio="948" firstSheet="3" activeTab="11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<sst xmlns="http://schemas.openxmlformats.org/spreadsheetml/2006/main" count="3948" uniqueCount="524">
  <si>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</si>
  <si>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</si>
  <si>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</si>
  <si>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</si>
  <si>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</si>
  <si>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</si>
  <si>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</si>
  <si>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</si>
  <si>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</si>
  <si>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</si>
  <si>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</si>
  <si>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</si>
  <si>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</si>
  <si>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</si>
  <si>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</si>
  <si>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</si>
  <si>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</si>
  <si>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</si>
  <si>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</si>
  <si>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</si>
  <si>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</si>
  <si>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</si>
  <si>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</si>
  <si>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</si>
  <si>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</si>
  <si>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</si>
  <si>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</si>
  <si>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</si>
  <si>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</si>
  <si>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</si>
  <si>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</si>
  <si>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</si>
  <si>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</si>
  <si>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</si>
  <si>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</si>
  <si>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</si>
  <si>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</si>
  <si>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</si>
  <si>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</si>
  <si>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</si>
  <si>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</si>
  <si>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</si>
  <si>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</si>
  <si>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</si>
  <si>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</si>
  <si>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</si>
  <si>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</si>
  <si>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</si>
  <si>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</si>
  <si>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</si>
  <si>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</si>
  <si>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</si>
  <si>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</si>
  <si>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</si>
  <si>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</si>
  <si>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</si>
  <si>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</si>
  <si>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</si>
  <si>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</si>
  <si>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</si>
  <si>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</si>
  <si>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</si>
  <si>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</si>
  <si>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</si>
  <si>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</si>
  <si>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</si>
  <si>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</si>
  <si>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</si>
  <si>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</si>
  <si>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</si>
  <si>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</si>
  <si>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</si>
  <si>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</si>
  <si>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</si>
  <si>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</si>
  <si>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</si>
  <si>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</si>
  <si>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</si>
  <si>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</si>
  <si>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</si>
  <si>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</si>
  <si>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</si>
  <si>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</si>
  <si>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</si>
  <si>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</si>
  <si>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</si>
  <si>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</si>
  <si>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</si>
  <si>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</si>
  <si>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</si>
  <si>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</si>
  <si>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</si>
  <si>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</si>
  <si>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</si>
  <si>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</si>
  <si>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</si>
  <si>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</si>
  <si>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</si>
  <si>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</si>
  <si>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</si>
  <si>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</si>
  <si>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</si>
  <si>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</si>
  <si>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</si>
  <si>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</si>
  <si>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</si>
  <si>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</si>
  <si>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</si>
  <si>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</si>
  <si>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</si>
  <si>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</si>
  <si>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</si>
  <si>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</si>
  <si>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</si>
  <si>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</si>
  <si>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</si>
  <si>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</si>
  <si>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</si>
  <si>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</si>
  <si>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</si>
  <si>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</si>
  <si>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</si>
  <si>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</si>
  <si>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</si>
  <si>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</si>
  <si>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</si>
  <si>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</si>
  <si>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</si>
  <si>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</si>
  <si>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</si>
  <si>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</si>
  <si>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</si>
  <si>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</si>
  <si>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</si>
  <si>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</si>
  <si>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</si>
  <si>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</si>
  <si>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</si>
  <si>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</si>
  <si>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</si>
  <si>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</si>
  <si>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</si>
  <si>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</si>
  <si>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</si>
  <si>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</si>
  <si>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</si>
  <si>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</si>
  <si>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</si>
  <si>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</si>
  <si>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</si>
  <si>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</si>
  <si>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</si>
  <si>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</si>
  <si>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</si>
  <si>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</si>
  <si>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</si>
  <si>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</si>
  <si>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</si>
  <si>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</si>
  <si>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</si>
  <si>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</si>
  <si>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</si>
  <si>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</si>
  <si>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</si>
  <si>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</si>
  <si>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</si>
  <si>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</si>
  <si>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</si>
  <si>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</si>
  <si>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</si>
  <si>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</si>
  <si>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</si>
  <si>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</si>
  <si>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</si>
  <si>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</si>
  <si>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</si>
  <si>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</si>
  <si>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</si>
  <si>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</si>
  <si>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</si>
  <si>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</si>
  <si>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</si>
  <si>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</si>
  <si>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</si>
  <si>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</si>
  <si>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</si>
  <si>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</si>
  <si>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</si>
  <si>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</si>
  <si>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</si>
  <si>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</si>
  <si>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</si>
  <si>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</si>
  <si>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</si>
  <si>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</si>
  <si>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</si>
  <si>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</si>
  <si>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</si>
  <si>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</si>
  <si>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</si>
  <si>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</si>
  <si>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</si>
  <si>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</si>
  <si>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</si>
  <si>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</si>
  <si>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</si>
  <si>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</si>
  <si>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</si>
  <si>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</si>
  <si>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</si>
  <si>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</si>
  <si>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</si>
  <si>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</si>
  <si>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</si>
  <si>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</si>
  <si>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</si>
  <si>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</si>
  <si>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</si>
  <si>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</si>
  <si>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</si>
  <si>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</si>
  <si>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</si>
  <si>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</si>
  <si>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</si>
  <si>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</si>
  <si>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</si>
  <si>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</si>
  <si>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</si>
  <si>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</si>
  <si>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</si>
  <si>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</si>
  <si>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</si>
  <si>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</si>
  <si>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</si>
  <si>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</si>
  <si>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</si>
  <si>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</si>
  <si>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</si>
  <si>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</si>
  <si>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</si>
  <si>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</si>
  <si>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</si>
  <si>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</si>
  <si>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</si>
  <si>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</si>
  <si>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</si>
  <si>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</si>
  <si>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</si>
  <si>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</si>
  <si>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</si>
  <si>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</si>
  <si>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</si>
  <si>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</si>
  <si>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</si>
  <si>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</si>
  <si>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</si>
  <si>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</si>
  <si>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</si>
  <si>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</si>
  <si>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</si>
  <si>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</si>
  <si>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</si>
  <si>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</si>
  <si>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</si>
  <si>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</si>
  <si>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</si>
  <si>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</si>
  <si>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</si>
  <si>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</si>
  <si>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</si>
  <si>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</si>
  <si>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</si>
  <si>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</si>
  <si>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</si>
  <si>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</si>
  <si>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</si>
  <si>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</si>
  <si>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</si>
  <si>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</si>
  <si>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</si>
  <si>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</si>
  <si>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</si>
  <si>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</si>
  <si>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</si>
  <si>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</si>
  <si>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</si>
  <si>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</si>
  <si>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</si>
  <si>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</si>
  <si>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</si>
  <si>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</si>
  <si>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</si>
  <si>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</si>
  <si>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</si>
  <si>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</si>
  <si>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</si>
  <si>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</si>
  <si>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</si>
  <si>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</si>
  <si>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</si>
  <si>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</si>
  <si>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</si>
  <si>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</si>
  <si>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</si>
  <si>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</si>
  <si>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</si>
  <si>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</si>
  <si>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</si>
  <si>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</si>
  <si>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</si>
  <si>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</si>
  <si>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</si>
  <si>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</si>
  <si>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</si>
  <si>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</si>
  <si>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</si>
  <si>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</si>
  <si>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</si>
  <si>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</si>
  <si>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</si>
  <si>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</si>
  <si>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</si>
  <si>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</si>
  <si>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</si>
  <si>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</si>
  <si>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</si>
  <si>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</si>
  <si>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</si>
  <si>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</si>
  <si>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</si>
  <si>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</si>
  <si>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</si>
  <si>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</si>
  <si>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</si>
  <si>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</si>
  <si>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</si>
  <si>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</si>
  <si>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</si>
  <si>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</si>
  <si>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</si>
  <si>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</si>
  <si>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</si>
  <si>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</si>
  <si>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</si>
  <si>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</si>
  <si>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</si>
  <si>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</si>
  <si>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</si>
  <si>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</si>
  <si>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</si>
  <si>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</si>
  <si>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</si>
  <si>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</si>
  <si>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</si>
  <si>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</si>
  <si>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</si>
  <si>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</si>
  <si>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</si>
  <si>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</si>
  <si>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</si>
  <si>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</si>
  <si>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</si>
  <si>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</si>
  <si>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</si>
  <si>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</si>
  <si>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</si>
  <si>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</si>
  <si>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</si>
  <si>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</si>
  <si>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</si>
  <si>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</si>
  <si>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</si>
  <si>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</si>
  <si>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</si>
  <si>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</si>
  <si>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</si>
  <si>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</si>
  <si>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</si>
  <si>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</si>
  <si>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</si>
  <si>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</si>
  <si>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</si>
  <si>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</si>
  <si>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</si>
  <si>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</si>
  <si>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</si>
  <si>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</si>
  <si>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</si>
  <si>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</si>
  <si>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</si>
  <si>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</si>
  <si>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</si>
  <si>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</si>
  <si>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</si>
  <si>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</si>
  <si>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</si>
  <si>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</si>
  <si>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</si>
  <si>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</si>
  <si>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</si>
  <si>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</si>
  <si>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</si>
  <si>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</si>
  <si>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</si>
  <si>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</si>
  <si>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</si>
  <si>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</si>
  <si>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</si>
  <si>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</si>
  <si>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</si>
  <si>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</si>
  <si>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</si>
  <si>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</si>
  <si>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</si>
  <si>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</si>
  <si>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</si>
  <si>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</si>
  <si>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</si>
  <si>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</si>
  <si>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</si>
  <si>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</si>
  <si>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</si>
  <si>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</si>
  <si>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</si>
  <si>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</si>
  <si>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</si>
  <si>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</si>
  <si>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</si>
  <si>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</si>
  <si>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</si>
  <si>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</si>
  <si>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</si>
  <si>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</si>
  <si>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</si>
  <si>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</si>
  <si>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</si>
  <si>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</si>
  <si>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</si>
  <si>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</si>
  <si>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</si>
  <si>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</si>
  <si>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</si>
  <si>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</si>
  <si>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</si>
  <si>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</si>
  <si>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</si>
  <si>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</si>
  <si>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</si>
  <si>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</si>
  <si>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</si>
  <si>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</si>
  <si>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</si>
  <si>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</si>
  <si>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</si>
  <si>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</si>
  <si>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</si>
  <si>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</si>
  <si>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</si>
  <si>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</si>
  <si>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</si>
  <si>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</si>
  <si>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</si>
  <si>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</si>
  <si>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</si>
  <si>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</si>
  <si>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</si>
  <si>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</si>
  <si>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</si>
  <si>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</si>
  <si>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</si>
  <si>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</si>
  <si>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</si>
  <si>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</si>
  <si>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</si>
  <si>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</si>
  <si>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</si>
  <si>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</si>
  <si>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</si>
  <si>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</si>
  <si>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</si>
  <si>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</si>
  <si>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</si>
  <si>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</si>
  <si>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</si>
  <si>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</si>
  <si>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</si>
  <si>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</si>
  <si>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</si>
  <si>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</si>
  <si>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</si>
  <si>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</si>
  <si>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</si>
  <si>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</si>
  <si>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</si>
  <si>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</si>
  <si>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</si>
  <si>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</si>
  <si>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</si>
  <si>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</si>
  <si>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</si>
  <si>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</si>
  <si>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</si>
  <si>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</si>
  <si>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</si>
  <si>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</si>
  <si>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</si>
  <si>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</si>
  <si>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</si>
  <si>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</si>
  <si>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</si>
  <si>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</si>
  <si>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</si>
  <si>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</si>
  <si>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</si>
  <si>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Aashiyana Road</t>
  </si>
  <si>
    <t>Rizwan Kareyana Store</t>
  </si>
  <si>
    <t xml:space="preserve">Ghosia Goldtra Bakery </t>
  </si>
  <si>
    <t xml:space="preserve">Ok Bakers </t>
  </si>
  <si>
    <t xml:space="preserve">Address: Awan Market </t>
  </si>
  <si>
    <t xml:space="preserve">Ameen Super Mart </t>
  </si>
  <si>
    <t xml:space="preserve">Gulshan Bakery </t>
  </si>
  <si>
    <t>Sabri Kareyana Store</t>
  </si>
  <si>
    <t>Address: Awan Market</t>
  </si>
  <si>
    <t xml:space="preserve">Hafiz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</si>
</sst>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5" activeCellId="1" sqref="S3 S5:S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Rizwan Kareyana Store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Ghosia Goldtra Bakery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Ok Bakers </v>
      </c>
      <c r="T5" s="301">
        <f>+'3'!P35</f>
        <v>4883.7947882033905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Ameen Super Mart </v>
      </c>
      <c r="T6" s="301">
        <f>+'4'!P35</f>
        <v>1669.1779134915255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</v>
      </c>
      <c r="R7" s="313">
        <v>5</v>
      </c>
      <c r="S7" s="300" t="str">
        <f>+'5'!A6:A6</f>
        <v xml:space="preserve">Gulshan Bakery 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3">
        <v>6</v>
      </c>
      <c r="S8" s="300" t="str">
        <f>+'6'!A6:A6</f>
        <v>Sabri Kareyana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6</v>
      </c>
      <c r="R9" s="313">
        <v>7</v>
      </c>
      <c r="S9" s="300" t="str">
        <f>+'7'!A6:A6</f>
        <v xml:space="preserve">Hafiz Bakery 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</v>
      </c>
      <c r="I11" s="236">
        <f t="shared" si="0"/>
        <v>944.32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75.545600000000007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33.051200000000001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835.72320000000002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178.47457627118644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5.070988881355933</v>
      </c>
      <c r="P11" s="311">
        <f t="shared" si="2"/>
        <v>1019.2687651525424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</v>
      </c>
      <c r="I12" s="236">
        <f t="shared" si="0"/>
        <v>944.32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75.545600000000007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33.051200000000001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835.72320000000002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178.47457627118644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5.070988881355933</v>
      </c>
      <c r="P12" s="311">
        <f t="shared" si="2"/>
        <v>1019.2687651525424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212</v>
      </c>
      <c r="I13" s="236">
        <f t="shared" si="0"/>
        <v>8316.76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415.83800000000014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291.08660000000009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424.15476000000001</v>
      </c>
      <c r="M13" s="230">
        <f t="shared" si="1"/>
        <v>7185.6806400000005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1616.9491525423718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44.013148962711867</v>
      </c>
      <c r="P13" s="311">
        <f t="shared" si="2"/>
        <v>8846.6429415050825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6.3250000000000002</v>
      </c>
      <c r="H16" s="113">
        <f t="shared" ref="H16:M16" si="3">SUM(H7:H15)</f>
        <v>253</v>
      </c>
      <c r="I16" s="114">
        <f t="shared" si="3"/>
        <v>11295</v>
      </c>
      <c r="J16" s="274">
        <f>SUM(J7:J15)</f>
        <v>654.09720000000016</v>
      </c>
      <c r="K16" s="275">
        <f t="shared" si="3"/>
        <v>395.3250000000001</v>
      </c>
      <c r="L16" s="276">
        <f t="shared" si="3"/>
        <v>424.15476000000001</v>
      </c>
      <c r="M16" s="232">
        <f t="shared" si="3"/>
        <v>9821.4230400000015</v>
      </c>
      <c r="N16" s="233">
        <f>SUM(N7:N15)</f>
        <v>2179.8305084745753</v>
      </c>
      <c r="O16" s="101">
        <f>SUM(O7:O15)</f>
        <v>60.006267742372884</v>
      </c>
      <c r="P16" s="113">
        <f>SUM(P7:P15)</f>
        <v>12061.259816216947</v>
      </c>
      <c r="Q16" s="128">
        <f>SUM(Q7:Q15)</f>
        <v>58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11295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654.09720000000016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819.47976000000017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9821.4230399999997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2179.8305084745753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12001.253548474575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60.006267742372884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12061.259816216947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12061.259816216949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A22" sqref="A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81</v>
      </c>
      <c r="I25" s="114">
        <f t="shared" si="7"/>
        <v>4547.4400000000005</v>
      </c>
      <c r="J25" s="274">
        <f>SUM(J16:J24)</f>
        <v>316.7192</v>
      </c>
      <c r="K25" s="275">
        <f t="shared" si="7"/>
        <v>159.16040000000004</v>
      </c>
      <c r="L25" s="276">
        <f t="shared" si="7"/>
        <v>80.029200000000003</v>
      </c>
      <c r="M25" s="232">
        <f t="shared" si="7"/>
        <v>3991.5312000000004</v>
      </c>
      <c r="N25" s="233">
        <f>SUM(N16:N24)</f>
        <v>867.9661016949151</v>
      </c>
      <c r="O25" s="101">
        <f>SUM(O16:O24)</f>
        <v>24.297486508474577</v>
      </c>
      <c r="P25" s="234">
        <f>SUM(P16:P24)</f>
        <v>4883.7947882033895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4547.4400000000005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316.7192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239.18960000000004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3991.5312000000008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867.9661016949151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4859.4973016949161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24.297486508474581</v>
      </c>
    </row>
    <row r="35" spans="2:16" ht="15.75" customHeight="1" thickBot="1" x14ac:dyDescent="0.4">
      <c r="N35" s="374" t="s">
        <v>88</v>
      </c>
      <c r="O35" s="375"/>
      <c r="P35" s="297">
        <f>+P33+P34</f>
        <v>4883.7947882033905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2026-09-30T07:35:00Z</dcterms:modified>
</cp:coreProperties>
</file>