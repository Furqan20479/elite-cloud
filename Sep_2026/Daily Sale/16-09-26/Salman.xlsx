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163A417-CF6A-4D4C-B6D5-2B9CED755744}" xr6:coauthVersionLast="47" xr6:coauthVersionMax="47" xr10:uidLastSave="{00000000-0000-0000-0000-000000000000}"/>
  <bookViews>
    <workbookView xWindow="-110" yWindow="-110" windowWidth="19420" windowHeight="10420" tabRatio="948" firstSheet="3" activeTab="2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4" l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<sst xmlns="http://schemas.openxmlformats.org/spreadsheetml/2006/main" count="3948" uniqueCount="539">
  <si>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</si>
  <si>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</si>
  <si>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</si>
  <si>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</si>
  <si>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</si>
  <si>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</si>
  <si>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</si>
  <si>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</si>
  <si>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</si>
  <si>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</si>
  <si>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</si>
  <si>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</si>
  <si>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</si>
  <si>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</si>
  <si>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</si>
  <si>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</si>
  <si>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</si>
  <si>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</si>
  <si>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</si>
  <si>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</si>
  <si>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</si>
  <si>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</si>
  <si>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</si>
  <si>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</si>
  <si>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</si>
  <si>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</si>
  <si>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</si>
  <si>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</si>
  <si>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</si>
  <si>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</si>
  <si>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</si>
  <si>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</si>
  <si>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</si>
  <si>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</si>
  <si>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</si>
  <si>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</si>
  <si>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</si>
  <si>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</si>
  <si>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</si>
  <si>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</si>
  <si>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</si>
  <si>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</si>
  <si>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</si>
  <si>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</si>
  <si>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</si>
  <si>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</si>
  <si>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</si>
  <si>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</si>
  <si>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</si>
  <si>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</si>
  <si>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</si>
  <si>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</si>
  <si>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</si>
  <si>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</si>
  <si>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</si>
  <si>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</si>
  <si>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</si>
  <si>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</si>
  <si>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</si>
  <si>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</si>
  <si>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</si>
  <si>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</si>
  <si>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</si>
  <si>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</si>
  <si>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</si>
  <si>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</si>
  <si>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</si>
  <si>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</si>
  <si>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</si>
  <si>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</si>
  <si>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</si>
  <si>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</si>
  <si>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</si>
  <si>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</si>
  <si>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</si>
  <si>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</si>
  <si>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</si>
  <si>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</si>
  <si>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</si>
  <si>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</si>
  <si>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</si>
  <si>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</si>
  <si>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</si>
  <si>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</si>
  <si>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</si>
  <si>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</si>
  <si>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</si>
  <si>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</si>
  <si>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</si>
  <si>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</si>
  <si>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</si>
  <si>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</si>
  <si>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</si>
  <si>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</si>
  <si>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</si>
  <si>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</si>
  <si>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</si>
  <si>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</si>
  <si>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</si>
  <si>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</si>
  <si>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</si>
  <si>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</si>
  <si>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</si>
  <si>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</si>
  <si>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</si>
  <si>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</si>
  <si>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</si>
  <si>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</si>
  <si>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</si>
  <si>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</si>
  <si>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</si>
  <si>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</si>
  <si>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</si>
  <si>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</si>
  <si>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</si>
  <si>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</si>
  <si>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</si>
  <si>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</si>
  <si>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</si>
  <si>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</si>
  <si>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</si>
  <si>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</si>
  <si>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</si>
  <si>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</si>
  <si>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</si>
  <si>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</si>
  <si>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</si>
  <si>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</si>
  <si>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</si>
  <si>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</si>
  <si>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</si>
  <si>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</si>
  <si>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</si>
  <si>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</si>
  <si>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</si>
  <si>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</si>
  <si>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</si>
  <si>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</si>
  <si>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</si>
  <si>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</si>
  <si>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</si>
  <si>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</si>
  <si>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</si>
  <si>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</si>
  <si>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</si>
  <si>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</si>
  <si>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</si>
  <si>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</si>
  <si>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</si>
  <si>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</si>
  <si>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</si>
  <si>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</si>
  <si>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</si>
  <si>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</si>
  <si>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</si>
  <si>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</si>
  <si>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</si>
  <si>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</si>
  <si>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</si>
  <si>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</si>
  <si>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</si>
  <si>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</si>
  <si>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</si>
  <si>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</si>
  <si>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</si>
  <si>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</si>
  <si>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</si>
  <si>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</si>
  <si>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</si>
  <si>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</si>
  <si>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</si>
  <si>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</si>
  <si>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</si>
  <si>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</si>
  <si>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</si>
  <si>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</si>
  <si>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</si>
  <si>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</si>
  <si>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</si>
  <si>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</si>
  <si>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</si>
  <si>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</si>
  <si>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</si>
  <si>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</si>
  <si>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</si>
  <si>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</si>
  <si>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</si>
  <si>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</si>
  <si>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</si>
  <si>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</si>
  <si>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</si>
  <si>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</si>
  <si>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</si>
  <si>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</si>
  <si>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</si>
  <si>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</si>
  <si>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</si>
  <si>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</si>
  <si>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</si>
  <si>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</si>
  <si>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</si>
  <si>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</si>
  <si>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</si>
  <si>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</si>
  <si>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</si>
  <si>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</si>
  <si>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</si>
  <si>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</si>
  <si>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</si>
  <si>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</si>
  <si>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</si>
  <si>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</si>
  <si>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</si>
  <si>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</si>
  <si>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</si>
  <si>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</si>
  <si>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</si>
  <si>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</si>
  <si>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</si>
  <si>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</si>
  <si>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</si>
  <si>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</si>
  <si>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</si>
  <si>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</si>
  <si>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</si>
  <si>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</si>
  <si>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</si>
  <si>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</si>
  <si>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</si>
  <si>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</si>
  <si>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</si>
  <si>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</si>
  <si>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</si>
  <si>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</si>
  <si>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</si>
  <si>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</si>
  <si>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</si>
  <si>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</si>
  <si>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</si>
  <si>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</si>
  <si>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</si>
  <si>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</si>
  <si>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</si>
  <si>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</si>
  <si>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</si>
  <si>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</si>
  <si>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</si>
  <si>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</si>
  <si>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</si>
  <si>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</si>
  <si>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</si>
  <si>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</si>
  <si>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</si>
  <si>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</si>
  <si>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</si>
  <si>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</si>
  <si>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</si>
  <si>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</si>
  <si>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</si>
  <si>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</si>
  <si>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</si>
  <si>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</si>
  <si>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</si>
  <si>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</si>
  <si>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</si>
  <si>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</si>
  <si>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</si>
  <si>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</si>
  <si>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</si>
  <si>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</si>
  <si>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</si>
  <si>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</si>
  <si>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</si>
  <si>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</si>
  <si>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</si>
  <si>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</si>
  <si>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</si>
  <si>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</si>
  <si>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</si>
  <si>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</si>
  <si>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</si>
  <si>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</si>
  <si>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</si>
  <si>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</si>
  <si>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</si>
  <si>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</si>
  <si>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</si>
  <si>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</si>
  <si>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</si>
  <si>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</si>
  <si>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</si>
  <si>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</si>
  <si>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</si>
  <si>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</si>
  <si>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</si>
  <si>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</si>
  <si>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</si>
  <si>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</si>
  <si>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</si>
  <si>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</si>
  <si>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</si>
  <si>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</si>
  <si>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</si>
  <si>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</si>
  <si>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</si>
  <si>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</si>
  <si>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</si>
  <si>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</si>
  <si>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</si>
  <si>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</si>
  <si>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</si>
  <si>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</si>
  <si>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</si>
  <si>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</si>
  <si>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</si>
  <si>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</si>
  <si>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</si>
  <si>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</si>
  <si>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</si>
  <si>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</si>
  <si>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</si>
  <si>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</si>
  <si>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</si>
  <si>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</si>
  <si>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</si>
  <si>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</si>
  <si>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</si>
  <si>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</si>
  <si>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</si>
  <si>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</si>
  <si>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</si>
  <si>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</si>
  <si>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</si>
  <si>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</si>
  <si>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</si>
  <si>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</si>
  <si>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</si>
  <si>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</si>
  <si>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</si>
  <si>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</si>
  <si>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</si>
  <si>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</si>
  <si>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</si>
  <si>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</si>
  <si>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</si>
  <si>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</si>
  <si>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</si>
  <si>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</si>
  <si>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</si>
  <si>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</si>
  <si>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</si>
  <si>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</si>
  <si>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</si>
  <si>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</si>
  <si>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</si>
  <si>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</si>
  <si>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</si>
  <si>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</si>
  <si>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</si>
  <si>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</si>
  <si>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</si>
  <si>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</si>
  <si>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</si>
  <si>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</si>
  <si>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</si>
  <si>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</si>
  <si>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</si>
  <si>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</si>
  <si>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</si>
  <si>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</si>
  <si>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</si>
  <si>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</si>
  <si>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</si>
  <si>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</si>
  <si>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</si>
  <si>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</si>
  <si>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</si>
  <si>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</si>
  <si>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</si>
  <si>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</si>
  <si>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</si>
  <si>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</si>
  <si>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</si>
  <si>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</si>
  <si>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</si>
  <si>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</si>
  <si>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</si>
  <si>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</si>
  <si>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</si>
  <si>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</si>
  <si>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</si>
  <si>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</si>
  <si>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</si>
  <si>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</si>
  <si>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</si>
  <si>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</si>
  <si>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</si>
  <si>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</si>
  <si>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</si>
  <si>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</si>
  <si>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</si>
  <si>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</si>
  <si>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</si>
  <si>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</si>
  <si>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</si>
  <si>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</si>
  <si>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</si>
  <si>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</si>
  <si>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</si>
  <si>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</si>
  <si>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</si>
  <si>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</si>
  <si>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</si>
  <si>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</si>
  <si>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</si>
  <si>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</si>
  <si>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</si>
  <si>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</si>
  <si>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</si>
  <si>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</si>
  <si>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</si>
  <si>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</si>
  <si>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</si>
  <si>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</si>
  <si>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</si>
  <si>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</si>
  <si>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</si>
  <si>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</si>
  <si>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</si>
  <si>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</si>
  <si>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</si>
  <si>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</si>
  <si>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</si>
  <si>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</si>
  <si>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</si>
  <si>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</si>
  <si>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</si>
  <si>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</si>
  <si>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</si>
  <si>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</si>
  <si>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</si>
  <si>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</si>
  <si>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</si>
  <si>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</si>
  <si>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</si>
  <si>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</si>
  <si>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</si>
  <si>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</si>
  <si>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</si>
  <si>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</si>
  <si>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</si>
  <si>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</si>
  <si>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</si>
  <si>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</si>
  <si>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</si>
  <si>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</si>
  <si>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</si>
  <si>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</si>
  <si>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</si>
  <si>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</si>
  <si>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</si>
  <si>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</si>
  <si>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</si>
  <si>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</si>
  <si>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</si>
  <si>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</si>
  <si>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</si>
  <si>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</si>
  <si>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</si>
  <si>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</si>
  <si>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</si>
  <si>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</si>
  <si>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</si>
  <si>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</si>
  <si>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</si>
  <si>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</si>
  <si>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</si>
  <si>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</si>
  <si>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</si>
  <si>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</si>
  <si>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</si>
  <si>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</si>
  <si>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</si>
  <si>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</si>
  <si>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</si>
  <si>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</si>
  <si>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</si>
  <si>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</si>
  <si>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</si>
  <si>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</si>
  <si>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</si>
  <si>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</si>
  <si>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</si>
  <si>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</si>
  <si>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</si>
  <si>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</si>
  <si>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</si>
  <si>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</si>
  <si>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</si>
  <si>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</si>
  <si>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</si>
  <si>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</si>
  <si>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</si>
  <si>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</si>
  <si>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</si>
  <si>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</si>
  <si>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</si>
  <si>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</si>
  <si>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</si>
  <si>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</si>
  <si>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</si>
  <si>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</si>
  <si>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</si>
  <si>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Address: Sadar</t>
  </si>
  <si>
    <t>Cantt Store</t>
  </si>
  <si>
    <t>Shaheen Store</t>
  </si>
  <si>
    <t xml:space="preserve">Askari Cash N Carry </t>
  </si>
  <si>
    <t xml:space="preserve">Chalet Bakers </t>
  </si>
  <si>
    <t xml:space="preserve">Sitara Bakers </t>
  </si>
  <si>
    <t xml:space="preserve">Hafiz Ali </t>
  </si>
  <si>
    <t>Wahab Store</t>
  </si>
  <si>
    <t>Dilshad Store</t>
  </si>
  <si>
    <t>Waleed Store</t>
  </si>
  <si>
    <t>Qazi Store</t>
  </si>
  <si>
    <t>Haris Ali Store</t>
  </si>
  <si>
    <t xml:space="preserve">Bashir </t>
  </si>
  <si>
    <t>Riaz Store</t>
  </si>
  <si>
    <t xml:space="preserve">Al Makkah </t>
  </si>
  <si>
    <t>Iqbal Store</t>
  </si>
  <si>
    <t>Raheem Store</t>
  </si>
  <si>
    <t>Yaseen Store</t>
  </si>
  <si>
    <t>Lalli Store</t>
  </si>
  <si>
    <t>Tariq Store</t>
  </si>
  <si>
    <t>Javaid Store</t>
  </si>
  <si>
    <t>Aashiyana Store</t>
  </si>
  <si>
    <t>Al Fateh Super Store</t>
  </si>
  <si>
    <t xml:space="preserve">Salman </t>
  </si>
  <si>
    <t xml:space="preserve">Shop 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</si>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</sst>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C4" sqref="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5.6328125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536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Cantt Store</v>
      </c>
      <c r="T3" s="301">
        <f>+'1'!P35</f>
        <v>13342.864251584748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Shaheen Store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Askari Cash N Carry </v>
      </c>
      <c r="T5" s="301">
        <f>+'3'!P35</f>
        <v>9408.6347552542375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Chalet Bakers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52</v>
      </c>
      <c r="I7" s="235">
        <f>(G7*D7)*F7+H7*F7</f>
        <v>2728.0499999999997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218.244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95.481750000000005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2414.3242499999997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515.59322033898286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14.649587351694915</v>
      </c>
      <c r="P7" s="310">
        <f>M7+N7+O7</f>
        <v>2944.5670576906778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Sitara Bakers 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18</v>
      </c>
      <c r="I8" s="236">
        <f t="shared" ref="I8:I14" si="0">(G8*D8)*F8+H8*F8</f>
        <v>944.32499999999993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75.545999999999992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33.051375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835.72762499999999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178.47457627118638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5.0710110063559313</v>
      </c>
      <c r="P8" s="311">
        <f t="shared" ref="P8:P15" si="2">M8+N8+O8</f>
        <v>1019.2732122775423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Hafiz Ali </v>
      </c>
      <c r="T8" s="301">
        <f>+'6'!P35</f>
        <v>283.13144785487287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35</v>
      </c>
      <c r="I9" s="236">
        <f t="shared" si="0"/>
        <v>1836.1875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146.89499999999998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64.266562500000006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1625.0259375000001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347.03389830508456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9.8602991790254233</v>
      </c>
      <c r="P9" s="311">
        <f t="shared" si="2"/>
        <v>1981.9201349841101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Wahab Store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157</v>
      </c>
      <c r="I10" s="236">
        <f t="shared" si="0"/>
        <v>11404.48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912.35840000000019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399.15679999999998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10092.9648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2155.4237288135596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61.241942644067805</v>
      </c>
      <c r="P10" s="311">
        <f t="shared" si="2"/>
        <v>12309.630471457627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Dilshad Store</v>
      </c>
      <c r="T10" s="301">
        <f>+'8'!P35</f>
        <v>283.13144785487287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153</v>
      </c>
      <c r="I11" s="236">
        <f t="shared" si="0"/>
        <v>11113.92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889.11360000000013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388.98719999999997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9835.8191999999999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2100.5084745762711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59.681638372881359</v>
      </c>
      <c r="P11" s="311">
        <f t="shared" si="2"/>
        <v>11996.009312949152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Waleed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185</v>
      </c>
      <c r="I12" s="236">
        <f t="shared" si="0"/>
        <v>13438.4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1075.0720000000001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470.34399999999999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11892.984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2539.8305084745766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72.164072542372892</v>
      </c>
      <c r="P12" s="311">
        <f t="shared" si="2"/>
        <v>14504.978581016951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Qazi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Haris Ali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Bashir 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Riaz Store</v>
      </c>
      <c r="T15" s="301">
        <f>+'13'!P35</f>
        <v>392.02644813559323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274">
        <f>H16/40</f>
        <v>17</v>
      </c>
      <c r="H16" s="113">
        <f t="shared" ref="H16:M16" si="3">SUM(H7:H15)</f>
        <v>680</v>
      </c>
      <c r="I16" s="114">
        <f t="shared" si="3"/>
        <v>44603.762500000004</v>
      </c>
      <c r="J16" s="274">
        <f>SUM(J7:J15)</f>
        <v>3474.1490000000003</v>
      </c>
      <c r="K16" s="275">
        <f t="shared" si="3"/>
        <v>1561.1316875</v>
      </c>
      <c r="L16" s="276">
        <f t="shared" si="3"/>
        <v>160.05840000000001</v>
      </c>
      <c r="M16" s="232">
        <f t="shared" si="3"/>
        <v>39408.423412500008</v>
      </c>
      <c r="N16" s="233">
        <f>SUM(N7:N15)</f>
        <v>8447.0338983050842</v>
      </c>
      <c r="O16" s="101">
        <f>SUM(O7:O15)</f>
        <v>239.27728655402547</v>
      </c>
      <c r="P16" s="113">
        <f>SUM(P7:P15)</f>
        <v>48094.734597359115</v>
      </c>
      <c r="Q16" s="128">
        <f>SUM(Q7:Q15)</f>
        <v>0</v>
      </c>
      <c r="R16" s="313">
        <v>14</v>
      </c>
      <c r="S16" s="315" t="str">
        <f>+'14'!A6:A6</f>
        <v xml:space="preserve">Al Makkah 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Iqbal Store</v>
      </c>
      <c r="T17" s="301">
        <f>+'15'!P35</f>
        <v>392.02644813559323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392.02644813559323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44603.762500000004</v>
      </c>
      <c r="R19" s="299">
        <v>17</v>
      </c>
      <c r="S19" s="300" t="str">
        <f>+'17'!A6:A6</f>
        <v>Yaseen Store</v>
      </c>
      <c r="T19" s="301">
        <f>+'17'!P35</f>
        <v>392.02644813559323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3474.1490000000003</v>
      </c>
      <c r="R20" s="299">
        <v>18</v>
      </c>
      <c r="S20" s="300" t="str">
        <f>+'18'!A6:A6</f>
        <v>Lalli Store</v>
      </c>
      <c r="T20" s="301">
        <f>+'18'!P35</f>
        <v>392.02644813559323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1721.1900875000001</v>
      </c>
      <c r="R21" s="299">
        <v>19</v>
      </c>
      <c r="S21" s="300" t="str">
        <f>+'19'!A6:A6</f>
        <v>Tariq Store</v>
      </c>
      <c r="T21" s="301">
        <f>+'19'!P35</f>
        <v>392.02644813559323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39408.423412500008</v>
      </c>
      <c r="R22" s="299">
        <v>20</v>
      </c>
      <c r="S22" s="300" t="str">
        <f>+'20'!A6:A6</f>
        <v>Javaid Store</v>
      </c>
      <c r="T22" s="301">
        <f>+'20'!P35</f>
        <v>784.05289627118646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8447.0338983050842</v>
      </c>
      <c r="R23" s="299">
        <v>21</v>
      </c>
      <c r="S23" s="300" t="str">
        <f>+'21'!A6:A6</f>
        <v>Aashiyana Store</v>
      </c>
      <c r="T23" s="301">
        <f>+'21'!P35</f>
        <v>2918.4215845233057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47855.45731080509</v>
      </c>
      <c r="R24" s="299">
        <v>22</v>
      </c>
      <c r="S24" s="300" t="str">
        <f>+'22'!A6:A6</f>
        <v>Al Fateh Super Store</v>
      </c>
      <c r="T24" s="301">
        <f>+'22'!P35</f>
        <v>2265.051582838983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239.27728655402547</v>
      </c>
      <c r="R25" s="299">
        <v>23</v>
      </c>
      <c r="S25" s="300" t="str">
        <f>+'23'!A6:A6</f>
        <v xml:space="preserve">Shop 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48094.734597359115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48094.734597359093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8.726562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12384.500000000002</v>
      </c>
      <c r="J25" s="274">
        <f>SUM(J16:J24)</f>
        <v>943.68399999999997</v>
      </c>
      <c r="K25" s="275">
        <f t="shared" si="10"/>
        <v>433.4575000000001</v>
      </c>
      <c r="L25" s="276">
        <f t="shared" si="10"/>
        <v>80.029200000000003</v>
      </c>
      <c r="M25" s="232">
        <f t="shared" si="10"/>
        <v>10927.329300000001</v>
      </c>
      <c r="N25" s="233">
        <f>SUM(N16:N24)</f>
        <v>2349.1525423728808</v>
      </c>
      <c r="O25" s="101">
        <f>SUM(O16:O24)</f>
        <v>66.382409211864413</v>
      </c>
      <c r="P25" s="234">
        <f>SUM(P16:P24)</f>
        <v>13342.864251584746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12384.500000000002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943.68399999999997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513.48670000000016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10927.329300000003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2349.1525423728808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13276.481842372883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66.382409211864413</v>
      </c>
    </row>
    <row r="35" spans="2:16" ht="15.75" customHeight="1" thickBot="1" x14ac:dyDescent="0.4">
      <c r="N35" s="345" t="s">
        <v>88</v>
      </c>
      <c r="O35" s="346"/>
      <c r="P35" s="297">
        <f>+P33+P34</f>
        <v>13342.864251584748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4474.8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310.90800000000002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236.6472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3927.2447999999999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4781.4820881355927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5" t="s">
        <v>88</v>
      </c>
      <c r="O35" s="346"/>
      <c r="P35" s="297">
        <f>+P33+P34</f>
        <v>4805.3894985762709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8.7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363.2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29.056000000000001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12.712000000000002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321.43200000000002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390.07606779661018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5" t="s">
        <v>88</v>
      </c>
      <c r="O35" s="346"/>
      <c r="P35" s="297">
        <f>+P33+P34</f>
        <v>392.02644813559323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4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8.7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2703.8250000000003</v>
      </c>
      <c r="J25" s="274">
        <f>SUM(J16:J24)</f>
        <v>216.30599999999998</v>
      </c>
      <c r="K25" s="275">
        <f t="shared" si="7"/>
        <v>94.633875000000018</v>
      </c>
      <c r="L25" s="276">
        <f t="shared" si="7"/>
        <v>0</v>
      </c>
      <c r="M25" s="232">
        <f t="shared" si="7"/>
        <v>2392.8851250000002</v>
      </c>
      <c r="N25" s="233">
        <f>SUM(N16:N24)</f>
        <v>511.01694915254234</v>
      </c>
      <c r="O25" s="101">
        <f>SUM(O16:O24)</f>
        <v>14.519510370762713</v>
      </c>
      <c r="P25" s="234">
        <f>SUM(P16:P24)</f>
        <v>2918.4215845233052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2703.8250000000003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216.30599999999998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94.633875000000018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2392.8851250000002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511.01694915254234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2903.9020741525428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14.519510370762715</v>
      </c>
    </row>
    <row r="35" spans="2:16" ht="15.75" customHeight="1" thickBot="1" x14ac:dyDescent="0.4">
      <c r="N35" s="345" t="s">
        <v>88</v>
      </c>
      <c r="O35" s="346"/>
      <c r="P35" s="297">
        <f>+P33+P34</f>
        <v>2918.4215845233057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E5" sqref="E5: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538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1.08984375" customWidth="1"/>
    <col min="16" max="16" width="12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2026-09-16T05:30:03Z</dcterms:modified>
</cp:coreProperties>
</file>