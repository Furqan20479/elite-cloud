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670EC3A-116B-4591-A486-F8248BA86E2C}" xr6:coauthVersionLast="47" xr6:coauthVersionMax="47" xr10:uidLastSave="{00000000-0000-0000-0000-000000000000}"/>
  <bookViews>
    <workbookView xWindow="-110" yWindow="-110" windowWidth="19420" windowHeight="10420" tabRatio="948" firstSheet="3" activeTab="10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21" i="47"/>
  <c r="O21" i="47" s="1"/>
  <c r="P21" i="47" s="1"/>
  <c r="M20" i="47"/>
  <c r="O20" i="47" s="1"/>
  <c r="P20" i="47" s="1"/>
  <c r="R20" i="47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<sst xmlns="http://schemas.openxmlformats.org/spreadsheetml/2006/main" count="3948" uniqueCount="524">
  <si>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</si>
  <si>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</si>
  <si>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</si>
  <si>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</si>
  <si>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</si>
  <si>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</si>
  <si>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</si>
  <si>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</si>
  <si>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</si>
  <si>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</si>
  <si>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</si>
  <si>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</si>
  <si>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</si>
  <si>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</si>
  <si>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</si>
  <si>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</si>
  <si>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</si>
  <si>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</si>
  <si>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</si>
  <si>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</si>
  <si>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</si>
  <si>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</si>
  <si>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</si>
  <si>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</si>
  <si>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</si>
  <si>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</si>
  <si>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</si>
  <si>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</si>
  <si>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</si>
  <si>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</si>
  <si>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</si>
  <si>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</si>
  <si>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</si>
  <si>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</si>
  <si>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</si>
  <si>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</si>
  <si>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</si>
  <si>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</si>
  <si>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</si>
  <si>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</si>
  <si>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</si>
  <si>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</si>
  <si>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</si>
  <si>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</si>
  <si>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</si>
  <si>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</si>
  <si>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</si>
  <si>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</si>
  <si>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</si>
  <si>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</si>
  <si>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</si>
  <si>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</si>
  <si>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</si>
  <si>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</si>
  <si>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</si>
  <si>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</si>
  <si>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</si>
  <si>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</si>
  <si>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</si>
  <si>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</si>
  <si>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</si>
  <si>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</si>
  <si>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</si>
  <si>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</si>
  <si>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</si>
  <si>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</si>
  <si>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</si>
  <si>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</si>
  <si>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</si>
  <si>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</si>
  <si>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</si>
  <si>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</si>
  <si>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</si>
  <si>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</si>
  <si>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</si>
  <si>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</si>
  <si>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</si>
  <si>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</si>
  <si>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</si>
  <si>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</si>
  <si>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</si>
  <si>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</si>
  <si>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</si>
  <si>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</si>
  <si>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</si>
  <si>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</si>
  <si>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</si>
  <si>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</si>
  <si>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</si>
  <si>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</si>
  <si>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</si>
  <si>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</si>
  <si>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</si>
  <si>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</si>
  <si>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</si>
  <si>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</si>
  <si>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</si>
  <si>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</si>
  <si>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</si>
  <si>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</si>
  <si>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</si>
  <si>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</si>
  <si>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</si>
  <si>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</si>
  <si>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</si>
  <si>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</si>
  <si>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</si>
  <si>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</si>
  <si>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</si>
  <si>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</si>
  <si>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</si>
  <si>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</si>
  <si>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</si>
  <si>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</si>
  <si>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</si>
  <si>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</si>
  <si>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</si>
  <si>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</si>
  <si>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</si>
  <si>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</si>
  <si>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</si>
  <si>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</si>
  <si>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</si>
  <si>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</si>
  <si>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</si>
  <si>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</si>
  <si>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</si>
  <si>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</si>
  <si>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</si>
  <si>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</si>
  <si>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</si>
  <si>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</si>
  <si>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</si>
  <si>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</si>
  <si>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</si>
  <si>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</si>
  <si>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</si>
  <si>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</si>
  <si>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</si>
  <si>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</si>
  <si>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</si>
  <si>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</si>
  <si>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</si>
  <si>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</si>
  <si>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</si>
  <si>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</si>
  <si>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</si>
  <si>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</si>
  <si>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</si>
  <si>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</si>
  <si>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</si>
  <si>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</si>
  <si>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</si>
  <si>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</si>
  <si>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</si>
  <si>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</si>
  <si>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</si>
  <si>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</si>
  <si>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</si>
  <si>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</si>
  <si>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</si>
  <si>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</si>
  <si>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</si>
  <si>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</si>
  <si>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</si>
  <si>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</si>
  <si>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</si>
  <si>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</si>
  <si>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</si>
  <si>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</si>
  <si>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</si>
  <si>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</si>
  <si>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</si>
  <si>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</si>
  <si>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</si>
  <si>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</si>
  <si>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</si>
  <si>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</si>
  <si>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</si>
  <si>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</si>
  <si>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</si>
  <si>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</si>
  <si>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</si>
  <si>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</si>
  <si>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</si>
  <si>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</si>
  <si>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</si>
  <si>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</si>
  <si>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</si>
  <si>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</si>
  <si>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</si>
  <si>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</si>
  <si>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</si>
  <si>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</si>
  <si>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</si>
  <si>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</si>
  <si>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</si>
  <si>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</si>
  <si>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</si>
  <si>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</si>
  <si>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</si>
  <si>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</si>
  <si>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</si>
  <si>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</si>
  <si>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</si>
  <si>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</si>
  <si>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</si>
  <si>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</si>
  <si>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</si>
  <si>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</si>
  <si>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</si>
  <si>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</si>
  <si>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</si>
  <si>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</si>
  <si>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</si>
  <si>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</si>
  <si>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</si>
  <si>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</si>
  <si>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</si>
  <si>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</si>
  <si>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</si>
  <si>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</si>
  <si>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</si>
  <si>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</si>
  <si>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</si>
  <si>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</si>
  <si>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</si>
  <si>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</si>
  <si>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</si>
  <si>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</si>
  <si>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</si>
  <si>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</si>
  <si>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</si>
  <si>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</si>
  <si>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</si>
  <si>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</si>
  <si>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</si>
  <si>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</si>
  <si>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</si>
  <si>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</si>
  <si>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</si>
  <si>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</si>
  <si>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</si>
  <si>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</si>
  <si>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</si>
  <si>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</si>
  <si>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</si>
  <si>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</si>
  <si>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</si>
  <si>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</si>
  <si>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</si>
  <si>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</si>
  <si>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</si>
  <si>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</si>
  <si>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</si>
  <si>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</si>
  <si>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</si>
  <si>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</si>
  <si>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</si>
  <si>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</si>
  <si>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</si>
  <si>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</si>
  <si>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</si>
  <si>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</si>
  <si>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</si>
  <si>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</si>
  <si>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</si>
  <si>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</si>
  <si>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</si>
  <si>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</si>
  <si>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</si>
  <si>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</si>
  <si>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</si>
  <si>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</si>
  <si>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</si>
  <si>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</si>
  <si>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</si>
  <si>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</si>
  <si>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</si>
  <si>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</si>
  <si>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</si>
  <si>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</si>
  <si>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</si>
  <si>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</si>
  <si>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</si>
  <si>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</si>
  <si>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</si>
  <si>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</si>
  <si>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</si>
  <si>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</si>
  <si>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</si>
  <si>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</si>
  <si>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</si>
  <si>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</si>
  <si>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</si>
  <si>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</si>
  <si>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</si>
  <si>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</si>
  <si>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</si>
  <si>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</si>
  <si>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</si>
  <si>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</si>
  <si>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</si>
  <si>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</si>
  <si>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</si>
  <si>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</si>
  <si>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</si>
  <si>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</si>
  <si>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</si>
  <si>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</si>
  <si>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</si>
  <si>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</si>
  <si>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</si>
  <si>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</si>
  <si>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</si>
  <si>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</si>
  <si>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</si>
  <si>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</si>
  <si>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</si>
  <si>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</si>
  <si>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</si>
  <si>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</si>
  <si>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</si>
  <si>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</si>
  <si>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</si>
  <si>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</si>
  <si>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</si>
  <si>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</si>
  <si>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</si>
  <si>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</si>
  <si>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</si>
  <si>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</si>
  <si>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</si>
  <si>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</si>
  <si>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</si>
  <si>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</si>
  <si>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</si>
  <si>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</si>
  <si>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</si>
  <si>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</si>
  <si>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</si>
  <si>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</si>
  <si>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</si>
  <si>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</si>
  <si>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</si>
  <si>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</si>
  <si>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</si>
  <si>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</si>
  <si>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</si>
  <si>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</si>
  <si>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</si>
  <si>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</si>
  <si>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</si>
  <si>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</si>
  <si>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</si>
  <si>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</si>
  <si>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</si>
  <si>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</si>
  <si>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</si>
  <si>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</si>
  <si>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</si>
  <si>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</si>
  <si>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</si>
  <si>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</si>
  <si>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</si>
  <si>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</si>
  <si>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</si>
  <si>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</si>
  <si>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</si>
  <si>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</si>
  <si>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</si>
  <si>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</si>
  <si>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</si>
  <si>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</si>
  <si>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</si>
  <si>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</si>
  <si>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</si>
  <si>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</si>
  <si>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</si>
  <si>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</si>
  <si>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</si>
  <si>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</si>
  <si>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</si>
  <si>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</si>
  <si>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</si>
  <si>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</si>
  <si>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</si>
  <si>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</si>
  <si>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</si>
  <si>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</si>
  <si>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</si>
  <si>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</si>
  <si>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</si>
  <si>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</si>
  <si>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</si>
  <si>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</si>
  <si>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</si>
  <si>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</si>
  <si>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</si>
  <si>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</si>
  <si>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</si>
  <si>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</si>
  <si>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</si>
  <si>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</si>
  <si>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</si>
  <si>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</si>
  <si>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</si>
  <si>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</si>
  <si>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</si>
  <si>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</si>
  <si>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</si>
  <si>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</si>
  <si>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</si>
  <si>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</si>
  <si>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</si>
  <si>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</si>
  <si>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</si>
  <si>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</si>
  <si>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</si>
  <si>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</si>
  <si>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</si>
  <si>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</si>
  <si>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</si>
  <si>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</si>
  <si>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</si>
  <si>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</si>
  <si>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</si>
  <si>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</si>
  <si>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</si>
  <si>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</si>
  <si>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</si>
  <si>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</si>
  <si>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</si>
  <si>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</si>
  <si>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</si>
  <si>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</si>
  <si>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</si>
  <si>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</si>
  <si>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</si>
  <si>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</si>
  <si>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</si>
  <si>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</si>
  <si>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</si>
  <si>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</si>
  <si>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</si>
  <si>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</si>
  <si>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</si>
  <si>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</si>
  <si>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</si>
  <si>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</si>
  <si>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</si>
  <si>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</si>
  <si>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</si>
  <si>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</si>
  <si>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</si>
  <si>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</si>
  <si>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</si>
  <si>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</si>
  <si>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</si>
  <si>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</si>
  <si>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</si>
  <si>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</si>
  <si>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</si>
  <si>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</si>
  <si>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</si>
  <si>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</si>
  <si>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</si>
  <si>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</si>
  <si>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</si>
  <si>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</si>
  <si>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</si>
  <si>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</si>
  <si>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</si>
  <si>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</si>
  <si>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</si>
  <si>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</si>
  <si>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</si>
  <si>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</si>
  <si>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</si>
  <si>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</si>
  <si>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</si>
  <si>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</si>
  <si>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</si>
  <si>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</si>
  <si>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</si>
  <si>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</si>
  <si>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</si>
  <si>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</si>
  <si>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</si>
  <si>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</si>
  <si>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</si>
  <si>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</si>
  <si>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</si>
  <si>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</si>
  <si>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</si>
  <si>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</si>
  <si>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</si>
  <si>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</si>
  <si>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</si>
  <si>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</si>
  <si>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</si>
  <si>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</si>
  <si>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</si>
  <si>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</si>
  <si>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</si>
  <si>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</si>
  <si>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</si>
  <si>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</si>
  <si>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</si>
  <si>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</si>
  <si>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</si>
  <si>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</si>
  <si>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</si>
  <si>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</si>
  <si>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Bilal Store</t>
  </si>
  <si>
    <t xml:space="preserve">Address: Mian Meer Phatak </t>
  </si>
  <si>
    <t>Haji Dipartmental Store</t>
  </si>
  <si>
    <t xml:space="preserve">Ali Ice Cream </t>
  </si>
  <si>
    <t>Address: Ghosia Colony</t>
  </si>
  <si>
    <t xml:space="preserve">Rehman Bakery </t>
  </si>
  <si>
    <t>Bismillah Store</t>
  </si>
  <si>
    <t>Address:Ghosia Store</t>
  </si>
  <si>
    <t xml:space="preserve">Shell Pump </t>
  </si>
  <si>
    <t>Address: Ferozpur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</si>
</sst>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2" workbookViewId="0">
      <selection activeCell="S7" activeCellId="2" sqref="S3:S4 S6 S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Bilal Store</v>
      </c>
      <c r="T3" s="301">
        <f>+'1'!P35</f>
        <v>3970.8005418305079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Haji Dipartmental Store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Ali Ice Cream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Rehman Bakery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Bismillah Store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Shell Pump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25</v>
      </c>
      <c r="I10" s="236">
        <f t="shared" si="0"/>
        <v>1816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145.28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63.56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1607.16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343.22033898305085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9.7519016949152544</v>
      </c>
      <c r="P10" s="311">
        <f t="shared" si="2"/>
        <v>1960.1322406779661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25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30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35</v>
      </c>
      <c r="I12" s="236">
        <f t="shared" si="0"/>
        <v>2542.4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203.392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88.984000000000009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2250.0240000000003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480.50847457627123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13.652662372881355</v>
      </c>
      <c r="P12" s="311">
        <f t="shared" si="2"/>
        <v>2744.1851369491528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65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44</v>
      </c>
      <c r="I13" s="236">
        <f t="shared" si="0"/>
        <v>1726.1200000000001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86.306000000000012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60.414200000000015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88.032119999999992</v>
      </c>
      <c r="M13" s="230">
        <f t="shared" si="1"/>
        <v>1491.3676800000001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335.59322033898286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9.1348045016949158</v>
      </c>
      <c r="P13" s="311">
        <f t="shared" si="2"/>
        <v>1836.0957048406776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3.1</v>
      </c>
      <c r="H16" s="113">
        <f t="shared" ref="H16:M16" si="3">SUM(H7:H15)</f>
        <v>124</v>
      </c>
      <c r="I16" s="114">
        <f t="shared" si="3"/>
        <v>7537.3200000000006</v>
      </c>
      <c r="J16" s="274">
        <f>SUM(J7:J15)</f>
        <v>551.202</v>
      </c>
      <c r="K16" s="275">
        <f t="shared" si="3"/>
        <v>263.80620000000005</v>
      </c>
      <c r="L16" s="276">
        <f t="shared" si="3"/>
        <v>88.032119999999992</v>
      </c>
      <c r="M16" s="232">
        <f t="shared" si="3"/>
        <v>6634.2796800000006</v>
      </c>
      <c r="N16" s="233">
        <f>SUM(N7:N15)</f>
        <v>1433.8983050847455</v>
      </c>
      <c r="O16" s="101">
        <f>SUM(O7:O15)</f>
        <v>40.340889925423724</v>
      </c>
      <c r="P16" s="113">
        <f>SUM(P7:P15)</f>
        <v>8108.5188750101697</v>
      </c>
      <c r="Q16" s="128">
        <f>SUM(Q7:Q15)</f>
        <v>160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7537.3200000000006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551.202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351.83832000000007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6634.2796800000006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1433.8983050847455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8068.1779850847461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40.340889925423724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8108.5188750101697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8108.5188750101688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3690.2</v>
      </c>
      <c r="J25" s="274">
        <f>SUM(J16:J24)</f>
        <v>271.678</v>
      </c>
      <c r="K25" s="275">
        <f t="shared" si="10"/>
        <v>129.15700000000001</v>
      </c>
      <c r="L25" s="276">
        <f t="shared" si="10"/>
        <v>40.014600000000002</v>
      </c>
      <c r="M25" s="232">
        <f t="shared" si="10"/>
        <v>3249.3504000000003</v>
      </c>
      <c r="N25" s="233">
        <f>SUM(N16:N24)</f>
        <v>701.69491525423723</v>
      </c>
      <c r="O25" s="101">
        <f>SUM(O16:O24)</f>
        <v>19.755226576271188</v>
      </c>
      <c r="P25" s="234">
        <f>SUM(P16:P24)</f>
        <v>3970.8005418305083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3690.2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271.678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169.17160000000001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3249.3503999999998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701.69491525423723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3951.0453152542368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19.755226576271184</v>
      </c>
    </row>
    <row r="35" spans="2:16" ht="15.75" customHeight="1" thickBot="1" x14ac:dyDescent="0.4">
      <c r="N35" s="374" t="s">
        <v>88</v>
      </c>
      <c r="O35" s="375"/>
      <c r="P35" s="297">
        <f>+P33+P34</f>
        <v>3970.8005418305079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25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30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21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40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2026-09-30T07:29:20Z</dcterms:modified>
</cp:coreProperties>
</file>