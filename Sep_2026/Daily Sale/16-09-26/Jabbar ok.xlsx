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418F811E-2591-4FF5-AA9F-2C9A15C0FB9C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0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2" l="1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1" i="44" l="1"/>
  <c r="O21" i="44" s="1"/>
  <c r="P21" i="44" s="1"/>
  <c r="M21" i="47"/>
  <c r="O21" i="47" s="1"/>
  <c r="P21" i="47" s="1"/>
  <c r="M20" i="47"/>
  <c r="O20" i="47" s="1"/>
  <c r="P20" i="47" s="1"/>
  <c r="R20" i="47" s="1"/>
  <c r="K12" i="62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<sst xmlns="http://schemas.openxmlformats.org/spreadsheetml/2006/main" count="3948" uniqueCount="524">
  <si>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</si>
  <si>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</si>
  <si>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</si>
  <si>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</si>
  <si>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</si>
  <si>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</si>
  <si>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</si>
  <si>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</si>
  <si>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</si>
  <si>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</si>
  <si>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</si>
  <si>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</si>
  <si>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</si>
  <si>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</si>
  <si>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</si>
  <si>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</si>
  <si>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</si>
  <si>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</si>
  <si>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</si>
  <si>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</si>
  <si>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</si>
  <si>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</si>
  <si>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</si>
  <si>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</si>
  <si>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</si>
  <si>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</si>
  <si>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</si>
  <si>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</si>
  <si>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</si>
  <si>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</si>
  <si>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</si>
  <si>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</si>
  <si>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</si>
  <si>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</si>
  <si>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</si>
  <si>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</si>
  <si>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</si>
  <si>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</si>
  <si>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</si>
  <si>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</si>
  <si>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</si>
  <si>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</si>
  <si>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</si>
  <si>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</si>
  <si>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</si>
  <si>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</si>
  <si>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</si>
  <si>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</si>
  <si>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</si>
  <si>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</si>
  <si>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</si>
  <si>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</si>
  <si>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</si>
  <si>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</si>
  <si>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</si>
  <si>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</si>
  <si>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</si>
  <si>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</si>
  <si>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</si>
  <si>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</si>
  <si>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</si>
  <si>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</si>
  <si>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</si>
  <si>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</si>
  <si>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</si>
  <si>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</si>
  <si>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</si>
  <si>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</si>
  <si>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</si>
  <si>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</si>
  <si>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</si>
  <si>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</si>
  <si>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</si>
  <si>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</si>
  <si>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</si>
  <si>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</si>
  <si>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</si>
  <si>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</si>
  <si>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</si>
  <si>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</si>
  <si>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</si>
  <si>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</si>
  <si>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</si>
  <si>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</si>
  <si>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</si>
  <si>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</si>
  <si>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</si>
  <si>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</si>
  <si>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</si>
  <si>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</si>
  <si>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</si>
  <si>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</si>
  <si>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</si>
  <si>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</si>
  <si>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</si>
  <si>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</si>
  <si>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</si>
  <si>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</si>
  <si>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</si>
  <si>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</si>
  <si>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</si>
  <si>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</si>
  <si>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</si>
  <si>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</si>
  <si>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</si>
  <si>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</si>
  <si>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</si>
  <si>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</si>
  <si>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</si>
  <si>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</si>
  <si>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</si>
  <si>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</si>
  <si>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</si>
  <si>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</si>
  <si>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</si>
  <si>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</si>
  <si>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</si>
  <si>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</si>
  <si>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</si>
  <si>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</si>
  <si>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</si>
  <si>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</si>
  <si>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</si>
  <si>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</si>
  <si>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</si>
  <si>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</si>
  <si>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</si>
  <si>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</si>
  <si>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</si>
  <si>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</si>
  <si>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</si>
  <si>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</si>
  <si>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</si>
  <si>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</si>
  <si>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</si>
  <si>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</si>
  <si>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</si>
  <si>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</si>
  <si>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</si>
  <si>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</si>
  <si>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</si>
  <si>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</si>
  <si>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</si>
  <si>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</si>
  <si>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</si>
  <si>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</si>
  <si>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</si>
  <si>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</si>
  <si>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</si>
  <si>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</si>
  <si>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</si>
  <si>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</si>
  <si>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</si>
  <si>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</si>
  <si>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</si>
  <si>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</si>
  <si>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</si>
  <si>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</si>
  <si>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</si>
  <si>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</si>
  <si>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</si>
  <si>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</si>
  <si>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</si>
  <si>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</si>
  <si>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</si>
  <si>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</si>
  <si>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</si>
  <si>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</si>
  <si>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</si>
  <si>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</si>
  <si>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</si>
  <si>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</si>
  <si>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</si>
  <si>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</si>
  <si>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</si>
  <si>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</si>
  <si>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</si>
  <si>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</si>
  <si>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</si>
  <si>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</si>
  <si>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</si>
  <si>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</si>
  <si>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</si>
  <si>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</si>
  <si>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</si>
  <si>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</si>
  <si>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</si>
  <si>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</si>
  <si>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</si>
  <si>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</si>
  <si>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</si>
  <si>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</si>
  <si>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</si>
  <si>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</si>
  <si>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</si>
  <si>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</si>
  <si>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</si>
  <si>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</si>
  <si>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</si>
  <si>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</si>
  <si>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</si>
  <si>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</si>
  <si>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</si>
  <si>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</si>
  <si>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</si>
  <si>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</si>
  <si>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</si>
  <si>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</si>
  <si>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</si>
  <si>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</si>
  <si>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</si>
  <si>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</si>
  <si>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</si>
  <si>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</si>
  <si>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</si>
  <si>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</si>
  <si>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</si>
  <si>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</si>
  <si>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</si>
  <si>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</si>
  <si>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</si>
  <si>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</si>
  <si>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</si>
  <si>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</si>
  <si>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</si>
  <si>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</si>
  <si>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</si>
  <si>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</si>
  <si>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</si>
  <si>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</si>
  <si>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</si>
  <si>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</si>
  <si>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</si>
  <si>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</si>
  <si>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</si>
  <si>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</si>
  <si>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</si>
  <si>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</si>
  <si>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</si>
  <si>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</si>
  <si>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</si>
  <si>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</si>
  <si>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</si>
  <si>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</si>
  <si>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</si>
  <si>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</si>
  <si>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</si>
  <si>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</si>
  <si>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</si>
  <si>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</si>
  <si>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</si>
  <si>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</si>
  <si>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</si>
  <si>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</si>
  <si>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</si>
  <si>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</si>
  <si>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</si>
  <si>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</si>
  <si>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</si>
  <si>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</si>
  <si>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</si>
  <si>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</si>
  <si>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</si>
  <si>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</si>
  <si>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</si>
  <si>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</si>
  <si>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</si>
  <si>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</si>
  <si>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</si>
  <si>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</si>
  <si>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</si>
  <si>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</si>
  <si>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</si>
  <si>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</si>
  <si>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</si>
  <si>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</si>
  <si>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</si>
  <si>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</si>
  <si>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</si>
  <si>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</si>
  <si>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</si>
  <si>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</si>
  <si>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</si>
  <si>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</si>
  <si>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</si>
  <si>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</si>
  <si>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</si>
  <si>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</si>
  <si>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</si>
  <si>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</si>
  <si>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</si>
  <si>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</si>
  <si>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</si>
  <si>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</si>
  <si>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</si>
  <si>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</si>
  <si>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</si>
  <si>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</si>
  <si>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</si>
  <si>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</si>
  <si>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</si>
  <si>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</si>
  <si>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</si>
  <si>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</si>
  <si>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</si>
  <si>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</si>
  <si>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</si>
  <si>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</si>
  <si>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</si>
  <si>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</si>
  <si>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</si>
  <si>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</si>
  <si>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</si>
  <si>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</si>
  <si>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</si>
  <si>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</si>
  <si>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</si>
  <si>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</si>
  <si>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</si>
  <si>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</si>
  <si>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</si>
  <si>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</si>
  <si>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</si>
  <si>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</si>
  <si>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</si>
  <si>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</si>
  <si>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</si>
  <si>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</si>
  <si>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</si>
  <si>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</si>
  <si>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</si>
  <si>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</si>
  <si>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</si>
  <si>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</si>
  <si>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</si>
  <si>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</si>
  <si>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</si>
  <si>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</si>
  <si>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</si>
  <si>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</si>
  <si>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</si>
  <si>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</si>
  <si>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</si>
  <si>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</si>
  <si>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</si>
  <si>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</si>
  <si>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</si>
  <si>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</si>
  <si>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</si>
  <si>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</si>
  <si>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</si>
  <si>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</si>
  <si>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</si>
  <si>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</si>
  <si>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</si>
  <si>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</si>
  <si>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</si>
  <si>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</si>
  <si>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</si>
  <si>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</si>
  <si>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</si>
  <si>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</si>
  <si>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</si>
  <si>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</si>
  <si>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</si>
  <si>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</si>
  <si>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</si>
  <si>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</si>
  <si>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</si>
  <si>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</si>
  <si>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</si>
  <si>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</si>
  <si>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</si>
  <si>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</si>
  <si>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</si>
  <si>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</si>
  <si>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</si>
  <si>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</si>
  <si>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</si>
  <si>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</si>
  <si>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</si>
  <si>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</si>
  <si>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</si>
  <si>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</si>
  <si>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</si>
  <si>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</si>
  <si>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</si>
  <si>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</si>
  <si>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</si>
  <si>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</si>
  <si>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</si>
  <si>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</si>
  <si>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</si>
  <si>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</si>
  <si>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</si>
  <si>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</si>
  <si>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</si>
  <si>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</si>
  <si>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</si>
  <si>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</si>
  <si>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</si>
  <si>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</si>
  <si>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</si>
  <si>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</si>
  <si>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</si>
  <si>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</si>
  <si>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</si>
  <si>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</si>
  <si>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</si>
  <si>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</si>
  <si>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</si>
  <si>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</si>
  <si>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</si>
  <si>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</si>
  <si>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</si>
  <si>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</si>
  <si>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</si>
  <si>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</si>
  <si>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</si>
  <si>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</si>
  <si>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</si>
  <si>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</si>
  <si>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</si>
  <si>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</si>
  <si>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</si>
  <si>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</si>
  <si>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</si>
  <si>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</si>
  <si>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</si>
  <si>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</si>
  <si>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</si>
  <si>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</si>
  <si>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</si>
  <si>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</si>
  <si>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</si>
  <si>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</si>
  <si>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</si>
  <si>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</si>
  <si>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</si>
  <si>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</si>
  <si>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</si>
  <si>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</si>
  <si>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</si>
  <si>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</si>
  <si>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</si>
  <si>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</si>
  <si>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</si>
  <si>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</si>
  <si>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</si>
  <si>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</si>
  <si>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</si>
  <si>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</si>
  <si>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</si>
  <si>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</si>
  <si>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</si>
  <si>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</si>
  <si>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</si>
  <si>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</si>
  <si>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</si>
  <si>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</si>
  <si>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</si>
  <si>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</si>
  <si>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</si>
  <si>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</si>
  <si>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</si>
  <si>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</si>
  <si>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</si>
  <si>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</si>
  <si>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</si>
  <si>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</si>
  <si>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</si>
  <si>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</si>
  <si>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</si>
  <si>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</si>
  <si>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</si>
  <si>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</si>
  <si>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</si>
  <si>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</si>
  <si>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</si>
  <si>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</si>
  <si>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</si>
  <si>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</si>
  <si>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</si>
  <si>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</si>
  <si>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</si>
  <si>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</si>
  <si>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</si>
  <si>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</si>
  <si>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</si>
  <si>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</si>
  <si>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</si>
  <si>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</si>
  <si>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</si>
  <si>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</si>
  <si>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</si>
  <si>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</si>
  <si>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</si>
  <si>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</si>
  <si>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</si>
  <si>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</si>
  <si>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</si>
  <si>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</si>
  <si>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</si>
  <si>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</si>
  <si>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</si>
  <si>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</si>
  <si>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</si>
  <si>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</si>
  <si>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</si>
  <si>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</si>
  <si>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</si>
  <si>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</si>
  <si>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</si>
  <si>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Jabbar</t>
  </si>
  <si>
    <t>Bilal Store</t>
  </si>
  <si>
    <t xml:space="preserve">Address: Mian Meer Phatak </t>
  </si>
  <si>
    <t>Haji Dipartmental Store</t>
  </si>
  <si>
    <t xml:space="preserve">Ali Ice Cream </t>
  </si>
  <si>
    <t>Address: Ghosia Colony</t>
  </si>
  <si>
    <t xml:space="preserve">Rehman Bakery </t>
  </si>
  <si>
    <t>Bismillah Store</t>
  </si>
  <si>
    <t>Address:Ghosia Store</t>
  </si>
  <si>
    <t xml:space="preserve">Shell Pump </t>
  </si>
  <si>
    <t>Address: Ferozpur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</si>
</sst>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2"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513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46281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Bilal Store</v>
      </c>
      <c r="T3" s="301">
        <f>+'1'!P35</f>
        <v>3970.8005418305079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Haji Dipartmental Store</v>
      </c>
      <c r="T4" s="301">
        <f>+'2'!P35</f>
        <v>500.75337404745761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 xml:space="preserve">Ali Ice Cream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 xml:space="preserve">Rehman Bakery </v>
      </c>
      <c r="T6" s="301">
        <f>+'4'!P35</f>
        <v>3136.2115850847458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Bismillah Store</v>
      </c>
      <c r="T7" s="301">
        <f>+'5'!P35</f>
        <v>500.75337404745761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 xml:space="preserve">Shell Pump 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40</v>
      </c>
      <c r="R9" s="313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25</v>
      </c>
      <c r="I10" s="236">
        <f t="shared" si="0"/>
        <v>1816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145.28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63.56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1607.16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343.22033898305085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9.7519016949152544</v>
      </c>
      <c r="P10" s="311">
        <f t="shared" si="2"/>
        <v>1960.1322406779661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25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20</v>
      </c>
      <c r="I11" s="236">
        <f t="shared" si="0"/>
        <v>1452.8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116.224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50.848000000000006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1285.7280000000001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274.57627118644069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7.8015213559322039</v>
      </c>
      <c r="P11" s="311">
        <f t="shared" si="2"/>
        <v>1568.1057925423729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30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35</v>
      </c>
      <c r="I12" s="236">
        <f t="shared" si="0"/>
        <v>2542.4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203.392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88.984000000000009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2250.0240000000003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480.50847457627123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13.652662372881355</v>
      </c>
      <c r="P12" s="311">
        <f t="shared" si="2"/>
        <v>2744.1851369491528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65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44</v>
      </c>
      <c r="I13" s="236">
        <f t="shared" si="0"/>
        <v>1726.1200000000001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86.306000000000012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60.414200000000015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88.032119999999992</v>
      </c>
      <c r="M13" s="230">
        <f t="shared" si="1"/>
        <v>1491.3676800000001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335.59322033898286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9.1348045016949158</v>
      </c>
      <c r="P13" s="311">
        <f t="shared" si="2"/>
        <v>1836.0957048406776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3.1</v>
      </c>
      <c r="H16" s="113">
        <f t="shared" ref="H16:M16" si="3">SUM(H7:H15)</f>
        <v>124</v>
      </c>
      <c r="I16" s="114">
        <f t="shared" si="3"/>
        <v>7537.3200000000006</v>
      </c>
      <c r="J16" s="274">
        <f>SUM(J7:J15)</f>
        <v>551.202</v>
      </c>
      <c r="K16" s="275">
        <f t="shared" si="3"/>
        <v>263.80620000000005</v>
      </c>
      <c r="L16" s="276">
        <f t="shared" si="3"/>
        <v>88.032119999999992</v>
      </c>
      <c r="M16" s="232">
        <f t="shared" si="3"/>
        <v>6634.2796800000006</v>
      </c>
      <c r="N16" s="233">
        <f>SUM(N7:N15)</f>
        <v>1433.8983050847455</v>
      </c>
      <c r="O16" s="101">
        <f>SUM(O7:O15)</f>
        <v>40.340889925423724</v>
      </c>
      <c r="P16" s="113">
        <f>SUM(P7:P15)</f>
        <v>8108.5188750101697</v>
      </c>
      <c r="Q16" s="128">
        <f>SUM(Q7:Q15)</f>
        <v>160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7537.3200000000006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551.202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351.83832000000007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6634.2796800000006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1433.8983050847455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8068.1779850847461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40.340889925423724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8108.5188750101697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8108.5188750101688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20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7.2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7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7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7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119">
        <f t="shared" si="5"/>
        <v>1568.1057925423729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20</v>
      </c>
      <c r="I22" s="236">
        <f t="shared" si="0"/>
        <v>784.60000000000014</v>
      </c>
      <c r="J22" s="272">
        <f t="shared" si="1"/>
        <v>39.230000000000011</v>
      </c>
      <c r="K22" s="128">
        <f t="shared" si="1"/>
        <v>27.461000000000006</v>
      </c>
      <c r="L22" s="119">
        <f t="shared" si="1"/>
        <v>40.014600000000002</v>
      </c>
      <c r="M22" s="230">
        <f t="shared" si="2"/>
        <v>677.89440000000013</v>
      </c>
      <c r="N22" s="277">
        <f t="shared" si="3"/>
        <v>152.54237288135585</v>
      </c>
      <c r="O22" s="239">
        <f t="shared" si="4"/>
        <v>4.1521838644067799</v>
      </c>
      <c r="P22" s="119">
        <f t="shared" si="5"/>
        <v>834.58895674576274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60</v>
      </c>
      <c r="I25" s="114">
        <f t="shared" ref="I25:M25" si="10">SUM(I16:I24)</f>
        <v>3690.2</v>
      </c>
      <c r="J25" s="274">
        <f>SUM(J16:J24)</f>
        <v>271.678</v>
      </c>
      <c r="K25" s="275">
        <f t="shared" si="10"/>
        <v>129.15700000000001</v>
      </c>
      <c r="L25" s="276">
        <f t="shared" si="10"/>
        <v>40.014600000000002</v>
      </c>
      <c r="M25" s="232">
        <f t="shared" si="10"/>
        <v>3249.3504000000003</v>
      </c>
      <c r="N25" s="233">
        <f>SUM(N16:N24)</f>
        <v>701.69491525423723</v>
      </c>
      <c r="O25" s="101">
        <f>SUM(O16:O24)</f>
        <v>19.755226576271188</v>
      </c>
      <c r="P25" s="234">
        <f>SUM(P16:P24)</f>
        <v>3970.8005418305083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3690.2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271.678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169.17160000000001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3249.3503999999998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701.69491525423723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3951.0453152542368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19.755226576271184</v>
      </c>
    </row>
    <row r="35" spans="2:16" ht="15.75" customHeight="1" thickBot="1" x14ac:dyDescent="0.4">
      <c r="N35" s="345" t="s">
        <v>88</v>
      </c>
      <c r="O35" s="346"/>
      <c r="P35" s="297">
        <f>+P33+P34</f>
        <v>3970.8005418305079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119">
        <f t="shared" si="5"/>
        <v>500.75337404745761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</v>
      </c>
      <c r="I25" s="114">
        <f t="shared" si="7"/>
        <v>470.76000000000005</v>
      </c>
      <c r="J25" s="274">
        <f>SUM(J16:J24)</f>
        <v>23.538000000000004</v>
      </c>
      <c r="K25" s="275">
        <f t="shared" si="7"/>
        <v>16.476600000000005</v>
      </c>
      <c r="L25" s="276">
        <f t="shared" si="7"/>
        <v>24.008760000000002</v>
      </c>
      <c r="M25" s="232">
        <f t="shared" si="7"/>
        <v>406.73664000000002</v>
      </c>
      <c r="N25" s="233">
        <f>SUM(N16:N24)</f>
        <v>91.525423728813507</v>
      </c>
      <c r="O25" s="101">
        <f>SUM(O16:O24)</f>
        <v>2.4913103186440675</v>
      </c>
      <c r="P25" s="234">
        <f>SUM(P16:P24)</f>
        <v>500.75337404745761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470.76000000000005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23.538000000000004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40.485360000000007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406.73664000000002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91.525423728813507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498.26206372881353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2.4913103186440675</v>
      </c>
    </row>
    <row r="35" spans="2:16" ht="15.75" customHeight="1" thickBot="1" x14ac:dyDescent="0.4">
      <c r="N35" s="345" t="s">
        <v>88</v>
      </c>
      <c r="O35" s="346"/>
      <c r="P35" s="297">
        <f>+P33+P34</f>
        <v>500.75337404745761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7" workbookViewId="0">
      <selection activeCell="H21" sqref="H19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25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>
        <v>30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25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</v>
      </c>
      <c r="L25" s="276">
        <f t="shared" si="7"/>
        <v>0</v>
      </c>
      <c r="M25" s="232">
        <f t="shared" si="7"/>
        <v>2571.4559999999997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232.44799999999998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2571.4560000000001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3120.6085423728814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3136.2115850847458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521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119">
        <f t="shared" si="5"/>
        <v>500.75337404745761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</v>
      </c>
      <c r="I25" s="114">
        <f t="shared" si="7"/>
        <v>470.76000000000005</v>
      </c>
      <c r="J25" s="274">
        <f>SUM(J16:J24)</f>
        <v>23.538000000000004</v>
      </c>
      <c r="K25" s="275">
        <f t="shared" si="7"/>
        <v>16.476600000000005</v>
      </c>
      <c r="L25" s="276">
        <f t="shared" si="7"/>
        <v>24.008760000000002</v>
      </c>
      <c r="M25" s="232">
        <f t="shared" si="7"/>
        <v>406.73664000000002</v>
      </c>
      <c r="N25" s="233">
        <f>SUM(N16:N24)</f>
        <v>91.525423728813507</v>
      </c>
      <c r="O25" s="101">
        <f>SUM(O16:O24)</f>
        <v>2.4913103186440675</v>
      </c>
      <c r="P25" s="234">
        <f>SUM(P16:P24)</f>
        <v>500.75337404745761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470.76000000000005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23.538000000000004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40.485360000000007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406.73664000000002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91.525423728813507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498.26206372881353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2.4913103186440675</v>
      </c>
    </row>
    <row r="35" spans="2:16" ht="15.75" customHeight="1" thickBot="1" x14ac:dyDescent="0.4">
      <c r="N35" s="345" t="s">
        <v>88</v>
      </c>
      <c r="O35" s="346"/>
      <c r="P35" s="297">
        <f>+P33+P34</f>
        <v>500.75337404745761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7" workbookViewId="0">
      <selection activeCell="H21" sqref="H18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>
        <v>40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40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46283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46282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2026-09-17T04:35:15Z</dcterms:modified>
</cp:coreProperties>
</file>