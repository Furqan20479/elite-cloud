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871E90-5D81-474A-AC1F-6F4955E87862}" xr6:coauthVersionLast="47" xr6:coauthVersionMax="47" xr10:uidLastSave="{00000000-0000-0000-0000-000000000000}"/>
  <bookViews>
    <workbookView xWindow="-110" yWindow="-110" windowWidth="19420" windowHeight="10420" tabRatio="948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54" l="1"/>
  <c r="F22" i="47"/>
  <c r="N6" i="43"/>
  <c r="N6" i="44"/>
  <c r="N6" i="45"/>
  <c r="N6" i="46"/>
  <c r="N6" i="47"/>
  <c r="N6" i="48"/>
  <c r="N6" i="49"/>
  <c r="N6" i="50"/>
  <c r="N6" i="51"/>
  <c r="N6" i="52"/>
  <c r="N6" i="53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7" l="1"/>
  <c r="N5" i="67" s="1"/>
  <c r="N4" i="46"/>
  <c r="N5" i="46" s="1"/>
  <c r="N4" i="64"/>
  <c r="N5" i="64" s="1"/>
  <c r="N4" i="63"/>
  <c r="N5" i="63" s="1"/>
  <c r="N4" i="70"/>
  <c r="N5" i="70" s="1"/>
  <c r="N4" i="59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M23" i="59"/>
  <c r="M16" i="59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<sst xmlns="http://schemas.openxmlformats.org/spreadsheetml/2006/main" count="3947" uniqueCount="528">
  <si>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</si>
  <si>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</si>
  <si>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</si>
  <si>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</si>
  <si>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</si>
  <si>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</si>
  <si>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</si>
  <si>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</si>
  <si>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</si>
  <si>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</si>
  <si>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</si>
  <si>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</si>
  <si>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</si>
  <si>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</si>
  <si>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</si>
  <si>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</si>
  <si>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</si>
  <si>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</si>
  <si>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</si>
  <si>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</si>
  <si>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</si>
  <si>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</si>
  <si>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</si>
  <si>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</si>
  <si>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</si>
  <si>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</si>
  <si>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</si>
  <si>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</si>
  <si>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</si>
  <si>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</si>
  <si>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</si>
  <si>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</si>
  <si>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</si>
  <si>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</si>
  <si>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</si>
  <si>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</si>
  <si>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</si>
  <si>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</si>
  <si>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</si>
  <si>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</si>
  <si>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</si>
  <si>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</si>
  <si>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</si>
  <si>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</si>
  <si>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</si>
  <si>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</si>
  <si>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</si>
  <si>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</si>
  <si>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</si>
  <si>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</si>
  <si>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</si>
  <si>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</si>
  <si>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</si>
  <si>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</si>
  <si>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</si>
  <si>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</si>
  <si>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</si>
  <si>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</si>
  <si>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</si>
  <si>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</si>
  <si>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</si>
  <si>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</si>
  <si>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</si>
  <si>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</si>
  <si>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</si>
  <si>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</si>
  <si>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</si>
  <si>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</si>
  <si>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</si>
  <si>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</si>
  <si>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</si>
  <si>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</si>
  <si>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</si>
  <si>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</si>
  <si>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</si>
  <si>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</si>
  <si>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</si>
  <si>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</si>
  <si>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</si>
  <si>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</si>
  <si>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</si>
  <si>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</si>
  <si>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</si>
  <si>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</si>
  <si>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</si>
  <si>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</si>
  <si>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</si>
  <si>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</si>
  <si>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</si>
  <si>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</si>
  <si>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</si>
  <si>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</si>
  <si>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</si>
  <si>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</si>
  <si>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</si>
  <si>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</si>
  <si>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</si>
  <si>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</si>
  <si>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</si>
  <si>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</si>
  <si>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</si>
  <si>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</si>
  <si>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</si>
  <si>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</si>
  <si>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</si>
  <si>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</si>
  <si>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</si>
  <si>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</si>
  <si>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</si>
  <si>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</si>
  <si>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</si>
  <si>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</si>
  <si>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</si>
  <si>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</si>
  <si>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</si>
  <si>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</si>
  <si>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</si>
  <si>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</si>
  <si>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</si>
  <si>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</si>
  <si>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</si>
  <si>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</si>
  <si>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</si>
  <si>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</si>
  <si>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</si>
  <si>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</si>
  <si>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</si>
  <si>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</si>
  <si>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</si>
  <si>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</si>
  <si>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</si>
  <si>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</si>
  <si>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</si>
  <si>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</si>
  <si>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</si>
  <si>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</si>
  <si>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</si>
  <si>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</si>
  <si>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</si>
  <si>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</si>
  <si>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</si>
  <si>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</si>
  <si>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</si>
  <si>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</si>
  <si>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</si>
  <si>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</si>
  <si>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</si>
  <si>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</si>
  <si>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</si>
  <si>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</si>
  <si>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</si>
  <si>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</si>
  <si>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</si>
  <si>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</si>
  <si>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</si>
  <si>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</si>
  <si>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</si>
  <si>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</si>
  <si>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</si>
  <si>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</si>
  <si>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</si>
  <si>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</si>
  <si>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</si>
  <si>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</si>
  <si>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</si>
  <si>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</si>
  <si>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</si>
  <si>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</si>
  <si>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</si>
  <si>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</si>
  <si>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</si>
  <si>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</si>
  <si>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</si>
  <si>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</si>
  <si>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</si>
  <si>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</si>
  <si>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</si>
  <si>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</si>
  <si>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</si>
  <si>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</si>
  <si>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</si>
  <si>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</si>
  <si>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</si>
  <si>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</si>
  <si>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</si>
  <si>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</si>
  <si>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</si>
  <si>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</si>
  <si>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</si>
  <si>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</si>
  <si>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</si>
  <si>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</si>
  <si>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</si>
  <si>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</si>
  <si>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</si>
  <si>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</si>
  <si>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</si>
  <si>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</si>
  <si>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</si>
  <si>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</si>
  <si>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</si>
  <si>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</si>
  <si>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</si>
  <si>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</si>
  <si>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</si>
  <si>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</si>
  <si>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</si>
  <si>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</si>
  <si>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</si>
  <si>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</si>
  <si>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</si>
  <si>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</si>
  <si>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</si>
  <si>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</si>
  <si>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</si>
  <si>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</si>
  <si>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</si>
  <si>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</si>
  <si>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</si>
  <si>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</si>
  <si>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</si>
  <si>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</si>
  <si>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</si>
  <si>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</si>
  <si>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</si>
  <si>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</si>
  <si>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</si>
  <si>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</si>
  <si>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</si>
  <si>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</si>
  <si>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</si>
  <si>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</si>
  <si>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</si>
  <si>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</si>
  <si>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</si>
  <si>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</si>
  <si>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</si>
  <si>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</si>
  <si>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</si>
  <si>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</si>
  <si>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</si>
  <si>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</si>
  <si>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</si>
  <si>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</si>
  <si>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</si>
  <si>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</si>
  <si>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</si>
  <si>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</si>
  <si>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</si>
  <si>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</si>
  <si>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</si>
  <si>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</si>
  <si>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</si>
  <si>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</si>
  <si>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</si>
  <si>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</si>
  <si>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</si>
  <si>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</si>
  <si>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</si>
  <si>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</si>
  <si>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</si>
  <si>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</si>
  <si>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</si>
  <si>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</si>
  <si>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</si>
  <si>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</si>
  <si>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</si>
  <si>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</si>
  <si>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</si>
  <si>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</si>
  <si>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</si>
  <si>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</si>
  <si>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</si>
  <si>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</si>
  <si>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</si>
  <si>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</si>
  <si>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</si>
  <si>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</si>
  <si>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</si>
  <si>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</si>
  <si>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</si>
  <si>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</si>
  <si>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</si>
  <si>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</si>
  <si>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</si>
  <si>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</si>
  <si>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</si>
  <si>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</si>
  <si>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</si>
  <si>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</si>
  <si>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</si>
  <si>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</si>
  <si>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</si>
  <si>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</si>
  <si>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</si>
  <si>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</si>
  <si>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</si>
  <si>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</si>
  <si>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</si>
  <si>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</si>
  <si>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</si>
  <si>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</si>
  <si>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</si>
  <si>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</si>
  <si>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</si>
  <si>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</si>
  <si>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</si>
  <si>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</si>
  <si>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</si>
  <si>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</si>
  <si>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</si>
  <si>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</si>
  <si>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</si>
  <si>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</si>
  <si>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</si>
  <si>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</si>
  <si>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</si>
  <si>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</si>
  <si>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</si>
  <si>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</si>
  <si>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</si>
  <si>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</si>
  <si>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</si>
  <si>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</si>
  <si>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</si>
  <si>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</si>
  <si>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</si>
  <si>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</si>
  <si>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</si>
  <si>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</si>
  <si>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</si>
  <si>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</si>
  <si>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</si>
  <si>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</si>
  <si>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</si>
  <si>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</si>
  <si>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</si>
  <si>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</si>
  <si>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</si>
  <si>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</si>
  <si>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</si>
  <si>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</si>
  <si>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</si>
  <si>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</si>
  <si>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</si>
  <si>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</si>
  <si>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</si>
  <si>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</si>
  <si>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</si>
  <si>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</si>
  <si>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</si>
  <si>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</si>
  <si>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</si>
  <si>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</si>
  <si>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</si>
  <si>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</si>
  <si>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</si>
  <si>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</si>
  <si>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</si>
  <si>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</si>
  <si>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</si>
  <si>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</si>
  <si>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</si>
  <si>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</si>
  <si>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</si>
  <si>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</si>
  <si>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</si>
  <si>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</si>
  <si>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</si>
  <si>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</si>
  <si>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</si>
  <si>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</si>
  <si>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</si>
  <si>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</si>
  <si>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</si>
  <si>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</si>
  <si>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</si>
  <si>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</si>
  <si>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</si>
  <si>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</si>
  <si>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</si>
  <si>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</si>
  <si>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</si>
  <si>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</si>
  <si>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</si>
  <si>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</si>
  <si>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</si>
  <si>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</si>
  <si>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</si>
  <si>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</si>
  <si>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</si>
  <si>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</si>
  <si>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</si>
  <si>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</si>
  <si>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</si>
  <si>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</si>
  <si>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</si>
  <si>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</si>
  <si>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</si>
  <si>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</si>
  <si>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</si>
  <si>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</si>
  <si>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</si>
  <si>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</si>
  <si>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</si>
  <si>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</si>
  <si>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</si>
  <si>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</si>
  <si>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</si>
  <si>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</si>
  <si>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</si>
  <si>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</si>
  <si>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</si>
  <si>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</si>
  <si>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</si>
  <si>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</si>
  <si>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</si>
  <si>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</si>
  <si>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</si>
  <si>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</si>
  <si>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</si>
  <si>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</si>
  <si>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</si>
  <si>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</si>
  <si>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</si>
  <si>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</si>
  <si>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</si>
  <si>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</si>
  <si>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</si>
  <si>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</si>
  <si>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</si>
  <si>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</si>
  <si>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</si>
  <si>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</si>
  <si>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</si>
  <si>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</si>
  <si>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</si>
  <si>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</si>
  <si>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</si>
  <si>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</si>
  <si>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</si>
  <si>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</si>
  <si>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</si>
  <si>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</si>
  <si>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</si>
  <si>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</si>
  <si>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</si>
  <si>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</si>
  <si>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</si>
  <si>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</si>
  <si>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</si>
  <si>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</si>
  <si>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</si>
  <si>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</si>
  <si>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</si>
  <si>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</si>
  <si>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</si>
  <si>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</si>
  <si>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</si>
  <si>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</si>
  <si>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</si>
  <si>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</si>
  <si>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</si>
  <si>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</si>
  <si>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</si>
  <si>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</si>
  <si>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</si>
  <si>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</si>
  <si>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</si>
  <si>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</si>
  <si>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</si>
  <si>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</si>
  <si>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</si>
  <si>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</si>
  <si>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</si>
  <si>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</si>
  <si>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</si>
  <si>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</si>
  <si>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</si>
  <si>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</si>
  <si>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</si>
  <si>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</si>
  <si>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</si>
  <si>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</si>
  <si>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</si>
  <si>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</si>
  <si>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</si>
  <si>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</si>
  <si>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</si>
  <si>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</si>
  <si>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</si>
  <si>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</si>
  <si>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</si>
  <si>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</si>
  <si>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</si>
  <si>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</si>
  <si>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</si>
  <si>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</si>
  <si>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</si>
  <si>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</si>
  <si>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</si>
  <si>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</si>
  <si>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</si>
  <si>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</si>
  <si>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</si>
  <si>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</si>
  <si>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</si>
  <si>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</si>
  <si>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</si>
  <si>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</si>
  <si>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</si>
  <si>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</si>
  <si>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</si>
  <si>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</si>
  <si>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Lawrance Road</t>
  </si>
  <si>
    <t>Khan Store</t>
  </si>
  <si>
    <t>Maqbool Store</t>
  </si>
  <si>
    <t>Address: Shahtaj Colony</t>
  </si>
  <si>
    <t>Awan Super Store</t>
  </si>
  <si>
    <t>Address: Shahtaj Colony Near data Nan shop</t>
  </si>
  <si>
    <t>Madina Medical Store</t>
  </si>
  <si>
    <t>Sindhu General Store</t>
  </si>
  <si>
    <t>Haji General Store</t>
  </si>
  <si>
    <t>Address: Shahtaj colony</t>
  </si>
  <si>
    <t>Bismillah Medical Store</t>
  </si>
  <si>
    <t>Total Parco Pump</t>
  </si>
  <si>
    <t>Address: MM Alam Road</t>
  </si>
  <si>
    <t>addres temple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</si>
</sst>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9" activeCellId="4" sqref="S4 S5 S7 S8 S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Maqbool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Awan Super Store</v>
      </c>
      <c r="T4" s="301">
        <f>+'2'!P35</f>
        <v>1881.7269510508474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Madina Medical Store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Sindhu General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18</v>
      </c>
      <c r="I7" s="235">
        <f>(G7*D7)*F7+H7*F7</f>
        <v>944.32499999999993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75.545999999999992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33.051375000000007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835.72762499999999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178.47457627118635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5.0710110063559322</v>
      </c>
      <c r="P7" s="310">
        <f>M7+N7+O7</f>
        <v>1019.2732122775423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3">
        <v>5</v>
      </c>
      <c r="S7" s="300" t="str">
        <f>+'5'!A6:A6</f>
        <v>Haji General Store</v>
      </c>
      <c r="T7" s="301">
        <f>+'5'!P35</f>
        <v>509.63660613877113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3.6623968379237288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>Bismillah Medical Store</v>
      </c>
      <c r="T8" s="301">
        <f>+'6'!P35</f>
        <v>679.51547485169476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42</v>
      </c>
      <c r="I9" s="236">
        <f t="shared" si="0"/>
        <v>2203.4249999999997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176.274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77.119875000000008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1950.0311249999997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416.44067796610153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11.832359014830509</v>
      </c>
      <c r="P9" s="311">
        <f t="shared" si="2"/>
        <v>2378.3041619809319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>Total Parco Pump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</v>
      </c>
      <c r="I12" s="236">
        <f t="shared" si="0"/>
        <v>1743.3600000000001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139.46880000000002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61.017600000000009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1542.8736000000001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329.49152542372883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9.3618256271186446</v>
      </c>
      <c r="P12" s="311">
        <f t="shared" si="2"/>
        <v>1881.7269510508474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>
        <f>+'13'!A6:A6</f>
        <v>0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2.4249999999999998</v>
      </c>
      <c r="H16" s="113">
        <f t="shared" ref="H16:M16" si="3">SUM(H7:H15)</f>
        <v>97</v>
      </c>
      <c r="I16" s="114">
        <f t="shared" si="3"/>
        <v>5573.1224999999995</v>
      </c>
      <c r="J16" s="274">
        <f>SUM(J7:J15)</f>
        <v>445.84979999999996</v>
      </c>
      <c r="K16" s="275">
        <f t="shared" si="3"/>
        <v>195.05928750000004</v>
      </c>
      <c r="L16" s="276">
        <f t="shared" si="3"/>
        <v>0</v>
      </c>
      <c r="M16" s="232">
        <f t="shared" si="3"/>
        <v>4932.2134124999993</v>
      </c>
      <c r="N16" s="233">
        <f>SUM(N7:N15)</f>
        <v>1053.3050847457625</v>
      </c>
      <c r="O16" s="101">
        <f>SUM(O7:O15)</f>
        <v>29.927592486228814</v>
      </c>
      <c r="P16" s="113">
        <f>SUM(P7:P15)</f>
        <v>6015.4460897319914</v>
      </c>
      <c r="Q16" s="128">
        <f>SUM(Q7:Q15)</f>
        <v>24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5573.1224999999995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445.84979999999996</v>
      </c>
      <c r="R20" s="299">
        <v>18</v>
      </c>
      <c r="S20" s="300" t="str">
        <f>+'18'!A6:A6</f>
        <v>Khan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195.05928750000004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4932.2134124999993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1053.3050847457625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5985.5184972457619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29.927592486228814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6015.4460897319905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6015.4460897319914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4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8164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17968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</v>
      </c>
      <c r="I25" s="114">
        <f t="shared" si="7"/>
        <v>472.16249999999997</v>
      </c>
      <c r="J25" s="274">
        <f>SUM(J16:J24)</f>
        <v>37.772999999999996</v>
      </c>
      <c r="K25" s="275">
        <f t="shared" si="7"/>
        <v>16.5256875</v>
      </c>
      <c r="L25" s="276">
        <f t="shared" si="7"/>
        <v>0</v>
      </c>
      <c r="M25" s="232">
        <f t="shared" si="7"/>
        <v>417.86381249999999</v>
      </c>
      <c r="N25" s="233">
        <f>SUM(N16:N24)</f>
        <v>89.23728813559319</v>
      </c>
      <c r="O25" s="101">
        <f>SUM(O16:O24)</f>
        <v>2.5355055031779656</v>
      </c>
      <c r="P25" s="234">
        <f>SUM(P16:P24)</f>
        <v>509.63660613877119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472.16249999999997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37.772999999999996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16.5256875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417.86381249999999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507.10110063559318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74" t="s">
        <v>88</v>
      </c>
      <c r="O35" s="375"/>
      <c r="P35" s="297">
        <f>+P33+P34</f>
        <v>509.63660613877113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D23" sqref="D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0898437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13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/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0" workbookViewId="0">
      <selection activeCell="E12" sqref="E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D9" sqref="D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2026-10-02T05:56:32Z</dcterms:modified>
</cp:coreProperties>
</file>