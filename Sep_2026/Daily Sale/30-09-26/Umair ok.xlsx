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3716BB8-9E8A-4270-85E5-E2842703C9E7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F22" i="47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Q16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9" l="1"/>
  <c r="N5" i="59" s="1"/>
  <c r="N4" i="58"/>
  <c r="N5" i="58" s="1"/>
  <c r="N4" i="61"/>
  <c r="N5" i="61" s="1"/>
  <c r="N5" i="11"/>
  <c r="N4" i="51"/>
  <c r="N5" i="51" s="1"/>
  <c r="N4" i="50"/>
  <c r="N5" i="50" s="1"/>
  <c r="N4" i="57"/>
  <c r="N5" i="57" s="1"/>
  <c r="N4" i="67"/>
  <c r="N5" i="67" s="1"/>
  <c r="N4" i="46"/>
  <c r="N5" i="46" s="1"/>
  <c r="N4" i="53"/>
  <c r="N5" i="53" s="1"/>
  <c r="N4" i="64"/>
  <c r="N5" i="64" s="1"/>
  <c r="N4" i="63"/>
  <c r="N5" i="63" s="1"/>
  <c r="N4" i="70"/>
  <c r="N5" i="70" s="1"/>
  <c r="N4" i="45"/>
  <c r="N5" i="45" s="1"/>
  <c r="N4" i="68"/>
  <c r="N5" i="68" s="1"/>
  <c r="N4" i="55"/>
  <c r="N5" i="55" s="1"/>
  <c r="N4" i="69"/>
  <c r="N5" i="69" s="1"/>
  <c r="N4" i="65"/>
  <c r="N5" i="65" s="1"/>
  <c r="N4" i="60"/>
  <c r="N5" i="60" s="1"/>
  <c r="N4" i="52"/>
  <c r="N5" i="52" s="1"/>
  <c r="N4" i="44"/>
  <c r="N5" i="44" s="1"/>
  <c r="N4" i="72"/>
  <c r="N5" i="72" s="1"/>
  <c r="N4" i="71"/>
  <c r="N5" i="71" s="1"/>
  <c r="N4" i="54"/>
  <c r="N5" i="54" s="1"/>
  <c r="N4" i="66"/>
  <c r="N5" i="66" s="1"/>
  <c r="N4" i="49"/>
  <c r="N5" i="49" s="1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44" l="1"/>
  <c r="O21" i="44" s="1"/>
  <c r="P21" i="44" s="1"/>
  <c r="K12" i="62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<sst xmlns="http://schemas.openxmlformats.org/spreadsheetml/2006/main" count="3948" uniqueCount="521">
  <si>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</si>
  <si>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</si>
  <si>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</si>
  <si>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</si>
  <si>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</si>
  <si>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</si>
  <si>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</si>
  <si>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</si>
  <si>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</si>
  <si>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</si>
  <si>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</si>
  <si>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</si>
  <si>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</si>
  <si>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</si>
  <si>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</si>
  <si>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</si>
  <si>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</si>
  <si>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</si>
  <si>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</si>
  <si>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</si>
  <si>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</si>
  <si>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</si>
  <si>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</si>
  <si>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</si>
  <si>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</si>
  <si>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</si>
  <si>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</si>
  <si>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</si>
  <si>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</si>
  <si>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</si>
  <si>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</si>
  <si>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</si>
  <si>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</si>
  <si>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</si>
  <si>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</si>
  <si>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</si>
  <si>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</si>
  <si>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</si>
  <si>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</si>
  <si>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</si>
  <si>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</si>
  <si>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</si>
  <si>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</si>
  <si>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</si>
  <si>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</si>
  <si>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</si>
  <si>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</si>
  <si>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</si>
  <si>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</si>
  <si>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</si>
  <si>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</si>
  <si>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</si>
  <si>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</si>
  <si>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</si>
  <si>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</si>
  <si>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</si>
  <si>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</si>
  <si>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</si>
  <si>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</si>
  <si>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</si>
  <si>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</si>
  <si>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</si>
  <si>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</si>
  <si>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</si>
  <si>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</si>
  <si>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</si>
  <si>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</si>
  <si>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</si>
  <si>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</si>
  <si>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</si>
  <si>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</si>
  <si>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</si>
  <si>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</si>
  <si>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</si>
  <si>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</si>
  <si>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</si>
  <si>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</si>
  <si>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</si>
  <si>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</si>
  <si>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</si>
  <si>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</si>
  <si>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</si>
  <si>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</si>
  <si>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</si>
  <si>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</si>
  <si>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</si>
  <si>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</si>
  <si>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</si>
  <si>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</si>
  <si>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</si>
  <si>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</si>
  <si>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</si>
  <si>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</si>
  <si>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</si>
  <si>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</si>
  <si>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</si>
  <si>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</si>
  <si>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</si>
  <si>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</si>
  <si>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</si>
  <si>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</si>
  <si>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</si>
  <si>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</si>
  <si>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</si>
  <si>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</si>
  <si>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</si>
  <si>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</si>
  <si>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</si>
  <si>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</si>
  <si>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</si>
  <si>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</si>
  <si>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</si>
  <si>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</si>
  <si>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</si>
  <si>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</si>
  <si>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</si>
  <si>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</si>
  <si>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</si>
  <si>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</si>
  <si>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</si>
  <si>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</si>
  <si>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</si>
  <si>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</si>
  <si>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</si>
  <si>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</si>
  <si>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</si>
  <si>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</si>
  <si>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</si>
  <si>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</si>
  <si>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</si>
  <si>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</si>
  <si>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</si>
  <si>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</si>
  <si>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</si>
  <si>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</si>
  <si>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</si>
  <si>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</si>
  <si>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</si>
  <si>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</si>
  <si>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</si>
  <si>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</si>
  <si>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</si>
  <si>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</si>
  <si>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</si>
  <si>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</si>
  <si>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</si>
  <si>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</si>
  <si>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</si>
  <si>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</si>
  <si>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</si>
  <si>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</si>
  <si>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</si>
  <si>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</si>
  <si>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</si>
  <si>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</si>
  <si>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</si>
  <si>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</si>
  <si>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</si>
  <si>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</si>
  <si>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</si>
  <si>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</si>
  <si>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</si>
  <si>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</si>
  <si>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</si>
  <si>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</si>
  <si>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</si>
  <si>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</si>
  <si>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</si>
  <si>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</si>
  <si>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</si>
  <si>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</si>
  <si>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</si>
  <si>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</si>
  <si>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</si>
  <si>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</si>
  <si>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</si>
  <si>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</si>
  <si>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</si>
  <si>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</si>
  <si>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</si>
  <si>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</si>
  <si>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</si>
  <si>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</si>
  <si>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</si>
  <si>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</si>
  <si>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</si>
  <si>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</si>
  <si>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</si>
  <si>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</si>
  <si>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</si>
  <si>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</si>
  <si>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</si>
  <si>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</si>
  <si>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</si>
  <si>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</si>
  <si>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</si>
  <si>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</si>
  <si>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</si>
  <si>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</si>
  <si>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</si>
  <si>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</si>
  <si>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</si>
  <si>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</si>
  <si>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</si>
  <si>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</si>
  <si>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</si>
  <si>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</si>
  <si>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</si>
  <si>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</si>
  <si>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</si>
  <si>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</si>
  <si>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</si>
  <si>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</si>
  <si>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</si>
  <si>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</si>
  <si>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</si>
  <si>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</si>
  <si>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</si>
  <si>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</si>
  <si>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</si>
  <si>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</si>
  <si>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</si>
  <si>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</si>
  <si>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</si>
  <si>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</si>
  <si>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</si>
  <si>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</si>
  <si>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</si>
  <si>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</si>
  <si>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</si>
  <si>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</si>
  <si>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</si>
  <si>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</si>
  <si>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</si>
  <si>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</si>
  <si>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</si>
  <si>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</si>
  <si>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</si>
  <si>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</si>
  <si>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</si>
  <si>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</si>
  <si>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</si>
  <si>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</si>
  <si>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</si>
  <si>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</si>
  <si>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</si>
  <si>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</si>
  <si>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</si>
  <si>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</si>
  <si>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</si>
  <si>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</si>
  <si>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</si>
  <si>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</si>
  <si>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</si>
  <si>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</si>
  <si>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</si>
  <si>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</si>
  <si>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</si>
  <si>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</si>
  <si>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</si>
  <si>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</si>
  <si>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</si>
  <si>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</si>
  <si>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</si>
  <si>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</si>
  <si>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</si>
  <si>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</si>
  <si>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</si>
  <si>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</si>
  <si>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</si>
  <si>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</si>
  <si>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</si>
  <si>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</si>
  <si>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</si>
  <si>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</si>
  <si>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</si>
  <si>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</si>
  <si>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</si>
  <si>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</si>
  <si>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</si>
  <si>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</si>
  <si>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</si>
  <si>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</si>
  <si>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</si>
  <si>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</si>
  <si>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</si>
  <si>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</si>
  <si>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</si>
  <si>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</si>
  <si>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</si>
  <si>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</si>
  <si>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</si>
  <si>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</si>
  <si>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</si>
  <si>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</si>
  <si>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</si>
  <si>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</si>
  <si>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</si>
  <si>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</si>
  <si>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</si>
  <si>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</si>
  <si>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</si>
  <si>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</si>
  <si>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</si>
  <si>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</si>
  <si>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</si>
  <si>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</si>
  <si>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</si>
  <si>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</si>
  <si>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</si>
  <si>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</si>
  <si>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</si>
  <si>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</si>
  <si>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</si>
  <si>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</si>
  <si>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</si>
  <si>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</si>
  <si>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</si>
  <si>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</si>
  <si>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</si>
  <si>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</si>
  <si>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</si>
  <si>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</si>
  <si>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</si>
  <si>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</si>
  <si>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</si>
  <si>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</si>
  <si>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</si>
  <si>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</si>
  <si>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</si>
  <si>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</si>
  <si>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</si>
  <si>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</si>
  <si>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</si>
  <si>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</si>
  <si>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</si>
  <si>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</si>
  <si>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</si>
  <si>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</si>
  <si>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</si>
  <si>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</si>
  <si>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</si>
  <si>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</si>
  <si>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</si>
  <si>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</si>
  <si>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</si>
  <si>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</si>
  <si>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</si>
  <si>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</si>
  <si>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</si>
  <si>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</si>
  <si>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</si>
  <si>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</si>
  <si>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</si>
  <si>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</si>
  <si>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</si>
  <si>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</si>
  <si>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</si>
  <si>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</si>
  <si>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</si>
  <si>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</si>
  <si>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</si>
  <si>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</si>
  <si>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</si>
  <si>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</si>
  <si>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</si>
  <si>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</si>
  <si>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</si>
  <si>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</si>
  <si>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</si>
  <si>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</si>
  <si>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</si>
  <si>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</si>
  <si>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</si>
  <si>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</si>
  <si>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</si>
  <si>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</si>
  <si>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</si>
  <si>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</si>
  <si>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</si>
  <si>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</si>
  <si>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</si>
  <si>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</si>
  <si>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</si>
  <si>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</si>
  <si>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</si>
  <si>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</si>
  <si>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</si>
  <si>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</si>
  <si>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</si>
  <si>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</si>
  <si>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</si>
  <si>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</si>
  <si>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</si>
  <si>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</si>
  <si>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</si>
  <si>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</si>
  <si>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</si>
  <si>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</si>
  <si>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</si>
  <si>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</si>
  <si>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</si>
  <si>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</si>
  <si>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</si>
  <si>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</si>
  <si>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</si>
  <si>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</si>
  <si>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</si>
  <si>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</si>
  <si>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</si>
  <si>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</si>
  <si>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</si>
  <si>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</si>
  <si>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</si>
  <si>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</si>
  <si>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</si>
  <si>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</si>
  <si>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</si>
  <si>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</si>
  <si>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</si>
  <si>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</si>
  <si>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</si>
  <si>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</si>
  <si>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</si>
  <si>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</si>
  <si>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</si>
  <si>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</si>
  <si>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</si>
  <si>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</si>
  <si>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</si>
  <si>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</si>
  <si>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</si>
  <si>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</si>
  <si>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</si>
  <si>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</si>
  <si>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</si>
  <si>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</si>
  <si>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</si>
  <si>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</si>
  <si>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</si>
  <si>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</si>
  <si>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</si>
  <si>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</si>
  <si>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</si>
  <si>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</si>
  <si>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</si>
  <si>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</si>
  <si>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</si>
  <si>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</si>
  <si>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</si>
  <si>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</si>
  <si>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</si>
  <si>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</si>
  <si>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</si>
  <si>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</si>
  <si>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</si>
  <si>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</si>
  <si>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</si>
  <si>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</si>
  <si>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</si>
  <si>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</si>
  <si>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</si>
  <si>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</si>
  <si>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</si>
  <si>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</si>
  <si>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</si>
  <si>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</si>
  <si>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</si>
  <si>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</si>
  <si>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</si>
  <si>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</si>
  <si>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</si>
  <si>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</si>
  <si>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</si>
  <si>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</si>
  <si>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</si>
  <si>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</si>
  <si>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</si>
  <si>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</si>
  <si>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</si>
  <si>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</si>
  <si>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</si>
  <si>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</si>
  <si>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</si>
  <si>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</si>
  <si>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</si>
  <si>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</si>
  <si>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</si>
  <si>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</si>
  <si>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</si>
  <si>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</si>
  <si>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</si>
  <si>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</si>
  <si>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</si>
  <si>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</si>
  <si>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</si>
  <si>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</si>
  <si>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</si>
  <si>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</si>
  <si>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</si>
  <si>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</si>
  <si>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</si>
  <si>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</si>
  <si>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</si>
  <si>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</si>
  <si>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</si>
  <si>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</si>
  <si>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</si>
  <si>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</si>
  <si>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</si>
  <si>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</si>
  <si>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</si>
  <si>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</si>
  <si>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</si>
  <si>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Umair</t>
  </si>
  <si>
    <t>Rizwan Store</t>
  </si>
  <si>
    <t>Address: Aashiyana Road</t>
  </si>
  <si>
    <t xml:space="preserve">Ghosia Goltra Bakery </t>
  </si>
  <si>
    <t xml:space="preserve">Ok Bakers </t>
  </si>
  <si>
    <t>Address: Awan Market</t>
  </si>
  <si>
    <t>Al Makkah 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</si>
</sst>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J8" sqref="J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514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f ca="1">TODAY()</f>
        <v>46295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Rizwan Store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Ghosia Goltra Bakery </v>
      </c>
      <c r="T4" s="301">
        <f>+'2'!P35</f>
        <v>2265.051582838983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Ok Bakers </v>
      </c>
      <c r="T5" s="301">
        <f>+'3'!P35</f>
        <v>1568.1057925423729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Al Makkah GS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10</v>
      </c>
      <c r="I7" s="235">
        <f>(G7*D7)*F7+H7*F7</f>
        <v>524.625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41.97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18.361875000000001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464.29312500000003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99.152542372881314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2.8172283368644067</v>
      </c>
      <c r="P7" s="310">
        <f>M7+N7+O7</f>
        <v>566.26289570974575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32</v>
      </c>
      <c r="R7" s="313">
        <v>5</v>
      </c>
      <c r="S7" s="300" t="str">
        <f>+'5'!A6:A6</f>
        <v>Shop Name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10</v>
      </c>
      <c r="I8" s="236">
        <f t="shared" ref="I8:I14" si="0">(G8*D8)*F8+H8*F8</f>
        <v>524.625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41.97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18.361875000000001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464.29312500000003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99.152542372881314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2.8172283368644067</v>
      </c>
      <c r="P8" s="311">
        <f t="shared" ref="P8:P15" si="2">M8+N8+O8</f>
        <v>566.26289570974575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22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20</v>
      </c>
      <c r="I9" s="236">
        <f t="shared" si="0"/>
        <v>1049.25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83.94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36.723750000000003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928.58625000000006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198.30508474576263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5.6344566737288133</v>
      </c>
      <c r="P9" s="311">
        <f t="shared" si="2"/>
        <v>1132.5257914194915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26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20</v>
      </c>
      <c r="I12" s="236">
        <f t="shared" si="0"/>
        <v>1452.8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116.224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50.848000000000006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1285.7280000000001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274.57627118644069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7.8015213559322039</v>
      </c>
      <c r="P12" s="311">
        <f t="shared" si="2"/>
        <v>1568.1057925423729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1.5</v>
      </c>
      <c r="H16" s="113">
        <f t="shared" ref="H16:M16" si="3">SUM(H7:H15)</f>
        <v>60</v>
      </c>
      <c r="I16" s="114">
        <f t="shared" si="3"/>
        <v>3551.3</v>
      </c>
      <c r="J16" s="274">
        <f>SUM(J7:J15)</f>
        <v>284.10399999999998</v>
      </c>
      <c r="K16" s="275">
        <f t="shared" si="3"/>
        <v>124.2955</v>
      </c>
      <c r="L16" s="276">
        <f t="shared" si="3"/>
        <v>0</v>
      </c>
      <c r="M16" s="232">
        <f t="shared" si="3"/>
        <v>3142.9005000000002</v>
      </c>
      <c r="N16" s="233">
        <f>SUM(N7:N15)</f>
        <v>671.18644067796595</v>
      </c>
      <c r="O16" s="101">
        <f>SUM(O7:O15)</f>
        <v>19.070434703389829</v>
      </c>
      <c r="P16" s="113">
        <f>SUM(P7:P15)</f>
        <v>3833.1573753813559</v>
      </c>
      <c r="Q16" s="128">
        <f>SUM(Q7:Q15)</f>
        <v>100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3551.3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284.10399999999998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124.2955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3142.9005000000002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671.18644067796595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3814.0869406779661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19.070434703389829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3833.1573753813559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3833.1573753813559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7" workbookViewId="0">
      <selection activeCell="H18" sqref="H16: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17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Summary!H3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>
        <v>12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12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16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2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17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si="0"/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119">
        <f t="shared" si="5"/>
        <v>1132.5257914194915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73.447500000000005</v>
      </c>
      <c r="L25" s="276">
        <f t="shared" si="7"/>
        <v>0</v>
      </c>
      <c r="M25" s="232">
        <f t="shared" si="7"/>
        <v>1857.1725000000001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2098.5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167.88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73.447500000000005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1857.1724999999999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2253.7826694915252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74" t="s">
        <v>88</v>
      </c>
      <c r="O35" s="375"/>
      <c r="P35" s="297">
        <f>+P33+P34</f>
        <v>2265.051582838983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8"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17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8.7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  <c r="Q25" s="239">
        <f>SUM(Q16:Q24)</f>
        <v>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1452.8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116.224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50.848000000000006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1285.7280000000001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1560.3042711864407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74" t="s">
        <v>88</v>
      </c>
      <c r="O35" s="375"/>
      <c r="P35" s="297">
        <f>+P33+P34</f>
        <v>1568.1057925423729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17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>
        <v>20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10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10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'1'!N4:P5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46294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46296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46295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2026-09-30T12:40:29Z</dcterms:modified>
</cp:coreProperties>
</file>