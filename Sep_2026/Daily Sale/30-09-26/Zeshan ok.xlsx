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960E750-7DF6-40E1-97DE-B08483CD1FB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3" l="1"/>
  <c r="N4" i="57"/>
  <c r="N5" i="57" s="1"/>
  <c r="N4" i="64"/>
  <c r="N5" i="64" s="1"/>
  <c r="N4" i="50"/>
  <c r="N5" i="50" s="1"/>
  <c r="N4" i="53"/>
  <c r="N5" i="53" s="1"/>
  <c r="N4" i="51"/>
  <c r="N4" i="46"/>
  <c r="N5" i="46" s="1"/>
  <c r="N4" i="45"/>
  <c r="N5" i="45" s="1"/>
  <c r="N5" i="11"/>
  <c r="N4" i="67"/>
  <c r="N5" i="67" s="1"/>
  <c r="N4" i="70"/>
  <c r="N5" i="70" s="1"/>
  <c r="N4" i="55"/>
  <c r="N5" i="55" s="1"/>
  <c r="N4" i="69"/>
  <c r="N5" i="69" s="1"/>
  <c r="N4" i="65"/>
  <c r="N5" i="65" s="1"/>
  <c r="N4" i="59"/>
  <c r="N5" i="59" s="1"/>
  <c r="N4" i="58"/>
  <c r="N5" i="58" s="1"/>
  <c r="N4" i="61"/>
  <c r="N4" i="68"/>
  <c r="N5" i="68" s="1"/>
  <c r="N4" i="60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18" i="53"/>
  <c r="O18" i="53" s="1"/>
  <c r="P18" i="53" s="1"/>
  <c r="M16" i="48"/>
  <c r="J7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<sst xmlns="http://schemas.openxmlformats.org/spreadsheetml/2006/main" count="3948" uniqueCount="533">
  <si>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</si>
  <si>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</si>
  <si>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</si>
  <si>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</si>
  <si>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</si>
  <si>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</si>
  <si>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</si>
  <si>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</si>
  <si>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</si>
  <si>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</si>
  <si>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</si>
  <si>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</si>
  <si>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</si>
  <si>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</si>
  <si>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</si>
  <si>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</si>
  <si>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</si>
  <si>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</si>
  <si>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</si>
  <si>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</si>
  <si>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</si>
  <si>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</si>
  <si>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</si>
  <si>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</si>
  <si>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</si>
  <si>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</si>
  <si>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</si>
  <si>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</si>
  <si>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</si>
  <si>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</si>
  <si>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</si>
  <si>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</si>
  <si>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</si>
  <si>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</si>
  <si>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</si>
  <si>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</si>
  <si>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</si>
  <si>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</si>
  <si>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</si>
  <si>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</si>
  <si>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</si>
  <si>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</si>
  <si>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</si>
  <si>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</si>
  <si>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</si>
  <si>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</si>
  <si>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</si>
  <si>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</si>
  <si>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</si>
  <si>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</si>
  <si>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</si>
  <si>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</si>
  <si>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</si>
  <si>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</si>
  <si>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</si>
  <si>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</si>
  <si>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</si>
  <si>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</si>
  <si>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</si>
  <si>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</si>
  <si>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</si>
  <si>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</si>
  <si>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</si>
  <si>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</si>
  <si>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</si>
  <si>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</si>
  <si>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</si>
  <si>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</si>
  <si>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</si>
  <si>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</si>
  <si>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</si>
  <si>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</si>
  <si>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</si>
  <si>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</si>
  <si>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</si>
  <si>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</si>
  <si>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</si>
  <si>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</si>
  <si>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</si>
  <si>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</si>
  <si>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</si>
  <si>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</si>
  <si>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</si>
  <si>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</si>
  <si>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</si>
  <si>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</si>
  <si>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</si>
  <si>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</si>
  <si>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</si>
  <si>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</si>
  <si>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</si>
  <si>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</si>
  <si>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</si>
  <si>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</si>
  <si>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</si>
  <si>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</si>
  <si>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</si>
  <si>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</si>
  <si>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</si>
  <si>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</si>
  <si>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</si>
  <si>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</si>
  <si>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</si>
  <si>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</si>
  <si>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</si>
  <si>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</si>
  <si>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</si>
  <si>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</si>
  <si>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</si>
  <si>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</si>
  <si>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</si>
  <si>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</si>
  <si>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</si>
  <si>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</si>
  <si>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</si>
  <si>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</si>
  <si>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</si>
  <si>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</si>
  <si>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</si>
  <si>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</si>
  <si>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</si>
  <si>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</si>
  <si>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</si>
  <si>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</si>
  <si>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</si>
  <si>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</si>
  <si>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</si>
  <si>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</si>
  <si>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</si>
  <si>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</si>
  <si>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</si>
  <si>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</si>
  <si>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</si>
  <si>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</si>
  <si>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</si>
  <si>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</si>
  <si>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</si>
  <si>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</si>
  <si>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</si>
  <si>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</si>
  <si>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</si>
  <si>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</si>
  <si>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</si>
  <si>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</si>
  <si>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</si>
  <si>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</si>
  <si>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</si>
  <si>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</si>
  <si>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</si>
  <si>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</si>
  <si>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</si>
  <si>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</si>
  <si>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</si>
  <si>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</si>
  <si>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</si>
  <si>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</si>
  <si>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</si>
  <si>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</si>
  <si>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</si>
  <si>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</si>
  <si>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</si>
  <si>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</si>
  <si>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</si>
  <si>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</si>
  <si>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</si>
  <si>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</si>
  <si>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</si>
  <si>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</si>
  <si>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</si>
  <si>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</si>
  <si>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</si>
  <si>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</si>
  <si>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</si>
  <si>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</si>
  <si>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</si>
  <si>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</si>
  <si>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</si>
  <si>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</si>
  <si>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</si>
  <si>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</si>
  <si>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</si>
  <si>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</si>
  <si>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</si>
  <si>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</si>
  <si>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</si>
  <si>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</si>
  <si>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</si>
  <si>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</si>
  <si>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</si>
  <si>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</si>
  <si>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</si>
  <si>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</si>
  <si>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</si>
  <si>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</si>
  <si>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</si>
  <si>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</si>
  <si>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</si>
  <si>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</si>
  <si>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</si>
  <si>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</si>
  <si>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</si>
  <si>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</si>
  <si>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</si>
  <si>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</si>
  <si>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</si>
  <si>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</si>
  <si>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</si>
  <si>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</si>
  <si>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</si>
  <si>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</si>
  <si>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</si>
  <si>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</si>
  <si>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</si>
  <si>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</si>
  <si>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</si>
  <si>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</si>
  <si>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</si>
  <si>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</si>
  <si>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</si>
  <si>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</si>
  <si>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</si>
  <si>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</si>
  <si>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</si>
  <si>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</si>
  <si>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</si>
  <si>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</si>
  <si>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</si>
  <si>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</si>
  <si>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</si>
  <si>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</si>
  <si>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</si>
  <si>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</si>
  <si>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</si>
  <si>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</si>
  <si>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</si>
  <si>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</si>
  <si>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</si>
  <si>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</si>
  <si>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</si>
  <si>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</si>
  <si>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</si>
  <si>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</si>
  <si>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</si>
  <si>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</si>
  <si>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</si>
  <si>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</si>
  <si>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</si>
  <si>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</si>
  <si>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</si>
  <si>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</si>
  <si>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</si>
  <si>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</si>
  <si>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</si>
  <si>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</si>
  <si>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</si>
  <si>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</si>
  <si>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</si>
  <si>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</si>
  <si>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</si>
  <si>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</si>
  <si>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</si>
  <si>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</si>
  <si>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</si>
  <si>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</si>
  <si>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</si>
  <si>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</si>
  <si>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</si>
  <si>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</si>
  <si>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</si>
  <si>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</si>
  <si>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</si>
  <si>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</si>
  <si>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</si>
  <si>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</si>
  <si>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</si>
  <si>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</si>
  <si>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</si>
  <si>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</si>
  <si>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</si>
  <si>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</si>
  <si>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</si>
  <si>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</si>
  <si>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</si>
  <si>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</si>
  <si>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</si>
  <si>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</si>
  <si>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</si>
  <si>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</si>
  <si>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</si>
  <si>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</si>
  <si>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</si>
  <si>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</si>
  <si>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</si>
  <si>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</si>
  <si>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</si>
  <si>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</si>
  <si>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</si>
  <si>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</si>
  <si>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</si>
  <si>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</si>
  <si>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</si>
  <si>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</si>
  <si>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</si>
  <si>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</si>
  <si>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</si>
  <si>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</si>
  <si>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</si>
  <si>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</si>
  <si>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</si>
  <si>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</si>
  <si>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</si>
  <si>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</si>
  <si>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</si>
  <si>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</si>
  <si>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</si>
  <si>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</si>
  <si>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</si>
  <si>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</si>
  <si>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</si>
  <si>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</si>
  <si>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</si>
  <si>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</si>
  <si>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</si>
  <si>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</si>
  <si>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</si>
  <si>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</si>
  <si>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</si>
  <si>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</si>
  <si>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</si>
  <si>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</si>
  <si>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</si>
  <si>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</si>
  <si>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</si>
  <si>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</si>
  <si>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</si>
  <si>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</si>
  <si>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</si>
  <si>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</si>
  <si>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</si>
  <si>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</si>
  <si>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</si>
  <si>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</si>
  <si>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</si>
  <si>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</si>
  <si>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</si>
  <si>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</si>
  <si>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</si>
  <si>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</si>
  <si>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</si>
  <si>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</si>
  <si>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</si>
  <si>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</si>
  <si>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</si>
  <si>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</si>
  <si>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</si>
  <si>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</si>
  <si>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</si>
  <si>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</si>
  <si>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</si>
  <si>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</si>
  <si>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</si>
  <si>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</si>
  <si>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</si>
  <si>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</si>
  <si>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</si>
  <si>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</si>
  <si>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</si>
  <si>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</si>
  <si>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</si>
  <si>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</si>
  <si>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</si>
  <si>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</si>
  <si>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</si>
  <si>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</si>
  <si>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</si>
  <si>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</si>
  <si>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</si>
  <si>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</si>
  <si>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</si>
  <si>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</si>
  <si>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</si>
  <si>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</si>
  <si>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</si>
  <si>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</si>
  <si>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</si>
  <si>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</si>
  <si>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</si>
  <si>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</si>
  <si>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</si>
  <si>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</si>
  <si>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</si>
  <si>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</si>
  <si>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</si>
  <si>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</si>
  <si>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</si>
  <si>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</si>
  <si>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</si>
  <si>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</si>
  <si>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</si>
  <si>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</si>
  <si>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</si>
  <si>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</si>
  <si>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</si>
  <si>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</si>
  <si>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</si>
  <si>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</si>
  <si>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</si>
  <si>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</si>
  <si>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</si>
  <si>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</si>
  <si>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</si>
  <si>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</si>
  <si>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</si>
  <si>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</si>
  <si>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</si>
  <si>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</si>
  <si>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</si>
  <si>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</si>
  <si>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</si>
  <si>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</si>
  <si>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</si>
  <si>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</si>
  <si>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</si>
  <si>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</si>
  <si>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</si>
  <si>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</si>
  <si>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</si>
  <si>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</si>
  <si>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</si>
  <si>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</si>
  <si>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</si>
  <si>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</si>
  <si>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</si>
  <si>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</si>
  <si>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</si>
  <si>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</si>
  <si>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</si>
  <si>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</si>
  <si>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</si>
  <si>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</si>
  <si>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</si>
  <si>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</si>
  <si>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</si>
  <si>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</si>
  <si>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</si>
  <si>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</si>
  <si>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</si>
  <si>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</si>
  <si>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</si>
  <si>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</si>
  <si>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</si>
  <si>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</si>
  <si>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</si>
  <si>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</si>
  <si>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</si>
  <si>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</si>
  <si>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</si>
  <si>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</si>
  <si>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</si>
  <si>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</si>
  <si>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</si>
  <si>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</si>
  <si>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</si>
  <si>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</si>
  <si>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</si>
  <si>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</si>
  <si>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</si>
  <si>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</si>
  <si>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</si>
  <si>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</si>
  <si>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</si>
  <si>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</si>
  <si>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</si>
  <si>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</si>
  <si>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</si>
  <si>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</si>
  <si>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</si>
  <si>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</si>
  <si>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</si>
  <si>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</si>
  <si>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</si>
  <si>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</si>
  <si>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</si>
  <si>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</si>
  <si>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</si>
  <si>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</si>
  <si>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</si>
  <si>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</si>
  <si>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</si>
  <si>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</si>
  <si>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</si>
  <si>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</si>
  <si>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</si>
  <si>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</si>
  <si>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</si>
  <si>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</si>
  <si>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</si>
  <si>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</si>
  <si>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</si>
  <si>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</si>
  <si>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</si>
  <si>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</si>
  <si>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</si>
  <si>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</si>
  <si>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</si>
  <si>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</si>
  <si>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</si>
  <si>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</si>
  <si>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</si>
  <si>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</si>
  <si>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</si>
  <si>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</si>
  <si>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</si>
  <si>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</si>
  <si>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Address: Nishat</t>
  </si>
  <si>
    <t>Imran Store</t>
  </si>
  <si>
    <t>Ghous Sore</t>
  </si>
  <si>
    <t>Saeed Store</t>
  </si>
  <si>
    <t>Faizan Store</t>
  </si>
  <si>
    <t>786 Store</t>
  </si>
  <si>
    <t>Nishat Store</t>
  </si>
  <si>
    <t>Qadri Store</t>
  </si>
  <si>
    <t>Delsia Baker</t>
  </si>
  <si>
    <t>Bilal Store</t>
  </si>
  <si>
    <t>MS Store</t>
  </si>
  <si>
    <t>Sheikh Store</t>
  </si>
  <si>
    <t xml:space="preserve">Value Mart </t>
  </si>
  <si>
    <t>Mian Store</t>
  </si>
  <si>
    <t>Khan Store</t>
  </si>
  <si>
    <t>Rana Store</t>
  </si>
  <si>
    <t>Churahi Stoe</t>
  </si>
  <si>
    <t>Hafiz Store</t>
  </si>
  <si>
    <t>Rehman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</si>
</sst>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8" workbookViewId="0">
      <selection activeCell="R16" sqref="R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f ca="1">TODAY()</f>
        <v>46295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Imran Store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Ghous Sore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Saeed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Faizan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125.91000000000001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80</v>
      </c>
      <c r="R7" s="313">
        <v>5</v>
      </c>
      <c r="S7" s="300" t="str">
        <f>+'5'!A6:A6</f>
        <v>786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125.91000000000001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Nishat Store</v>
      </c>
      <c r="T8" s="301">
        <f>+'6'!P35</f>
        <v>396.38402699682194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80</v>
      </c>
      <c r="R9" s="313">
        <v>7</v>
      </c>
      <c r="S9" s="300" t="str">
        <f>+'7'!A6:A6</f>
        <v>Qadri Store</v>
      </c>
      <c r="T9" s="301">
        <f>+'7'!P35</f>
        <v>396.38402699682194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87.167999999999992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5.8511410169491525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3">
        <v>8</v>
      </c>
      <c r="S10" s="300" t="str">
        <f>+'8'!A6:A6</f>
        <v>Delsia Baker</v>
      </c>
      <c r="T10" s="301">
        <f>+'8'!P35</f>
        <v>226.50515828389825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Bilal Store</v>
      </c>
      <c r="T11" s="301">
        <f>+'9'!P35</f>
        <v>339.75773742584738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35</v>
      </c>
      <c r="I12" s="236">
        <f t="shared" si="0"/>
        <v>2542.4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203.392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88.984000000000009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2250.0240000000003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480.50847457627128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13.652662372881355</v>
      </c>
      <c r="P12" s="311">
        <f t="shared" si="2"/>
        <v>2744.1851369491533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Imran Store</v>
      </c>
      <c r="T12" s="301">
        <f>+'10'!P35</f>
        <v>339.75773742584738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MS Store</v>
      </c>
      <c r="T13" s="301">
        <f>+'11'!P35</f>
        <v>283.13144785487287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Sheikh Store</v>
      </c>
      <c r="T14" s="301">
        <f>+'12'!P35</f>
        <v>283.13144785487287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Value Mart </v>
      </c>
      <c r="T15" s="301">
        <f>+'13'!P35</f>
        <v>548.8370273898305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3.75</v>
      </c>
      <c r="H16" s="113">
        <f t="shared" ref="H16:M16" si="3">SUM(H7:H15)</f>
        <v>150</v>
      </c>
      <c r="I16" s="114">
        <f t="shared" si="3"/>
        <v>9281.8000000000011</v>
      </c>
      <c r="J16" s="274">
        <f>SUM(J7:J15)</f>
        <v>742.5440000000001</v>
      </c>
      <c r="K16" s="275">
        <f t="shared" si="3"/>
        <v>324.86300000000006</v>
      </c>
      <c r="L16" s="276">
        <f t="shared" si="3"/>
        <v>0</v>
      </c>
      <c r="M16" s="232">
        <f t="shared" si="3"/>
        <v>8214.393</v>
      </c>
      <c r="N16" s="233">
        <f>SUM(N7:N15)</f>
        <v>1754.237288135593</v>
      </c>
      <c r="O16" s="101">
        <f>SUM(O7:O15)</f>
        <v>49.843151440677971</v>
      </c>
      <c r="P16" s="113">
        <f>SUM(P7:P15)</f>
        <v>10018.473439576272</v>
      </c>
      <c r="Q16" s="128">
        <f>SUM(Q7:Q15)</f>
        <v>170</v>
      </c>
      <c r="R16" s="313">
        <v>14</v>
      </c>
      <c r="S16" s="315" t="str">
        <f>+'14'!A6:A6</f>
        <v>Mian Store</v>
      </c>
      <c r="T16" s="301">
        <f>+'14'!P35</f>
        <v>548.8370273898305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Khan Store</v>
      </c>
      <c r="T17" s="301">
        <f>+'15'!P35</f>
        <v>470.43173776271186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Rana Store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9281.8000000000011</v>
      </c>
      <c r="R19" s="299">
        <v>17</v>
      </c>
      <c r="S19" s="300" t="str">
        <f>+'17'!A6:A6</f>
        <v>Churahi Stoe</v>
      </c>
      <c r="T19" s="301">
        <f>+'17'!P35</f>
        <v>784.05289627118646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742.5440000000001</v>
      </c>
      <c r="R20" s="299">
        <v>18</v>
      </c>
      <c r="S20" s="300" t="str">
        <f>+'18'!A6:A6</f>
        <v>Hafiz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324.86300000000006</v>
      </c>
      <c r="R21" s="299">
        <v>19</v>
      </c>
      <c r="S21" s="300" t="str">
        <f>+'19'!A6:A6</f>
        <v>Rehman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8214.3930000000018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1754.237288135593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9968.630288135595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49.843151440677971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10018.473439576273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10018.473439576273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Summary!H3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'1'!N4:P5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7</v>
      </c>
      <c r="I25" s="114">
        <f t="shared" si="7"/>
        <v>367.23749999999995</v>
      </c>
      <c r="J25" s="274">
        <f>SUM(J16:J24)</f>
        <v>29.378999999999998</v>
      </c>
      <c r="K25" s="275">
        <f t="shared" si="7"/>
        <v>12.853312500000001</v>
      </c>
      <c r="L25" s="276">
        <f t="shared" si="7"/>
        <v>0</v>
      </c>
      <c r="M25" s="232">
        <f t="shared" si="7"/>
        <v>325.00518749999998</v>
      </c>
      <c r="N25" s="233">
        <f>SUM(N16:N24)</f>
        <v>69.406779661016913</v>
      </c>
      <c r="O25" s="101">
        <f>SUM(O16:O24)</f>
        <v>1.9720598358050845</v>
      </c>
      <c r="P25" s="234">
        <f>SUM(P16:P24)</f>
        <v>396.38402699682194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367.23749999999995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29.378999999999998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12.853312500000001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325.00518749999992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69.406779661016913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394.41196716101683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1.9720598358050843</v>
      </c>
    </row>
    <row r="35" spans="2:16" ht="15.75" customHeight="1" thickBot="1" x14ac:dyDescent="0.4">
      <c r="N35" s="345" t="s">
        <v>88</v>
      </c>
      <c r="O35" s="346"/>
      <c r="P35" s="297">
        <f>+P33+P34</f>
        <v>396.38402699682194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7</v>
      </c>
      <c r="I25" s="114">
        <f t="shared" si="7"/>
        <v>367.23749999999995</v>
      </c>
      <c r="J25" s="274">
        <f>SUM(J16:J24)</f>
        <v>29.378999999999998</v>
      </c>
      <c r="K25" s="275">
        <f t="shared" si="7"/>
        <v>12.853312500000001</v>
      </c>
      <c r="L25" s="276">
        <f t="shared" si="7"/>
        <v>0</v>
      </c>
      <c r="M25" s="232">
        <f t="shared" si="7"/>
        <v>325.00518749999998</v>
      </c>
      <c r="N25" s="233">
        <f>SUM(N16:N24)</f>
        <v>69.406779661016913</v>
      </c>
      <c r="O25" s="101">
        <f>SUM(O16:O24)</f>
        <v>1.9720598358050845</v>
      </c>
      <c r="P25" s="234">
        <f>SUM(P16:P24)</f>
        <v>396.38402699682194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367.23749999999995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29.378999999999998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12.853312500000001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325.00518749999992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69.406779661016913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394.41196716101683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1.9720598358050843</v>
      </c>
    </row>
    <row r="35" spans="2:16" ht="15.75" customHeight="1" thickBot="1" x14ac:dyDescent="0.4">
      <c r="N35" s="345" t="s">
        <v>88</v>
      </c>
      <c r="O35" s="346"/>
      <c r="P35" s="297">
        <f>+P33+P34</f>
        <v>396.38402699682194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</v>
      </c>
      <c r="I25" s="114">
        <f t="shared" si="7"/>
        <v>209.85</v>
      </c>
      <c r="J25" s="274">
        <f>SUM(J16:J24)</f>
        <v>16.788</v>
      </c>
      <c r="K25" s="275">
        <f t="shared" si="7"/>
        <v>7.3447500000000003</v>
      </c>
      <c r="L25" s="276">
        <f t="shared" si="7"/>
        <v>0</v>
      </c>
      <c r="M25" s="232">
        <f t="shared" si="7"/>
        <v>185.71724999999998</v>
      </c>
      <c r="N25" s="233">
        <f>SUM(N16:N24)</f>
        <v>39.661016949152526</v>
      </c>
      <c r="O25" s="101">
        <f>SUM(O16:O24)</f>
        <v>1.1268913347457625</v>
      </c>
      <c r="P25" s="234">
        <f>SUM(P16:P24)</f>
        <v>226.50515828389825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209.85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16.788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7.3447500000000003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185.71724999999998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39.661016949152526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225.3782669491525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1.1268913347457625</v>
      </c>
    </row>
    <row r="35" spans="2:16" ht="15.75" customHeight="1" thickBot="1" x14ac:dyDescent="0.4">
      <c r="N35" s="345" t="s">
        <v>88</v>
      </c>
      <c r="O35" s="346"/>
      <c r="P35" s="297">
        <f>+P33+P34</f>
        <v>226.50515828389825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</v>
      </c>
      <c r="I21" s="236">
        <f t="shared" si="0"/>
        <v>508.48</v>
      </c>
      <c r="J21" s="272">
        <f t="shared" si="1"/>
        <v>40.678400000000003</v>
      </c>
      <c r="K21" s="128">
        <f t="shared" si="1"/>
        <v>17.796800000000001</v>
      </c>
      <c r="L21" s="119">
        <f t="shared" si="1"/>
        <v>0</v>
      </c>
      <c r="M21" s="230">
        <f t="shared" si="2"/>
        <v>450.00480000000005</v>
      </c>
      <c r="N21" s="277">
        <f t="shared" si="3"/>
        <v>96.101694915254242</v>
      </c>
      <c r="O21" s="239">
        <f t="shared" si="4"/>
        <v>2.7305324745762714</v>
      </c>
      <c r="P21" s="119">
        <f t="shared" si="5"/>
        <v>548.83702738983061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7</v>
      </c>
      <c r="I25" s="114">
        <f t="shared" si="7"/>
        <v>508.48</v>
      </c>
      <c r="J25" s="274">
        <f>SUM(J16:J24)</f>
        <v>40.678400000000003</v>
      </c>
      <c r="K25" s="275">
        <f t="shared" si="7"/>
        <v>17.796800000000001</v>
      </c>
      <c r="L25" s="276">
        <f t="shared" si="7"/>
        <v>0</v>
      </c>
      <c r="M25" s="232">
        <f t="shared" si="7"/>
        <v>450.00480000000005</v>
      </c>
      <c r="N25" s="233">
        <f>SUM(N16:N24)</f>
        <v>96.101694915254242</v>
      </c>
      <c r="O25" s="101">
        <f>SUM(O16:O24)</f>
        <v>2.7305324745762714</v>
      </c>
      <c r="P25" s="234">
        <f>SUM(P16:P24)</f>
        <v>548.83702738983061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508.48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40.678400000000003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17.796800000000001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450.00479999999999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96.101694915254242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546.10649491525419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2.7305324745762709</v>
      </c>
    </row>
    <row r="35" spans="2:16" ht="15.75" customHeight="1" thickBot="1" x14ac:dyDescent="0.4">
      <c r="N35" s="345" t="s">
        <v>88</v>
      </c>
      <c r="O35" s="346"/>
      <c r="P35" s="297">
        <f>+P33+P34</f>
        <v>548.8370273898305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</v>
      </c>
      <c r="I21" s="236">
        <f t="shared" si="0"/>
        <v>508.48</v>
      </c>
      <c r="J21" s="272">
        <f t="shared" si="1"/>
        <v>40.678400000000003</v>
      </c>
      <c r="K21" s="128">
        <f t="shared" si="1"/>
        <v>17.796800000000001</v>
      </c>
      <c r="L21" s="119">
        <f t="shared" si="1"/>
        <v>0</v>
      </c>
      <c r="M21" s="230">
        <f t="shared" si="2"/>
        <v>450.00480000000005</v>
      </c>
      <c r="N21" s="277">
        <f t="shared" si="3"/>
        <v>96.101694915254242</v>
      </c>
      <c r="O21" s="239">
        <f t="shared" si="4"/>
        <v>2.7305324745762714</v>
      </c>
      <c r="P21" s="119">
        <f t="shared" si="5"/>
        <v>548.83702738983061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7</v>
      </c>
      <c r="I25" s="114">
        <f t="shared" si="7"/>
        <v>508.48</v>
      </c>
      <c r="J25" s="274">
        <f>SUM(J16:J24)</f>
        <v>40.678400000000003</v>
      </c>
      <c r="K25" s="275">
        <f t="shared" si="7"/>
        <v>17.796800000000001</v>
      </c>
      <c r="L25" s="276">
        <f t="shared" si="7"/>
        <v>0</v>
      </c>
      <c r="M25" s="232">
        <f t="shared" si="7"/>
        <v>450.00480000000005</v>
      </c>
      <c r="N25" s="233">
        <f>SUM(N16:N24)</f>
        <v>96.101694915254242</v>
      </c>
      <c r="O25" s="101">
        <f>SUM(O16:O24)</f>
        <v>2.7305324745762714</v>
      </c>
      <c r="P25" s="234">
        <f>SUM(P16:P24)</f>
        <v>548.83702738983061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508.48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40.678400000000003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17.796800000000001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450.00479999999999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96.101694915254242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546.10649491525419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2.7305324745762709</v>
      </c>
    </row>
    <row r="35" spans="2:16" ht="15.75" customHeight="1" thickBot="1" x14ac:dyDescent="0.4">
      <c r="N35" s="345" t="s">
        <v>88</v>
      </c>
      <c r="O35" s="346"/>
      <c r="P35" s="297">
        <f>+P33+P34</f>
        <v>548.8370273898305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7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80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2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80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2026-09-30T12:54:55Z</dcterms:modified>
</cp:coreProperties>
</file>