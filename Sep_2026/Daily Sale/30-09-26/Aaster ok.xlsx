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6019EA1-9E06-466E-84A8-5FA6384971EF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1" l="1"/>
  <c r="N4" i="67"/>
  <c r="N5" i="67" s="1"/>
  <c r="N5" i="11"/>
  <c r="N4" i="50"/>
  <c r="N5" i="50" s="1"/>
  <c r="N4" i="46"/>
  <c r="N4" i="57"/>
  <c r="N4" i="53"/>
  <c r="N5" i="53" s="1"/>
  <c r="N4" i="64"/>
  <c r="N5" i="64" s="1"/>
  <c r="N4" i="63"/>
  <c r="N4" i="70"/>
  <c r="N5" i="70" s="1"/>
  <c r="N4" i="45"/>
  <c r="N5" i="45" s="1"/>
  <c r="N4" i="59"/>
  <c r="N5" i="59" s="1"/>
  <c r="N4" i="58"/>
  <c r="N5" i="58" s="1"/>
  <c r="N4" i="61"/>
  <c r="N5" i="61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<sst xmlns="http://schemas.openxmlformats.org/spreadsheetml/2006/main" count="3918" uniqueCount="518">
  <si>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</si>
  <si>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</si>
  <si>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</si>
  <si>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</si>
  <si>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</si>
  <si>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</si>
  <si>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</si>
  <si>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</si>
  <si>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</si>
  <si>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</si>
  <si>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</si>
  <si>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</si>
  <si>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</si>
  <si>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</si>
  <si>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</si>
  <si>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</si>
  <si>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</si>
  <si>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</si>
  <si>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</si>
  <si>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</si>
  <si>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</si>
  <si>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</si>
  <si>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</si>
  <si>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</si>
  <si>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</si>
  <si>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</si>
  <si>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</si>
  <si>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</si>
  <si>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</si>
  <si>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</si>
  <si>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</si>
  <si>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</si>
  <si>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</si>
  <si>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</si>
  <si>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</si>
  <si>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</si>
  <si>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</si>
  <si>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</si>
  <si>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</si>
  <si>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</si>
  <si>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</si>
  <si>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</si>
  <si>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</si>
  <si>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</si>
  <si>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</si>
  <si>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</si>
  <si>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</si>
  <si>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</si>
  <si>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</si>
  <si>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</si>
  <si>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</si>
  <si>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</si>
  <si>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</si>
  <si>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</si>
  <si>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</si>
  <si>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</si>
  <si>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</si>
  <si>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</si>
  <si>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</si>
  <si>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</si>
  <si>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</si>
  <si>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</si>
  <si>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</si>
  <si>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</si>
  <si>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</si>
  <si>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</si>
  <si>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</si>
  <si>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</si>
  <si>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</si>
  <si>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</si>
  <si>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</si>
  <si>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</si>
  <si>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</si>
  <si>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</si>
  <si>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</si>
  <si>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</si>
  <si>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</si>
  <si>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</si>
  <si>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</si>
  <si>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</si>
  <si>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</si>
  <si>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</si>
  <si>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</si>
  <si>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</si>
  <si>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</si>
  <si>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</si>
  <si>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</si>
  <si>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</si>
  <si>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</si>
  <si>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</si>
  <si>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</si>
  <si>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</si>
  <si>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</si>
  <si>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</si>
  <si>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</si>
  <si>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</si>
  <si>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</si>
  <si>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</si>
  <si>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</si>
  <si>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</si>
  <si>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</si>
  <si>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</si>
  <si>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</si>
  <si>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</si>
  <si>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</si>
  <si>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</si>
  <si>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</si>
  <si>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</si>
  <si>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</si>
  <si>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</si>
  <si>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</si>
  <si>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</si>
  <si>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</si>
  <si>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</si>
  <si>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</si>
  <si>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</si>
  <si>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</si>
  <si>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</si>
  <si>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</si>
  <si>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</si>
  <si>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</si>
  <si>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</si>
  <si>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</si>
  <si>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</si>
  <si>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</si>
  <si>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</si>
  <si>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</si>
  <si>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</si>
  <si>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</si>
  <si>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</si>
  <si>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</si>
  <si>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</si>
  <si>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</si>
  <si>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</si>
  <si>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</si>
  <si>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</si>
  <si>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</si>
  <si>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</si>
  <si>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</si>
  <si>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</si>
  <si>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</si>
  <si>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</si>
  <si>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</si>
  <si>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</si>
  <si>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</si>
  <si>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</si>
  <si>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</si>
  <si>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</si>
  <si>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</si>
  <si>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</si>
  <si>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</si>
  <si>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</si>
  <si>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</si>
  <si>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</si>
  <si>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</si>
  <si>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</si>
  <si>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</si>
  <si>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</si>
  <si>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</si>
  <si>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</si>
  <si>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</si>
  <si>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</si>
  <si>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</si>
  <si>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</si>
  <si>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</si>
  <si>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</si>
  <si>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</si>
  <si>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</si>
  <si>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</si>
  <si>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</si>
  <si>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</si>
  <si>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</si>
  <si>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</si>
  <si>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</si>
  <si>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</si>
  <si>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</si>
  <si>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</si>
  <si>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</si>
  <si>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</si>
  <si>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</si>
  <si>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</si>
  <si>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</si>
  <si>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</si>
  <si>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</si>
  <si>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</si>
  <si>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</si>
  <si>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</si>
  <si>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</si>
  <si>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</si>
  <si>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</si>
  <si>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</si>
  <si>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</si>
  <si>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</si>
  <si>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</si>
  <si>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</si>
  <si>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</si>
  <si>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</si>
  <si>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</si>
  <si>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</si>
  <si>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</si>
  <si>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</si>
  <si>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</si>
  <si>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</si>
  <si>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</si>
  <si>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</si>
  <si>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</si>
  <si>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</si>
  <si>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</si>
  <si>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</si>
  <si>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</si>
  <si>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</si>
  <si>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</si>
  <si>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</si>
  <si>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</si>
  <si>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</si>
  <si>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</si>
  <si>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</si>
  <si>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</si>
  <si>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</si>
  <si>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</si>
  <si>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</si>
  <si>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</si>
  <si>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</si>
  <si>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</si>
  <si>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</si>
  <si>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</si>
  <si>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</si>
  <si>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</si>
  <si>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</si>
  <si>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</si>
  <si>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</si>
  <si>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</si>
  <si>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</si>
  <si>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</si>
  <si>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</si>
  <si>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</si>
  <si>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</si>
  <si>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</si>
  <si>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</si>
  <si>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</si>
  <si>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</si>
  <si>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</si>
  <si>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</si>
  <si>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</si>
  <si>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</si>
  <si>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</si>
  <si>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</si>
  <si>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</si>
  <si>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</si>
  <si>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</si>
  <si>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</si>
  <si>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</si>
  <si>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</si>
  <si>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</si>
  <si>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</si>
  <si>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</si>
  <si>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</si>
  <si>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</si>
  <si>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</si>
  <si>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</si>
  <si>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</si>
  <si>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</si>
  <si>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</si>
  <si>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</si>
  <si>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</si>
  <si>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</si>
  <si>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</si>
  <si>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</si>
  <si>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</si>
  <si>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</si>
  <si>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</si>
  <si>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</si>
  <si>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</si>
  <si>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</si>
  <si>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</si>
  <si>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</si>
  <si>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</si>
  <si>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</si>
  <si>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</si>
  <si>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</si>
  <si>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</si>
  <si>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</si>
  <si>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</si>
  <si>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</si>
  <si>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</si>
  <si>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</si>
  <si>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</si>
  <si>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</si>
  <si>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</si>
  <si>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</si>
  <si>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</si>
  <si>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</si>
  <si>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</si>
  <si>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</si>
  <si>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</si>
  <si>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</si>
  <si>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</si>
  <si>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</si>
  <si>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</si>
  <si>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</si>
  <si>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</si>
  <si>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</si>
  <si>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</si>
  <si>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</si>
  <si>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</si>
  <si>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</si>
  <si>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</si>
  <si>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</si>
  <si>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</si>
  <si>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</si>
  <si>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</si>
  <si>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</si>
  <si>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</si>
  <si>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</si>
  <si>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</si>
  <si>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</si>
  <si>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</si>
  <si>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</si>
  <si>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</si>
  <si>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</si>
  <si>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</si>
  <si>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</si>
  <si>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</si>
  <si>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</si>
  <si>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</si>
  <si>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</si>
  <si>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</si>
  <si>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</si>
  <si>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</si>
  <si>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</si>
  <si>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</si>
  <si>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</si>
  <si>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</si>
  <si>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</si>
  <si>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</si>
  <si>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</si>
  <si>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</si>
  <si>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</si>
  <si>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</si>
  <si>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</si>
  <si>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</si>
  <si>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</si>
  <si>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</si>
  <si>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</si>
  <si>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</si>
  <si>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</si>
  <si>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</si>
  <si>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</si>
  <si>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</si>
  <si>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</si>
  <si>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</si>
  <si>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</si>
  <si>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</si>
  <si>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</si>
  <si>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</si>
  <si>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</si>
  <si>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</si>
  <si>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</si>
  <si>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</si>
  <si>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</si>
  <si>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</si>
  <si>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</si>
  <si>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</si>
  <si>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</si>
  <si>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</si>
  <si>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</si>
  <si>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</si>
  <si>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</si>
  <si>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</si>
  <si>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</si>
  <si>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</si>
  <si>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</si>
  <si>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</si>
  <si>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</si>
  <si>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</si>
  <si>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</si>
  <si>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</si>
  <si>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</si>
  <si>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</si>
  <si>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</si>
  <si>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</si>
  <si>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</si>
  <si>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</si>
  <si>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</si>
  <si>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</si>
  <si>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</si>
  <si>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</si>
  <si>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</si>
  <si>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</si>
  <si>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</si>
  <si>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</si>
  <si>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</si>
  <si>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</si>
  <si>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</si>
  <si>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</si>
  <si>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</si>
  <si>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</si>
  <si>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</si>
  <si>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</si>
  <si>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</si>
  <si>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</si>
  <si>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</si>
  <si>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</si>
  <si>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</si>
  <si>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</si>
  <si>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</si>
  <si>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</si>
  <si>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</si>
  <si>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</si>
  <si>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</si>
  <si>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</si>
  <si>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</si>
  <si>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</si>
  <si>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</si>
  <si>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</si>
  <si>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</si>
  <si>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</si>
  <si>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</si>
  <si>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</si>
  <si>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</si>
  <si>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</si>
  <si>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</si>
  <si>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</si>
  <si>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</si>
  <si>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</si>
  <si>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</si>
  <si>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</si>
  <si>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</si>
  <si>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</si>
  <si>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</si>
  <si>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</si>
  <si>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</si>
  <si>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</si>
  <si>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</si>
  <si>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</si>
  <si>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</si>
  <si>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</si>
  <si>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</si>
  <si>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</si>
  <si>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</si>
  <si>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</si>
  <si>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</si>
  <si>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</si>
  <si>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</si>
  <si>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</si>
  <si>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</si>
  <si>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</si>
  <si>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</si>
  <si>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</si>
  <si>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</si>
  <si>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</si>
  <si>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</si>
  <si>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</si>
  <si>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</si>
  <si>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</si>
  <si>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</si>
  <si>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</si>
  <si>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</si>
  <si>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</si>
  <si>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</si>
  <si>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</si>
  <si>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</si>
  <si>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</si>
  <si>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</si>
  <si>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</si>
  <si>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</si>
  <si>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</si>
  <si>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</si>
  <si>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</si>
  <si>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</si>
  <si>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</si>
  <si>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</si>
  <si>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</si>
  <si>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</si>
  <si>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</si>
  <si>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</si>
  <si>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</si>
  <si>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</si>
  <si>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</si>
  <si>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</si>
  <si>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</si>
  <si>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</si>
  <si>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</si>
  <si>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</si>
  <si>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</si>
  <si>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</si>
  <si>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</si>
  <si>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</si>
  <si>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</si>
  <si>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</si>
  <si>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</si>
  <si>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</si>
  <si>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</si>
  <si>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</si>
  <si>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</si>
  <si>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</si>
  <si>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</si>
  <si>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</si>
  <si>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</si>
  <si>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</si>
  <si>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</si>
  <si>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</si>
  <si>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</si>
  <si>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</si>
  <si>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</si>
  <si>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</si>
  <si>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</si>
  <si>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</si>
  <si>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</si>
  <si>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</si>
  <si>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</si>
  <si>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</si>
  <si>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Address: Adress </t>
  </si>
  <si>
    <t>Shakoor</t>
  </si>
  <si>
    <t>ASTER SUPERMARKET</t>
  </si>
  <si>
    <t>NTN #: F719516-2</t>
  </si>
  <si>
    <t>Invoice No # :0001</t>
  </si>
  <si>
    <t>Address:  Canal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</si>
</sst>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513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46296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ASTER SUPERMARKET</v>
      </c>
      <c r="T3" s="301">
        <f>+'1'!P35</f>
        <v>36400.688435466102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ASTER SUPERMARKET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ASTER SUPERMARKET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ASTER SUPERMARKET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ASTER SUPERMARKET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ASTER SUPERMARKET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ASTER SUPERMARKET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ASTER SUPERMARKET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ASTER SUPERMARKET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ASTER SUPERMARKET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ASTER SUPERMARKET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ASTER SUPERMARKET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ASTER SUPERMARKET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14</v>
      </c>
      <c r="H16" s="113">
        <f t="shared" ref="H16:M16" si="3">SUM(H7:H15)</f>
        <v>560</v>
      </c>
      <c r="I16" s="114">
        <f t="shared" si="3"/>
        <v>35028.699999999997</v>
      </c>
      <c r="J16" s="274">
        <f>SUM(J7:J15)</f>
        <v>4203.4439999999995</v>
      </c>
      <c r="K16" s="275">
        <f t="shared" si="3"/>
        <v>1226.0045000000002</v>
      </c>
      <c r="L16" s="276">
        <f t="shared" si="3"/>
        <v>0</v>
      </c>
      <c r="M16" s="232">
        <f t="shared" si="3"/>
        <v>29599.251500000002</v>
      </c>
      <c r="N16" s="233">
        <f>SUM(N7:N15)</f>
        <v>6620.3389830508459</v>
      </c>
      <c r="O16" s="101">
        <f>SUM(O7:O15)</f>
        <v>181.09795241525424</v>
      </c>
      <c r="P16" s="113">
        <f>SUM(P7:P15)</f>
        <v>36400.688435466102</v>
      </c>
      <c r="Q16" s="128">
        <f>SUM(Q7:Q15)</f>
        <v>0</v>
      </c>
      <c r="R16" s="313">
        <v>14</v>
      </c>
      <c r="S16" s="315" t="str">
        <f>+'14'!A6:A6</f>
        <v>ASTER SUPERMARKET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ASTER SUPERMARKET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ASTER SUPERMARKET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35028.699999999997</v>
      </c>
      <c r="R19" s="299">
        <v>17</v>
      </c>
      <c r="S19" s="300" t="str">
        <f>+'17'!A6:A6</f>
        <v>ASTER SUPERMARKET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4203.4439999999995</v>
      </c>
      <c r="R20" s="299">
        <v>18</v>
      </c>
      <c r="S20" s="300" t="str">
        <f>+'18'!A6:A6</f>
        <v>ASTER SUPERMARKET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1226.0045000000002</v>
      </c>
      <c r="R21" s="299">
        <v>19</v>
      </c>
      <c r="S21" s="300" t="str">
        <f>+'19'!A6:A6</f>
        <v>ASTER SUPERMARKET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29599.251499999998</v>
      </c>
      <c r="R22" s="299">
        <v>20</v>
      </c>
      <c r="S22" s="300" t="str">
        <f>+'20'!A6:A6</f>
        <v>ASTER SUPERMARKET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6620.3389830508459</v>
      </c>
      <c r="R23" s="299">
        <v>21</v>
      </c>
      <c r="S23" s="300" t="str">
        <f>+'21'!A6:A6</f>
        <v>ASTER SUPERMARKET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36219.590483050844</v>
      </c>
      <c r="R24" s="299">
        <v>22</v>
      </c>
      <c r="S24" s="300" t="str">
        <f>+'22'!A6:A6</f>
        <v>ASTER SUPERMARKET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181.09795241525424</v>
      </c>
      <c r="R25" s="299">
        <v>23</v>
      </c>
      <c r="S25" s="300" t="str">
        <f>+'23'!A6:A6</f>
        <v>ASTER SUPERMARKET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36400.688435466102</v>
      </c>
      <c r="R26" s="299">
        <v>24</v>
      </c>
      <c r="S26" s="300" t="str">
        <f>+'24'!A6:A6</f>
        <v>ASTER SUPERMARKET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ASTER SUPERMARKET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ASTER SUPERMARKET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ASTER SUPERMARKET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ASTER SUPERMARKET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ASTER SUPERMARKET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ASTER SUPERMARKET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36400.688435466102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Summary!H3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7.2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118">
        <f>M16+N16+O16</f>
        <v>4361.3837656779651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119">
        <f t="shared" ref="P17:P24" si="5">M17+N17+O17</f>
        <v>4361.3837656779651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119">
        <f t="shared" si="5"/>
        <v>6542.0756485169486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119">
        <f t="shared" si="5"/>
        <v>6038.8129301694917</v>
      </c>
      <c r="Q20" s="319"/>
      <c r="R20">
        <f>P20/21</f>
        <v>287.56252048426148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119">
        <f t="shared" si="5"/>
        <v>9058.2193952542384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35028.699999999997</v>
      </c>
      <c r="J25" s="274">
        <f>SUM(J16:J24)</f>
        <v>4203.4439999999995</v>
      </c>
      <c r="K25" s="275">
        <f t="shared" si="10"/>
        <v>1226.0045000000002</v>
      </c>
      <c r="L25" s="276">
        <f t="shared" si="10"/>
        <v>0</v>
      </c>
      <c r="M25" s="232">
        <f t="shared" si="10"/>
        <v>29599.251500000002</v>
      </c>
      <c r="N25" s="233">
        <f>SUM(N16:N24)</f>
        <v>6620.3389830508459</v>
      </c>
      <c r="O25" s="101">
        <f>SUM(O16:O24)</f>
        <v>181.09795241525424</v>
      </c>
      <c r="P25" s="234">
        <f>SUM(P16:P24)</f>
        <v>36400.688435466102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35028.699999999997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4203.4439999999995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1226.0045000000002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29599.251499999998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6620.3389830508459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36219.590483050844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181.09795241525421</v>
      </c>
    </row>
    <row r="35" spans="2:16" ht="15.75" customHeight="1" thickBot="1" x14ac:dyDescent="0.4">
      <c r="N35" s="375" t="s">
        <v>88</v>
      </c>
      <c r="O35" s="376"/>
      <c r="P35" s="297">
        <f>+P33+P34</f>
        <v>36400.688435466102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'1'!N4:P5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46295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46297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46296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2026-10-01T04:25:34Z</dcterms:modified>
</cp:coreProperties>
</file>