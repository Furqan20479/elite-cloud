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FA0AFE7-1E0B-4889-8F11-8C2034599AB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F22" i="47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4" i="50"/>
  <c r="N4" i="46"/>
  <c r="N5" i="46" s="1"/>
  <c r="N4" i="70"/>
  <c r="N5" i="70" s="1"/>
  <c r="N4" i="61"/>
  <c r="N5" i="61" s="1"/>
  <c r="N4" i="57"/>
  <c r="N5" i="57" s="1"/>
  <c r="N4" i="53"/>
  <c r="N5" i="53" s="1"/>
  <c r="N4" i="45"/>
  <c r="N5" i="45" s="1"/>
  <c r="N4" i="68"/>
  <c r="N5" i="68" s="1"/>
  <c r="N4" i="55"/>
  <c r="N5" i="55" s="1"/>
  <c r="N4" i="69"/>
  <c r="N5" i="69" s="1"/>
  <c r="N4" i="65"/>
  <c r="N5" i="65" s="1"/>
  <c r="N4" i="60"/>
  <c r="N5" i="60" s="1"/>
  <c r="N4" i="52"/>
  <c r="N5" i="52" s="1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M20" i="48" s="1"/>
  <c r="O20" i="48" s="1"/>
  <c r="P20" i="48" s="1"/>
  <c r="R20" i="48" s="1"/>
  <c r="J20" i="48"/>
  <c r="K20" i="53"/>
  <c r="L20" i="53"/>
  <c r="M20" i="53" s="1"/>
  <c r="O20" i="53" s="1"/>
  <c r="P20" i="53" s="1"/>
  <c r="R20" i="53" s="1"/>
  <c r="J20" i="53"/>
  <c r="K20" i="43"/>
  <c r="L20" i="43"/>
  <c r="J20" i="43"/>
  <c r="M20" i="43" s="1"/>
  <c r="O20" i="43" s="1"/>
  <c r="P20" i="43" s="1"/>
  <c r="R20" i="43" s="1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J7" i="62" l="1"/>
  <c r="M21" i="44"/>
  <c r="O21" i="44" s="1"/>
  <c r="P21" i="44" s="1"/>
  <c r="K12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<sst xmlns="http://schemas.openxmlformats.org/spreadsheetml/2006/main" count="3948" uniqueCount="525">
  <si>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</si>
  <si>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</si>
  <si>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</si>
  <si>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</si>
  <si>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</si>
  <si>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</si>
  <si>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</si>
  <si>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</si>
  <si>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</si>
  <si>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</si>
  <si>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</si>
  <si>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</si>
  <si>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</si>
  <si>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</si>
  <si>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</si>
  <si>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</si>
  <si>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</si>
  <si>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</si>
  <si>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</si>
  <si>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</si>
  <si>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</si>
  <si>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</si>
  <si>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</si>
  <si>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</si>
  <si>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</si>
  <si>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</si>
  <si>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</si>
  <si>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</si>
  <si>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</si>
  <si>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</si>
  <si>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</si>
  <si>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</si>
  <si>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</si>
  <si>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</si>
  <si>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</si>
  <si>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</si>
  <si>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</si>
  <si>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</si>
  <si>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</si>
  <si>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</si>
  <si>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</si>
  <si>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</si>
  <si>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</si>
  <si>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</si>
  <si>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</si>
  <si>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</si>
  <si>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</si>
  <si>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</si>
  <si>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</si>
  <si>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</si>
  <si>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</si>
  <si>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</si>
  <si>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</si>
  <si>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</si>
  <si>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</si>
  <si>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</si>
  <si>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</si>
  <si>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</si>
  <si>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</si>
  <si>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</si>
  <si>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</si>
  <si>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</si>
  <si>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</si>
  <si>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</si>
  <si>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</si>
  <si>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</si>
  <si>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</si>
  <si>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</si>
  <si>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</si>
  <si>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</si>
  <si>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</si>
  <si>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</si>
  <si>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</si>
  <si>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</si>
  <si>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</si>
  <si>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</si>
  <si>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</si>
  <si>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</si>
  <si>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</si>
  <si>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</si>
  <si>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</si>
  <si>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</si>
  <si>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</si>
  <si>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</si>
  <si>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</si>
  <si>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</si>
  <si>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</si>
  <si>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</si>
  <si>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</si>
  <si>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</si>
  <si>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</si>
  <si>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</si>
  <si>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</si>
  <si>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</si>
  <si>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</si>
  <si>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</si>
  <si>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</si>
  <si>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</si>
  <si>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</si>
  <si>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</si>
  <si>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</si>
  <si>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</si>
  <si>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</si>
  <si>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</si>
  <si>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</si>
  <si>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</si>
  <si>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</si>
  <si>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</si>
  <si>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</si>
  <si>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</si>
  <si>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</si>
  <si>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</si>
  <si>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</si>
  <si>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</si>
  <si>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</si>
  <si>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</si>
  <si>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</si>
  <si>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</si>
  <si>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</si>
  <si>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</si>
  <si>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</si>
  <si>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</si>
  <si>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</si>
  <si>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</si>
  <si>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</si>
  <si>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</si>
  <si>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</si>
  <si>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</si>
  <si>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</si>
  <si>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</si>
  <si>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</si>
  <si>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</si>
  <si>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</si>
  <si>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</si>
  <si>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</si>
  <si>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</si>
  <si>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</si>
  <si>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</si>
  <si>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</si>
  <si>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</si>
  <si>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</si>
  <si>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</si>
  <si>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</si>
  <si>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</si>
  <si>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</si>
  <si>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</si>
  <si>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</si>
  <si>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</si>
  <si>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</si>
  <si>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</si>
  <si>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</si>
  <si>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</si>
  <si>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</si>
  <si>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</si>
  <si>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</si>
  <si>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</si>
  <si>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</si>
  <si>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</si>
  <si>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</si>
  <si>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</si>
  <si>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</si>
  <si>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</si>
  <si>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</si>
  <si>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</si>
  <si>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</si>
  <si>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</si>
  <si>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</si>
  <si>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</si>
  <si>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</si>
  <si>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</si>
  <si>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</si>
  <si>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</si>
  <si>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</si>
  <si>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</si>
  <si>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</si>
  <si>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</si>
  <si>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</si>
  <si>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</si>
  <si>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</si>
  <si>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</si>
  <si>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</si>
  <si>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</si>
  <si>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</si>
  <si>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</si>
  <si>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</si>
  <si>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</si>
  <si>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</si>
  <si>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</si>
  <si>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</si>
  <si>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</si>
  <si>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</si>
  <si>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</si>
  <si>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</si>
  <si>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</si>
  <si>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</si>
  <si>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</si>
  <si>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</si>
  <si>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</si>
  <si>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</si>
  <si>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</si>
  <si>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</si>
  <si>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</si>
  <si>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</si>
  <si>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</si>
  <si>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</si>
  <si>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</si>
  <si>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</si>
  <si>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</si>
  <si>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</si>
  <si>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</si>
  <si>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</si>
  <si>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</si>
  <si>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</si>
  <si>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</si>
  <si>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</si>
  <si>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</si>
  <si>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</si>
  <si>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</si>
  <si>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</si>
  <si>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</si>
  <si>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</si>
  <si>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</si>
  <si>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</si>
  <si>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</si>
  <si>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</si>
  <si>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</si>
  <si>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</si>
  <si>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</si>
  <si>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</si>
  <si>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</si>
  <si>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</si>
  <si>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</si>
  <si>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</si>
  <si>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</si>
  <si>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</si>
  <si>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</si>
  <si>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</si>
  <si>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</si>
  <si>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</si>
  <si>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</si>
  <si>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</si>
  <si>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</si>
  <si>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</si>
  <si>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</si>
  <si>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</si>
  <si>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</si>
  <si>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</si>
  <si>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</si>
  <si>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</si>
  <si>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</si>
  <si>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</si>
  <si>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</si>
  <si>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</si>
  <si>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</si>
  <si>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</si>
  <si>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</si>
  <si>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</si>
  <si>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</si>
  <si>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</si>
  <si>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</si>
  <si>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</si>
  <si>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</si>
  <si>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</si>
  <si>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</si>
  <si>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</si>
  <si>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</si>
  <si>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</si>
  <si>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</si>
  <si>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</si>
  <si>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</si>
  <si>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</si>
  <si>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</si>
  <si>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</si>
  <si>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</si>
  <si>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</si>
  <si>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</si>
  <si>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</si>
  <si>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</si>
  <si>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</si>
  <si>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</si>
  <si>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</si>
  <si>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</si>
  <si>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</si>
  <si>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</si>
  <si>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</si>
  <si>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</si>
  <si>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</si>
  <si>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</si>
  <si>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</si>
  <si>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</si>
  <si>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</si>
  <si>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</si>
  <si>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</si>
  <si>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</si>
  <si>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</si>
  <si>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</si>
  <si>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</si>
  <si>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</si>
  <si>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</si>
  <si>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</si>
  <si>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</si>
  <si>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</si>
  <si>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</si>
  <si>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</si>
  <si>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</si>
  <si>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</si>
  <si>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</si>
  <si>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</si>
  <si>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</si>
  <si>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</si>
  <si>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</si>
  <si>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</si>
  <si>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</si>
  <si>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</si>
  <si>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</si>
  <si>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</si>
  <si>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</si>
  <si>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</si>
  <si>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</si>
  <si>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</si>
  <si>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</si>
  <si>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</si>
  <si>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</si>
  <si>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</si>
  <si>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</si>
  <si>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</si>
  <si>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</si>
  <si>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</si>
  <si>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</si>
  <si>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</si>
  <si>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</si>
  <si>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</si>
  <si>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</si>
  <si>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</si>
  <si>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</si>
  <si>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</si>
  <si>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</si>
  <si>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</si>
  <si>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</si>
  <si>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</si>
  <si>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</si>
  <si>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</si>
  <si>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</si>
  <si>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</si>
  <si>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</si>
  <si>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</si>
  <si>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</si>
  <si>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</si>
  <si>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</si>
  <si>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</si>
  <si>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</si>
  <si>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</si>
  <si>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</si>
  <si>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</si>
  <si>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</si>
  <si>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</si>
  <si>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</si>
  <si>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</si>
  <si>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</si>
  <si>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</si>
  <si>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</si>
  <si>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</si>
  <si>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</si>
  <si>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</si>
  <si>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</si>
  <si>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</si>
  <si>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</si>
  <si>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</si>
  <si>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</si>
  <si>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</si>
  <si>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</si>
  <si>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</si>
  <si>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</si>
  <si>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</si>
  <si>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</si>
  <si>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</si>
  <si>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</si>
  <si>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</si>
  <si>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</si>
  <si>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</si>
  <si>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</si>
  <si>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</si>
  <si>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</si>
  <si>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</si>
  <si>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</si>
  <si>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</si>
  <si>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</si>
  <si>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</si>
  <si>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</si>
  <si>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</si>
  <si>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</si>
  <si>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</si>
  <si>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</si>
  <si>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</si>
  <si>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</si>
  <si>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</si>
  <si>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</si>
  <si>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</si>
  <si>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</si>
  <si>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</si>
  <si>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</si>
  <si>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</si>
  <si>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</si>
  <si>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</si>
  <si>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</si>
  <si>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</si>
  <si>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</si>
  <si>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</si>
  <si>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</si>
  <si>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</si>
  <si>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</si>
  <si>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</si>
  <si>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</si>
  <si>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</si>
  <si>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</si>
  <si>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</si>
  <si>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</si>
  <si>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</si>
  <si>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</si>
  <si>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</si>
  <si>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</si>
  <si>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</si>
  <si>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</si>
  <si>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</si>
  <si>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</si>
  <si>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</si>
  <si>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</si>
  <si>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</si>
  <si>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</si>
  <si>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</si>
  <si>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</si>
  <si>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</si>
  <si>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</si>
  <si>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</si>
  <si>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</si>
  <si>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</si>
  <si>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</si>
  <si>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</si>
  <si>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</si>
  <si>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</si>
  <si>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</si>
  <si>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</si>
  <si>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</si>
  <si>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</si>
  <si>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</si>
  <si>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</si>
  <si>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</si>
  <si>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</si>
  <si>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</si>
  <si>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</si>
  <si>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</si>
  <si>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</si>
  <si>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</si>
  <si>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</si>
  <si>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</si>
  <si>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</si>
  <si>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</si>
  <si>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</si>
  <si>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</si>
  <si>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</si>
  <si>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</si>
  <si>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</si>
  <si>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</si>
  <si>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</si>
  <si>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</si>
  <si>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</si>
  <si>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</si>
  <si>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</si>
  <si>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</si>
  <si>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</si>
  <si>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</si>
  <si>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</si>
  <si>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</si>
  <si>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</si>
  <si>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</si>
  <si>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</si>
  <si>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</si>
  <si>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</si>
  <si>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</si>
  <si>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</si>
  <si>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</si>
  <si>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</si>
  <si>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</si>
  <si>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</si>
  <si>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</si>
  <si>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</si>
  <si>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</si>
  <si>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</si>
  <si>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</si>
  <si>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</si>
  <si>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</si>
  <si>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</si>
  <si>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</si>
  <si>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</si>
  <si>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</si>
  <si>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</si>
  <si>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</si>
  <si>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</si>
  <si>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</si>
  <si>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</si>
  <si>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</si>
  <si>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</si>
  <si>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</si>
  <si>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</si>
  <si>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</si>
  <si>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</si>
  <si>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</si>
  <si>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</si>
  <si>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</si>
  <si>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</si>
  <si>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</si>
  <si>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</si>
  <si>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</si>
  <si>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Zeshan</t>
  </si>
  <si>
    <t>Address: DHA</t>
  </si>
  <si>
    <t>Daim Store</t>
  </si>
  <si>
    <t xml:space="preserve">Bread N Butter </t>
  </si>
  <si>
    <t xml:space="preserve">Mirch Mahal </t>
  </si>
  <si>
    <t>786 Store</t>
  </si>
  <si>
    <t>Qadri Store</t>
  </si>
  <si>
    <t>Ashrif Store</t>
  </si>
  <si>
    <t>Hadi Store</t>
  </si>
  <si>
    <t>Khawaja Store</t>
  </si>
  <si>
    <t>Address: Rifal Range Road</t>
  </si>
  <si>
    <t>Usman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</si>
</sst>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513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f ca="1">TODAY()</f>
        <v>46293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>Daim Store</v>
      </c>
      <c r="T3" s="301">
        <f>+'1'!P35</f>
        <v>1568.1057925423729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Bread N Butter </v>
      </c>
      <c r="T4" s="301">
        <f>+'2'!P35</f>
        <v>12544.846340338983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Mirch Mahal </v>
      </c>
      <c r="T5" s="301">
        <f>+'3'!P35</f>
        <v>470.43173776271186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786 Store</v>
      </c>
      <c r="T6" s="301">
        <f>+'4'!P35</f>
        <v>313.62115850847459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35</v>
      </c>
      <c r="I7" s="235">
        <f>(G7*D7)*F7+H7*F7</f>
        <v>1836.1875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146.89499999999998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64.266562500000006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1625.0259375000001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347.03389830508456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9.8602991790254233</v>
      </c>
      <c r="P7" s="310">
        <f>M7+N7+O7</f>
        <v>1981.9201349841101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Qadri Store</v>
      </c>
      <c r="T7" s="301">
        <f>+'5'!P35</f>
        <v>784.05289627118646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30</v>
      </c>
      <c r="I8" s="236">
        <f t="shared" ref="I8:I14" si="0">(G8*D8)*F8+H8*F8</f>
        <v>1573.875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125.91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55.085625000000007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1392.879375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297.45762711864393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8.45168501059322</v>
      </c>
      <c r="P8" s="311">
        <f t="shared" ref="P8:P15" si="2">M8+N8+O8</f>
        <v>1698.7886871292369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Ashrif Store</v>
      </c>
      <c r="T8" s="301">
        <f>+'6'!P35</f>
        <v>784.05289627118646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55</v>
      </c>
      <c r="I9" s="236">
        <f t="shared" si="0"/>
        <v>2885.4375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230.83499999999998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100.99031250000002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2553.6121874999999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545.33898305084722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15.494755852754237</v>
      </c>
      <c r="P9" s="311">
        <f t="shared" si="2"/>
        <v>3114.4459264036013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Hadi Store</v>
      </c>
      <c r="T9" s="301">
        <f>+'7'!P35</f>
        <v>5401.2631679237284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90</v>
      </c>
      <c r="I10" s="236">
        <f t="shared" si="0"/>
        <v>6537.6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523.00800000000004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228.816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5785.7759999999998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1235.5932203389834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35.10684610169492</v>
      </c>
      <c r="P10" s="311">
        <f t="shared" si="2"/>
        <v>7056.4760664406786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Khawaja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75</v>
      </c>
      <c r="I11" s="236">
        <f t="shared" si="0"/>
        <v>5448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435.84000000000009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190.68000000000004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4821.4799999999996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1029.6610169491526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29.255705084745763</v>
      </c>
      <c r="P11" s="311">
        <f t="shared" si="2"/>
        <v>5880.3967220338973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>Usman Store</v>
      </c>
      <c r="T11" s="301">
        <f>+'9'!P35</f>
        <v>7666.3147507627118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135</v>
      </c>
      <c r="I12" s="236">
        <f t="shared" si="0"/>
        <v>9806.4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784.51200000000006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343.22400000000005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8678.6639999999989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1853.3898305084749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52.660269152542377</v>
      </c>
      <c r="P12" s="311">
        <f t="shared" si="2"/>
        <v>10584.714099661016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10.5</v>
      </c>
      <c r="H16" s="113">
        <f t="shared" ref="H16:M16" si="3">SUM(H7:H15)</f>
        <v>420</v>
      </c>
      <c r="I16" s="114">
        <f t="shared" si="3"/>
        <v>28087.5</v>
      </c>
      <c r="J16" s="274">
        <f>SUM(J7:J15)</f>
        <v>2247</v>
      </c>
      <c r="K16" s="275">
        <f t="shared" si="3"/>
        <v>983.06250000000011</v>
      </c>
      <c r="L16" s="276">
        <f t="shared" si="3"/>
        <v>0</v>
      </c>
      <c r="M16" s="232">
        <f t="shared" si="3"/>
        <v>24857.4375</v>
      </c>
      <c r="N16" s="233">
        <f>SUM(N7:N15)</f>
        <v>5308.4745762711864</v>
      </c>
      <c r="O16" s="101">
        <f>SUM(O7:O15)</f>
        <v>150.82956038135595</v>
      </c>
      <c r="P16" s="113">
        <f>SUM(P7:P15)</f>
        <v>30316.741636652543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28087.5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2247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983.06250000000011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24857.4375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5308.4745762711864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30165.912076271186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150.82956038135595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30316.741636652543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30316.741636652543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2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Summary!H3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7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7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7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20</v>
      </c>
      <c r="I25" s="114">
        <f t="shared" ref="I25:M25" si="10">SUM(I16:I24)</f>
        <v>1452.8</v>
      </c>
      <c r="J25" s="274">
        <f>SUM(J16:J24)</f>
        <v>116.224</v>
      </c>
      <c r="K25" s="275">
        <f t="shared" si="10"/>
        <v>50.848000000000006</v>
      </c>
      <c r="L25" s="276">
        <f t="shared" si="10"/>
        <v>0</v>
      </c>
      <c r="M25" s="232">
        <f t="shared" si="10"/>
        <v>1285.7280000000001</v>
      </c>
      <c r="N25" s="233">
        <f>SUM(N16:N24)</f>
        <v>274.57627118644069</v>
      </c>
      <c r="O25" s="101">
        <f>SUM(O16:O24)</f>
        <v>7.8015213559322039</v>
      </c>
      <c r="P25" s="234">
        <f>SUM(P16:P24)</f>
        <v>1568.1057925423729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1452.8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116.224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50.848000000000006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1285.7280000000001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1560.3042711864407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7.8015213559322039</v>
      </c>
    </row>
    <row r="35" spans="2:16" ht="15.75" customHeight="1" thickBot="1" x14ac:dyDescent="0.4">
      <c r="N35" s="374" t="s">
        <v>88</v>
      </c>
      <c r="O35" s="375"/>
      <c r="P35" s="297">
        <f>+P33+P34</f>
        <v>1568.1057925423729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119">
        <f t="shared" si="5"/>
        <v>3136.2115850847458</v>
      </c>
      <c r="Q20" s="319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0"/>
        <v>5811.2</v>
      </c>
      <c r="J21" s="272">
        <f t="shared" si="1"/>
        <v>464.89600000000002</v>
      </c>
      <c r="K21" s="128">
        <f t="shared" si="1"/>
        <v>203.39200000000002</v>
      </c>
      <c r="L21" s="119">
        <f t="shared" si="1"/>
        <v>0</v>
      </c>
      <c r="M21" s="230">
        <f t="shared" si="2"/>
        <v>5142.9120000000003</v>
      </c>
      <c r="N21" s="277">
        <f t="shared" si="3"/>
        <v>1098.3050847457628</v>
      </c>
      <c r="O21" s="239">
        <f t="shared" si="4"/>
        <v>31.206085423728815</v>
      </c>
      <c r="P21" s="119">
        <f t="shared" si="5"/>
        <v>6272.4231701694916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160</v>
      </c>
      <c r="I25" s="114">
        <f t="shared" si="7"/>
        <v>11622.4</v>
      </c>
      <c r="J25" s="274">
        <f>SUM(J16:J24)</f>
        <v>929.79200000000003</v>
      </c>
      <c r="K25" s="275">
        <f t="shared" si="7"/>
        <v>406.78400000000005</v>
      </c>
      <c r="L25" s="276">
        <f t="shared" si="7"/>
        <v>0</v>
      </c>
      <c r="M25" s="232">
        <f t="shared" si="7"/>
        <v>10285.824000000001</v>
      </c>
      <c r="N25" s="233">
        <f>SUM(N16:N24)</f>
        <v>2196.6101694915255</v>
      </c>
      <c r="O25" s="101">
        <f>SUM(O16:O24)</f>
        <v>62.412170847457631</v>
      </c>
      <c r="P25" s="234">
        <f>SUM(P16:P24)</f>
        <v>12544.846340338983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11622.4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929.79200000000003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406.78400000000005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10285.824000000001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2196.6101694915255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12482.434169491526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62.412170847457631</v>
      </c>
    </row>
    <row r="35" spans="2:16" ht="15.75" customHeight="1" thickBot="1" x14ac:dyDescent="0.4">
      <c r="N35" s="374" t="s">
        <v>88</v>
      </c>
      <c r="O35" s="375"/>
      <c r="P35" s="297">
        <f>+P33+P34</f>
        <v>12544.846340338983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3</v>
      </c>
      <c r="I19" s="236">
        <f t="shared" si="0"/>
        <v>217.92000000000002</v>
      </c>
      <c r="J19" s="272">
        <f t="shared" si="1"/>
        <v>17.433600000000002</v>
      </c>
      <c r="K19" s="128">
        <f t="shared" si="1"/>
        <v>7.6272000000000011</v>
      </c>
      <c r="L19" s="119">
        <f t="shared" si="1"/>
        <v>0</v>
      </c>
      <c r="M19" s="230">
        <f t="shared" si="2"/>
        <v>192.85920000000002</v>
      </c>
      <c r="N19" s="277">
        <f t="shared" si="3"/>
        <v>41.186440677966104</v>
      </c>
      <c r="O19" s="239">
        <f t="shared" si="4"/>
        <v>1.1702282033898306</v>
      </c>
      <c r="P19" s="119">
        <f t="shared" si="5"/>
        <v>235.21586888135593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3</v>
      </c>
      <c r="I21" s="236">
        <f t="shared" si="0"/>
        <v>217.92000000000002</v>
      </c>
      <c r="J21" s="272">
        <f t="shared" si="1"/>
        <v>17.433600000000002</v>
      </c>
      <c r="K21" s="128">
        <f t="shared" si="1"/>
        <v>7.6272000000000011</v>
      </c>
      <c r="L21" s="119">
        <f t="shared" si="1"/>
        <v>0</v>
      </c>
      <c r="M21" s="230">
        <f t="shared" si="2"/>
        <v>192.85920000000002</v>
      </c>
      <c r="N21" s="277">
        <f t="shared" si="3"/>
        <v>41.186440677966104</v>
      </c>
      <c r="O21" s="239">
        <f t="shared" si="4"/>
        <v>1.1702282033898306</v>
      </c>
      <c r="P21" s="119">
        <f t="shared" si="5"/>
        <v>235.21586888135593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234">
        <f>SUM(P16:P24)</f>
        <v>470.43173776271186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435.84000000000003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34.867200000000004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15.254400000000002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385.71840000000003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468.09128135593221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74" t="s">
        <v>88</v>
      </c>
      <c r="O35" s="375"/>
      <c r="P35" s="297">
        <f>+P33+P34</f>
        <v>470.43173776271186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3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</v>
      </c>
      <c r="I19" s="236">
        <f t="shared" si="0"/>
        <v>145.28</v>
      </c>
      <c r="J19" s="272">
        <f t="shared" si="1"/>
        <v>11.622400000000001</v>
      </c>
      <c r="K19" s="128">
        <f t="shared" si="1"/>
        <v>5.0848000000000004</v>
      </c>
      <c r="L19" s="119">
        <f t="shared" si="1"/>
        <v>0</v>
      </c>
      <c r="M19" s="230">
        <f t="shared" si="2"/>
        <v>128.5728</v>
      </c>
      <c r="N19" s="277">
        <f t="shared" si="3"/>
        <v>27.457627118644069</v>
      </c>
      <c r="O19" s="239">
        <f t="shared" si="4"/>
        <v>0.78015213559322039</v>
      </c>
      <c r="P19" s="119">
        <f t="shared" si="5"/>
        <v>156.8105792542373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</v>
      </c>
      <c r="I21" s="236">
        <f t="shared" si="0"/>
        <v>145.28</v>
      </c>
      <c r="J21" s="272">
        <f t="shared" si="1"/>
        <v>11.622400000000001</v>
      </c>
      <c r="K21" s="128">
        <f t="shared" si="1"/>
        <v>5.0848000000000004</v>
      </c>
      <c r="L21" s="119">
        <f t="shared" si="1"/>
        <v>0</v>
      </c>
      <c r="M21" s="230">
        <f t="shared" si="2"/>
        <v>128.5728</v>
      </c>
      <c r="N21" s="277">
        <f t="shared" si="3"/>
        <v>27.457627118644069</v>
      </c>
      <c r="O21" s="239">
        <f t="shared" si="4"/>
        <v>0.78015213559322039</v>
      </c>
      <c r="P21" s="119">
        <f t="shared" si="5"/>
        <v>156.8105792542373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</v>
      </c>
      <c r="I25" s="114">
        <f t="shared" si="7"/>
        <v>290.56</v>
      </c>
      <c r="J25" s="274">
        <f>SUM(J16:J24)</f>
        <v>23.244800000000001</v>
      </c>
      <c r="K25" s="275">
        <f t="shared" si="7"/>
        <v>10.169600000000001</v>
      </c>
      <c r="L25" s="276">
        <f t="shared" si="7"/>
        <v>0</v>
      </c>
      <c r="M25" s="232">
        <f t="shared" si="7"/>
        <v>257.1456</v>
      </c>
      <c r="N25" s="233">
        <f>SUM(N16:N24)</f>
        <v>54.915254237288138</v>
      </c>
      <c r="O25" s="101">
        <f>SUM(O16:O24)</f>
        <v>1.5603042711864408</v>
      </c>
      <c r="P25" s="234">
        <f>SUM(P16:P24)</f>
        <v>313.62115850847459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290.56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23.244800000000001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10.169600000000001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257.1456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54.915254237288138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312.06085423728814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1.5603042711864408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313.62115850847459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'1'!N4:P5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5</v>
      </c>
      <c r="I21" s="236">
        <f t="shared" si="0"/>
        <v>363.2</v>
      </c>
      <c r="J21" s="272">
        <f t="shared" si="1"/>
        <v>29.056000000000001</v>
      </c>
      <c r="K21" s="128">
        <f t="shared" si="1"/>
        <v>12.712000000000002</v>
      </c>
      <c r="L21" s="119">
        <f t="shared" si="1"/>
        <v>0</v>
      </c>
      <c r="M21" s="230">
        <f t="shared" si="2"/>
        <v>321.43200000000002</v>
      </c>
      <c r="N21" s="277">
        <f t="shared" si="3"/>
        <v>68.644067796610173</v>
      </c>
      <c r="O21" s="239">
        <f t="shared" si="4"/>
        <v>1.950380338983051</v>
      </c>
      <c r="P21" s="119">
        <f t="shared" si="5"/>
        <v>392.02644813559323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523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sqref="A1:P3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</v>
      </c>
      <c r="I16" s="235">
        <f>(G16*D16)*F16+H16*F16</f>
        <v>1049.25</v>
      </c>
      <c r="J16" s="271">
        <f>$I16*S16</f>
        <v>83.94</v>
      </c>
      <c r="K16" s="127">
        <f>$I16*T16</f>
        <v>36.723750000000003</v>
      </c>
      <c r="L16" s="118">
        <f>$I16*U16</f>
        <v>0</v>
      </c>
      <c r="M16" s="229">
        <f>I16-SUM(J16:L16)</f>
        <v>928.58625000000006</v>
      </c>
      <c r="N16" s="248">
        <f>+(G16*D16+H16)*V16</f>
        <v>198.30508474576263</v>
      </c>
      <c r="O16" s="238">
        <f>(N16+M16)*$O$15</f>
        <v>5.6344566737288133</v>
      </c>
      <c r="P16" s="118">
        <f>M16+N16+O16</f>
        <v>1132.5257914194915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</v>
      </c>
      <c r="I17" s="236">
        <f t="shared" ref="I17:I23" si="0">(G17*D17)*F17+H17*F17</f>
        <v>1049.25</v>
      </c>
      <c r="J17" s="272">
        <f t="shared" ref="J17:L24" si="1">$I17*S17</f>
        <v>83.94</v>
      </c>
      <c r="K17" s="128">
        <f>$I17*T17</f>
        <v>36.723750000000003</v>
      </c>
      <c r="L17" s="119">
        <f>$I17*U17</f>
        <v>0</v>
      </c>
      <c r="M17" s="230">
        <f t="shared" ref="M17:M24" si="2">I17-SUM(J17:L17)</f>
        <v>928.58625000000006</v>
      </c>
      <c r="N17" s="277">
        <f t="shared" ref="N17:N24" si="3">+(G17*D17+H17)*V17</f>
        <v>198.30508474576263</v>
      </c>
      <c r="O17" s="239">
        <f t="shared" ref="O17:O24" si="4">(N17+M17)*$O$15</f>
        <v>5.6344566737288133</v>
      </c>
      <c r="P17" s="119">
        <f t="shared" ref="P17:P24" si="5">M17+N17+O17</f>
        <v>1132.5257914194915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167.88</v>
      </c>
      <c r="K18" s="128">
        <f t="shared" si="1"/>
        <v>73.447500000000005</v>
      </c>
      <c r="L18" s="119">
        <f t="shared" si="1"/>
        <v>0</v>
      </c>
      <c r="M18" s="230">
        <f t="shared" si="2"/>
        <v>1857.1725000000001</v>
      </c>
      <c r="N18" s="277">
        <f t="shared" si="3"/>
        <v>396.61016949152526</v>
      </c>
      <c r="O18" s="239">
        <f t="shared" si="4"/>
        <v>11.268913347457627</v>
      </c>
      <c r="P18" s="119">
        <f t="shared" si="5"/>
        <v>2265.051582838983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120</v>
      </c>
      <c r="I25" s="114">
        <f t="shared" si="7"/>
        <v>7102.6</v>
      </c>
      <c r="J25" s="274">
        <f>SUM(J16:J24)</f>
        <v>568.20799999999997</v>
      </c>
      <c r="K25" s="275">
        <f t="shared" si="7"/>
        <v>248.59100000000001</v>
      </c>
      <c r="L25" s="276">
        <f t="shared" si="7"/>
        <v>0</v>
      </c>
      <c r="M25" s="232">
        <f t="shared" si="7"/>
        <v>6285.8010000000013</v>
      </c>
      <c r="N25" s="233">
        <f>SUM(N16:N24)</f>
        <v>1342.3728813559319</v>
      </c>
      <c r="O25" s="101">
        <f>SUM(O16:O24)</f>
        <v>38.140869406779657</v>
      </c>
      <c r="P25" s="234">
        <f>SUM(P16:P24)</f>
        <v>7666.3147507627118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7102.6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568.20799999999997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248.59100000000001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6285.8010000000004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1342.3728813559319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7628.1738813559323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38.140869406779665</v>
      </c>
    </row>
    <row r="35" spans="2:16" ht="15.75" customHeight="1" thickBot="1" x14ac:dyDescent="0.4">
      <c r="N35" s="374" t="s">
        <v>88</v>
      </c>
      <c r="O35" s="375"/>
      <c r="P35" s="297">
        <f>+P33+P34</f>
        <v>7666.3147507627118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 ca="1">'1'!N4:P4</f>
        <v>46293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 ca="1">N4-1</f>
        <v>46292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514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46294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46293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2026-09-28T12:26:11Z</dcterms:modified>
</cp:coreProperties>
</file>