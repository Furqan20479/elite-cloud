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69CC98D-4584-4395-83BB-DB2E395EB96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0"/>
  <c r="N4" i="59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0" i="69" l="1"/>
  <c r="N5" i="11"/>
  <c r="N4" i="57"/>
  <c r="N4" i="53"/>
  <c r="N4" i="67"/>
  <c r="N5" i="67" s="1"/>
  <c r="N4" i="58"/>
  <c r="N4" i="61"/>
  <c r="N5" i="61" s="1"/>
  <c r="N4" i="68"/>
  <c r="N5" i="68" s="1"/>
  <c r="N4" i="51"/>
  <c r="N5" i="51" s="1"/>
  <c r="N4" i="55"/>
  <c r="N5" i="55" s="1"/>
  <c r="N4" i="63"/>
  <c r="N4" i="45"/>
  <c r="N5" i="45" s="1"/>
  <c r="N24" i="68"/>
  <c r="N4" i="46"/>
  <c r="N5" i="46" s="1"/>
  <c r="N4" i="69"/>
  <c r="N5" i="69" s="1"/>
  <c r="N4" i="64"/>
  <c r="N5" i="64" s="1"/>
  <c r="N4" i="70"/>
  <c r="N5" i="70" s="1"/>
  <c r="N4" i="65"/>
  <c r="N5" i="65" s="1"/>
  <c r="N24" i="66"/>
  <c r="N4" i="60"/>
  <c r="N5" i="60" s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C11" i="47" s="1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16" i="50" l="1"/>
  <c r="N24" i="46"/>
  <c r="N16" i="59"/>
  <c r="N24" i="48"/>
  <c r="N16" i="56"/>
  <c r="N16" i="63"/>
  <c r="N16" i="44"/>
  <c r="N16" i="48"/>
  <c r="N16" i="53"/>
  <c r="N24" i="50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J12" i="41"/>
  <c r="L12" i="41" s="1"/>
  <c r="K12" i="41" s="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34" i="41"/>
  <c r="P34" i="41" s="1"/>
  <c r="O49" i="41"/>
  <c r="P49" i="41" s="1"/>
  <c r="O50" i="41"/>
  <c r="P50" i="41" s="1"/>
  <c r="O5" i="41"/>
  <c r="P5" i="41" s="1"/>
  <c r="O35" i="41"/>
  <c r="P35" i="41" s="1"/>
  <c r="O47" i="41"/>
  <c r="P47" i="41" s="1"/>
  <c r="O39" i="41"/>
  <c r="P39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F22" i="47" s="1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 s="1"/>
  <c r="O22" i="56" s="1"/>
  <c r="P22" i="56" s="1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M24" i="72" s="1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58" l="1"/>
  <c r="M24" i="56"/>
  <c r="O24" i="56" s="1"/>
  <c r="P24" i="56" s="1"/>
  <c r="M21" i="52"/>
  <c r="O21" i="52" s="1"/>
  <c r="P21" i="52" s="1"/>
  <c r="M24" i="71"/>
  <c r="O24" i="71" s="1"/>
  <c r="P24" i="71" s="1"/>
  <c r="M23" i="65"/>
  <c r="M23" i="49"/>
  <c r="O23" i="49" s="1"/>
  <c r="P23" i="49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0" i="53"/>
  <c r="O20" i="53" s="1"/>
  <c r="P20" i="53" s="1"/>
  <c r="R20" i="53" s="1"/>
  <c r="M24" i="63"/>
  <c r="O24" i="63" s="1"/>
  <c r="P24" i="63" s="1"/>
  <c r="J15" i="62"/>
  <c r="L22" i="16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4"/>
  <c r="O21" i="44" s="1"/>
  <c r="P21" i="44" s="1"/>
  <c r="M18" i="67"/>
  <c r="O18" i="67" s="1"/>
  <c r="P18" i="67" s="1"/>
  <c r="M21" i="53"/>
  <c r="O21" i="53" s="1"/>
  <c r="P21" i="53" s="1"/>
  <c r="M23" i="61"/>
  <c r="O23" i="61" s="1"/>
  <c r="P23" i="61" s="1"/>
  <c r="M23" i="52"/>
  <c r="O23" i="52" s="1"/>
  <c r="P23" i="52" s="1"/>
  <c r="M24" i="48"/>
  <c r="O24" i="48" s="1"/>
  <c r="P24" i="48" s="1"/>
  <c r="M16" i="52"/>
  <c r="M22" i="70"/>
  <c r="M22" i="51"/>
  <c r="M18" i="48"/>
  <c r="O18" i="48" s="1"/>
  <c r="P18" i="48" s="1"/>
  <c r="M23" i="48"/>
  <c r="M21" i="47"/>
  <c r="O21" i="47" s="1"/>
  <c r="P21" i="47" s="1"/>
  <c r="J7" i="62"/>
  <c r="M17" i="44"/>
  <c r="O17" i="44" s="1"/>
  <c r="P17" i="44" s="1"/>
  <c r="M24" i="45"/>
  <c r="O24" i="45" s="1"/>
  <c r="P24" i="45" s="1"/>
  <c r="M16" i="64"/>
  <c r="M17" i="60"/>
  <c r="O17" i="60" s="1"/>
  <c r="P17" i="60" s="1"/>
  <c r="M16" i="48"/>
  <c r="O16" i="48" s="1"/>
  <c r="P16" i="48" s="1"/>
  <c r="M20" i="71"/>
  <c r="O20" i="71" s="1"/>
  <c r="P20" i="71" s="1"/>
  <c r="R20" i="71" s="1"/>
  <c r="M24" i="53"/>
  <c r="O24" i="53" s="1"/>
  <c r="P24" i="53" s="1"/>
  <c r="M16" i="60"/>
  <c r="M16" i="58"/>
  <c r="O16" i="58" s="1"/>
  <c r="P16" i="58" s="1"/>
  <c r="M16" i="59"/>
  <c r="M21" i="51"/>
  <c r="M23" i="72"/>
  <c r="O23" i="72" s="1"/>
  <c r="P23" i="72" s="1"/>
  <c r="M23" i="59"/>
  <c r="O23" i="59" s="1"/>
  <c r="P23" i="59" s="1"/>
  <c r="M16" i="66"/>
  <c r="M16" i="44"/>
  <c r="M24" i="44"/>
  <c r="O24" i="44" s="1"/>
  <c r="P24" i="44" s="1"/>
  <c r="M16" i="72"/>
  <c r="O16" i="72" s="1"/>
  <c r="P16" i="72" s="1"/>
  <c r="M24" i="43"/>
  <c r="O24" i="43" s="1"/>
  <c r="P24" i="43" s="1"/>
  <c r="M23" i="69"/>
  <c r="M23" i="53"/>
  <c r="O23" i="53" s="1"/>
  <c r="P23" i="53" s="1"/>
  <c r="M17" i="72"/>
  <c r="O17" i="72" s="1"/>
  <c r="P17" i="72" s="1"/>
  <c r="M22" i="43"/>
  <c r="M23" i="56"/>
  <c r="M16" i="65"/>
  <c r="M22" i="63"/>
  <c r="O22" i="63" s="1"/>
  <c r="P22" i="63" s="1"/>
  <c r="M24" i="47"/>
  <c r="O24" i="47" s="1"/>
  <c r="P24" i="47" s="1"/>
  <c r="L21" i="16"/>
  <c r="M23" i="60"/>
  <c r="M23" i="58"/>
  <c r="O23" i="58" s="1"/>
  <c r="P23" i="58" s="1"/>
  <c r="M24" i="46"/>
  <c r="O24" i="46" s="1"/>
  <c r="P24" i="46" s="1"/>
  <c r="M23" i="64"/>
  <c r="M23" i="44"/>
  <c r="O23" i="44" s="1"/>
  <c r="P23" i="44" s="1"/>
  <c r="M20" i="70"/>
  <c r="O20" i="70" s="1"/>
  <c r="P20" i="70" s="1"/>
  <c r="R20" i="70" s="1"/>
  <c r="L20" i="16"/>
  <c r="M20" i="16" s="1"/>
  <c r="N20" i="16" s="1"/>
  <c r="O20" i="16" s="1"/>
  <c r="L23" i="16"/>
  <c r="M21" i="68"/>
  <c r="O21" i="68" s="1"/>
  <c r="P21" i="68" s="1"/>
  <c r="M20" i="50"/>
  <c r="O20" i="50" s="1"/>
  <c r="P20" i="50" s="1"/>
  <c r="R20" i="50" s="1"/>
  <c r="M20" i="46"/>
  <c r="O20" i="46" s="1"/>
  <c r="P20" i="46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3" i="69"/>
  <c r="P23" i="69" s="1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N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9" i="55"/>
  <c r="P19" i="55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31" i="16" l="1"/>
  <c r="O32" i="16" s="1"/>
  <c r="O33" i="16" s="1"/>
  <c r="O34" i="16" s="1"/>
  <c r="O35" i="16" s="1"/>
  <c r="P21" i="50"/>
  <c r="M12" i="62"/>
  <c r="O24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5" i="62" l="1"/>
  <c r="P15" i="62" s="1"/>
  <c r="O19" i="16"/>
  <c r="P16" i="53"/>
  <c r="P25" i="53" s="1"/>
  <c r="O25" i="55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<sst xmlns="http://schemas.openxmlformats.org/spreadsheetml/2006/main" count="3948" uniqueCount="523">
  <si>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</si>
  <si>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</si>
  <si>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</si>
  <si>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</si>
  <si>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</si>
  <si>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</si>
  <si>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</si>
  <si>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</si>
  <si>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</si>
  <si>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</si>
  <si>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</si>
  <si>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</si>
  <si>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</si>
  <si>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</si>
  <si>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</si>
  <si>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</si>
  <si>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</si>
  <si>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</si>
  <si>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</si>
  <si>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</si>
  <si>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</si>
  <si>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</si>
  <si>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</si>
  <si>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</si>
  <si>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</si>
  <si>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</si>
  <si>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</si>
  <si>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</si>
  <si>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</si>
  <si>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</si>
  <si>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</si>
  <si>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</si>
  <si>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</si>
  <si>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</si>
  <si>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</si>
  <si>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</si>
  <si>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</si>
  <si>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</si>
  <si>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</si>
  <si>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</si>
  <si>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</si>
  <si>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</si>
  <si>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</si>
  <si>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</si>
  <si>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</si>
  <si>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</si>
  <si>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</si>
  <si>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</si>
  <si>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</si>
  <si>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</si>
  <si>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</si>
  <si>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</si>
  <si>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</si>
  <si>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</si>
  <si>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</si>
  <si>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</si>
  <si>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</si>
  <si>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</si>
  <si>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</si>
  <si>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</si>
  <si>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</si>
  <si>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</si>
  <si>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</si>
  <si>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</si>
  <si>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</si>
  <si>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</si>
  <si>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</si>
  <si>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</si>
  <si>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</si>
  <si>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</si>
  <si>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</si>
  <si>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</si>
  <si>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</si>
  <si>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</si>
  <si>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</si>
  <si>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</si>
  <si>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</si>
  <si>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</si>
  <si>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</si>
  <si>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</si>
  <si>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</si>
  <si>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</si>
  <si>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</si>
  <si>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</si>
  <si>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</si>
  <si>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</si>
  <si>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</si>
  <si>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</si>
  <si>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</si>
  <si>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</si>
  <si>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</si>
  <si>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</si>
  <si>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</si>
  <si>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</si>
  <si>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</si>
  <si>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</si>
  <si>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</si>
  <si>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</si>
  <si>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</si>
  <si>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</si>
  <si>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</si>
  <si>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</si>
  <si>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</si>
  <si>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</si>
  <si>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</si>
  <si>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</si>
  <si>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</si>
  <si>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</si>
  <si>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</si>
  <si>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</si>
  <si>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</si>
  <si>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</si>
  <si>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</si>
  <si>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</si>
  <si>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</si>
  <si>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</si>
  <si>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</si>
  <si>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</si>
  <si>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</si>
  <si>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</si>
  <si>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</si>
  <si>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</si>
  <si>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</si>
  <si>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</si>
  <si>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</si>
  <si>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</si>
  <si>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</si>
  <si>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</si>
  <si>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</si>
  <si>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</si>
  <si>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</si>
  <si>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</si>
  <si>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</si>
  <si>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</si>
  <si>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</si>
  <si>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</si>
  <si>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</si>
  <si>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</si>
  <si>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</si>
  <si>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</si>
  <si>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</si>
  <si>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</si>
  <si>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</si>
  <si>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</si>
  <si>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</si>
  <si>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</si>
  <si>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</si>
  <si>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</si>
  <si>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</si>
  <si>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</si>
  <si>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</si>
  <si>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</si>
  <si>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</si>
  <si>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</si>
  <si>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</si>
  <si>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</si>
  <si>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</si>
  <si>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</si>
  <si>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</si>
  <si>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</si>
  <si>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</si>
  <si>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</si>
  <si>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</si>
  <si>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</si>
  <si>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</si>
  <si>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</si>
  <si>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</si>
  <si>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</si>
  <si>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</si>
  <si>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</si>
  <si>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</si>
  <si>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</si>
  <si>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</si>
  <si>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</si>
  <si>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</si>
  <si>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</si>
  <si>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</si>
  <si>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</si>
  <si>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</si>
  <si>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</si>
  <si>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</si>
  <si>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</si>
  <si>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</si>
  <si>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</si>
  <si>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</si>
  <si>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</si>
  <si>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</si>
  <si>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</si>
  <si>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</si>
  <si>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</si>
  <si>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</si>
  <si>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</si>
  <si>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</si>
  <si>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</si>
  <si>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</si>
  <si>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</si>
  <si>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</si>
  <si>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</si>
  <si>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</si>
  <si>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</si>
  <si>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</si>
  <si>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</si>
  <si>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</si>
  <si>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</si>
  <si>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</si>
  <si>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</si>
  <si>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</si>
  <si>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</si>
  <si>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</si>
  <si>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</si>
  <si>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</si>
  <si>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</si>
  <si>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</si>
  <si>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</si>
  <si>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</si>
  <si>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</si>
  <si>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</si>
  <si>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</si>
  <si>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</si>
  <si>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</si>
  <si>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</si>
  <si>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</si>
  <si>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</si>
  <si>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</si>
  <si>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</si>
  <si>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</si>
  <si>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</si>
  <si>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</si>
  <si>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</si>
  <si>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</si>
  <si>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</si>
  <si>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</si>
  <si>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</si>
  <si>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</si>
  <si>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</si>
  <si>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</si>
  <si>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</si>
  <si>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</si>
  <si>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</si>
  <si>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</si>
  <si>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</si>
  <si>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</si>
  <si>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</si>
  <si>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</si>
  <si>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</si>
  <si>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</si>
  <si>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</si>
  <si>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</si>
  <si>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</si>
  <si>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</si>
  <si>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</si>
  <si>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</si>
  <si>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</si>
  <si>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</si>
  <si>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</si>
  <si>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</si>
  <si>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</si>
  <si>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</si>
  <si>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</si>
  <si>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</si>
  <si>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</si>
  <si>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</si>
  <si>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</si>
  <si>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</si>
  <si>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</si>
  <si>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</si>
  <si>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</si>
  <si>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</si>
  <si>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</si>
  <si>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</si>
  <si>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</si>
  <si>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</si>
  <si>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</si>
  <si>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</si>
  <si>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</si>
  <si>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</si>
  <si>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</si>
  <si>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</si>
  <si>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</si>
  <si>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</si>
  <si>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</si>
  <si>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</si>
  <si>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</si>
  <si>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</si>
  <si>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</si>
  <si>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</si>
  <si>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</si>
  <si>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</si>
  <si>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</si>
  <si>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</si>
  <si>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</si>
  <si>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</si>
  <si>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</si>
  <si>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</si>
  <si>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</si>
  <si>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</si>
  <si>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</si>
  <si>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</si>
  <si>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</si>
  <si>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</si>
  <si>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</si>
  <si>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</si>
  <si>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</si>
  <si>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</si>
  <si>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</si>
  <si>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</si>
  <si>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</si>
  <si>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</si>
  <si>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</si>
  <si>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</si>
  <si>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</si>
  <si>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</si>
  <si>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</si>
  <si>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</si>
  <si>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</si>
  <si>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</si>
  <si>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</si>
  <si>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</si>
  <si>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</si>
  <si>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</si>
  <si>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</si>
  <si>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</si>
  <si>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</si>
  <si>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</si>
  <si>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</si>
  <si>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</si>
  <si>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</si>
  <si>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</si>
  <si>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</si>
  <si>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</si>
  <si>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</si>
  <si>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</si>
  <si>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</si>
  <si>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</si>
  <si>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</si>
  <si>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</si>
  <si>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</si>
  <si>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</si>
  <si>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</si>
  <si>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</si>
  <si>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</si>
  <si>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</si>
  <si>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</si>
  <si>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</si>
  <si>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</si>
  <si>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</si>
  <si>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</si>
  <si>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</si>
  <si>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</si>
  <si>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</si>
  <si>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</si>
  <si>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</si>
  <si>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</si>
  <si>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</si>
  <si>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</si>
  <si>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</si>
  <si>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</si>
  <si>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</si>
  <si>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</si>
  <si>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</si>
  <si>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</si>
  <si>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</si>
  <si>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</si>
  <si>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</si>
  <si>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</si>
  <si>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</si>
  <si>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</si>
  <si>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</si>
  <si>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</si>
  <si>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</si>
  <si>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</si>
  <si>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</si>
  <si>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</si>
  <si>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</si>
  <si>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</si>
  <si>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</si>
  <si>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</si>
  <si>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</si>
  <si>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</si>
  <si>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</si>
  <si>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</si>
  <si>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</si>
  <si>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</si>
  <si>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</si>
  <si>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</si>
  <si>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</si>
  <si>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</si>
  <si>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</si>
  <si>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</si>
  <si>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</si>
  <si>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</si>
  <si>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</si>
  <si>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</si>
  <si>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</si>
  <si>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</si>
  <si>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</si>
  <si>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</si>
  <si>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</si>
  <si>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</si>
  <si>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</si>
  <si>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</si>
  <si>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</si>
  <si>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</si>
  <si>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</si>
  <si>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</si>
  <si>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</si>
  <si>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</si>
  <si>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</si>
  <si>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</si>
  <si>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</si>
  <si>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</si>
  <si>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</si>
  <si>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</si>
  <si>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</si>
  <si>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</si>
  <si>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</si>
  <si>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</si>
  <si>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</si>
  <si>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</si>
  <si>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</si>
  <si>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</si>
  <si>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</si>
  <si>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</si>
  <si>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</si>
  <si>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</si>
  <si>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</si>
  <si>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</si>
  <si>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</si>
  <si>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</si>
  <si>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</si>
  <si>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</si>
  <si>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</si>
  <si>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</si>
  <si>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</si>
  <si>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</si>
  <si>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</si>
  <si>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</si>
  <si>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</si>
  <si>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</si>
  <si>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</si>
  <si>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</si>
  <si>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</si>
  <si>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</si>
  <si>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</si>
  <si>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</si>
  <si>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</si>
  <si>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</si>
  <si>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</si>
  <si>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</si>
  <si>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</si>
  <si>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</si>
  <si>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</si>
  <si>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</si>
  <si>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</si>
  <si>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</si>
  <si>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</si>
  <si>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</si>
  <si>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</si>
  <si>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</si>
  <si>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</si>
  <si>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</si>
  <si>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</si>
  <si>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</si>
  <si>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</si>
  <si>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</si>
  <si>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</si>
  <si>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</si>
  <si>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</si>
  <si>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</si>
  <si>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</si>
  <si>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</si>
  <si>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</si>
  <si>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</si>
  <si>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</si>
  <si>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</si>
  <si>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</si>
  <si>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</si>
  <si>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</si>
  <si>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</si>
  <si>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</si>
  <si>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</si>
  <si>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</si>
  <si>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</si>
  <si>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</si>
  <si>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</si>
  <si>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</si>
  <si>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</si>
  <si>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</si>
  <si>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</si>
  <si>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</si>
  <si>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</si>
  <si>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</si>
  <si>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</si>
  <si>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</si>
  <si>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</si>
  <si>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</si>
  <si>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</si>
  <si>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</si>
  <si>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</si>
  <si>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</si>
  <si>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</si>
  <si>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</si>
  <si>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</si>
  <si>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</si>
  <si>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</si>
  <si>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</si>
  <si>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</si>
  <si>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</si>
  <si>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</si>
  <si>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</si>
  <si>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</si>
  <si>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</si>
  <si>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</si>
  <si>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</si>
  <si>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Aqib</t>
  </si>
  <si>
    <t>Address: Gullberg</t>
  </si>
  <si>
    <t>Wahid Pharmacy</t>
  </si>
  <si>
    <t>Yousaf Store</t>
  </si>
  <si>
    <t xml:space="preserve">Fatima Mini Mart </t>
  </si>
  <si>
    <t>Umer Store</t>
  </si>
  <si>
    <t xml:space="preserve">Kinza Bakers </t>
  </si>
  <si>
    <t xml:space="preserve">Manchi Smart </t>
  </si>
  <si>
    <t>Al Noor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</si>
</sst>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I41" sqref="I4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Wahid Pharmacy</v>
      </c>
      <c r="T3" s="301">
        <f>+'1'!P35</f>
        <v>1132.5257914194915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Yousaf Store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Fatima Mini Mart </v>
      </c>
      <c r="T5" s="301">
        <f>+'3'!P35</f>
        <v>1132.5257914194915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Umer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28</v>
      </c>
      <c r="I7" s="235">
        <f>(G7*D7)*F7+H7*F7</f>
        <v>1468.95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117.51600000000001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51.413250000000005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1300.0207500000001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277.62711864406765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7.8882393432203388</v>
      </c>
      <c r="P7" s="310">
        <f>M7+N7+O7</f>
        <v>1585.5361079872882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3">
        <v>5</v>
      </c>
      <c r="S7" s="300" t="str">
        <f>+'5'!A6:A6</f>
        <v xml:space="preserve">Kinza Bakers 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</v>
      </c>
      <c r="I8" s="236">
        <f t="shared" ref="I8:I14" si="0">(G8*D8)*F8+H8*F8</f>
        <v>1259.0999999999999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100.72800000000001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44.0685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1114.3035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237.96610169491515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6.7613480084745756</v>
      </c>
      <c r="P8" s="311">
        <f t="shared" ref="P8:P15" si="2">M8+N8+O8</f>
        <v>1359.0309497033898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 xml:space="preserve">Manchi Smart </v>
      </c>
      <c r="T8" s="301">
        <f>+'6'!P35</f>
        <v>810.18947518855907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34</v>
      </c>
      <c r="I9" s="236">
        <f t="shared" si="0"/>
        <v>1783.7249999999999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142.69800000000001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62.430375000000012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1578.5966249999999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337.11864406779648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9.5785763453389841</v>
      </c>
      <c r="P9" s="311">
        <f t="shared" si="2"/>
        <v>1925.2938454131352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10</v>
      </c>
      <c r="R9" s="313">
        <v>7</v>
      </c>
      <c r="S9" s="300" t="str">
        <f>+'7'!A6:A6</f>
        <v>Al Noor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23</v>
      </c>
      <c r="I10" s="236">
        <f t="shared" si="0"/>
        <v>1670.72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133.6576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58.475200000000008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1478.5871999999999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315.76271186440681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8.9717495593220349</v>
      </c>
      <c r="P10" s="311">
        <f t="shared" si="2"/>
        <v>1803.3216614237288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</v>
      </c>
      <c r="I11" s="236">
        <f t="shared" si="0"/>
        <v>871.68000000000006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69.734400000000008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30.508800000000004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771.43680000000006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164.74576271186442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4.6809128135593223</v>
      </c>
      <c r="P11" s="311">
        <f t="shared" si="2"/>
        <v>940.86347552542372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17</v>
      </c>
      <c r="I12" s="236">
        <f t="shared" si="0"/>
        <v>1234.8800000000001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98.790399999999991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43.220800000000004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1092.8688000000002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233.3898305084746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6.6312931525423728</v>
      </c>
      <c r="P12" s="311">
        <f t="shared" si="2"/>
        <v>1332.8899236610173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3.45</v>
      </c>
      <c r="H16" s="113">
        <f t="shared" ref="H16:M16" si="3">SUM(H7:H15)</f>
        <v>138</v>
      </c>
      <c r="I16" s="114">
        <f t="shared" si="3"/>
        <v>8289.0550000000003</v>
      </c>
      <c r="J16" s="274">
        <f>SUM(J7:J15)</f>
        <v>663.12440000000004</v>
      </c>
      <c r="K16" s="275">
        <f t="shared" si="3"/>
        <v>290.11692500000004</v>
      </c>
      <c r="L16" s="276">
        <f t="shared" si="3"/>
        <v>0</v>
      </c>
      <c r="M16" s="232">
        <f t="shared" si="3"/>
        <v>7335.8136750000003</v>
      </c>
      <c r="N16" s="233">
        <f>SUM(N7:N15)</f>
        <v>1566.6101694915251</v>
      </c>
      <c r="O16" s="101">
        <f>SUM(O7:O15)</f>
        <v>44.512119222457628</v>
      </c>
      <c r="P16" s="113">
        <f>SUM(P7:P15)</f>
        <v>8946.9359637139823</v>
      </c>
      <c r="Q16" s="128">
        <f>SUM(Q7:Q15)</f>
        <v>30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8289.0550000000003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663.12440000000004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290.11692500000004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7335.8136750000003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1566.6101694915251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8902.4238444915245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44.512119222457628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8946.9359637139823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8946.9359637139823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1049.25</v>
      </c>
      <c r="J25" s="274">
        <f>SUM(J16:J24)</f>
        <v>83.94</v>
      </c>
      <c r="K25" s="275">
        <f t="shared" si="10"/>
        <v>36.723750000000003</v>
      </c>
      <c r="L25" s="276">
        <f t="shared" si="10"/>
        <v>0</v>
      </c>
      <c r="M25" s="232">
        <f t="shared" si="10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7</v>
      </c>
      <c r="I17" s="236">
        <f t="shared" ref="I17:I23" si="0">(G17*D17)*F17+H17*F17</f>
        <v>367.23750000000001</v>
      </c>
      <c r="J17" s="272">
        <f t="shared" ref="J17:L24" si="1">$I17*S17</f>
        <v>29.379000000000001</v>
      </c>
      <c r="K17" s="128">
        <f>$I17*T17</f>
        <v>12.853312500000001</v>
      </c>
      <c r="L17" s="119">
        <f>$I17*U17</f>
        <v>0</v>
      </c>
      <c r="M17" s="230">
        <f t="shared" ref="M17:M24" si="2">I17-SUM(J17:L17)</f>
        <v>325.00518750000003</v>
      </c>
      <c r="N17" s="277">
        <f t="shared" ref="N17:N24" si="3">+(G17*D17+H17)*V17</f>
        <v>69.406779661016913</v>
      </c>
      <c r="O17" s="239">
        <f t="shared" ref="O17:O24" si="4">(N17+M17)*$O$15</f>
        <v>1.9720598358050847</v>
      </c>
      <c r="P17" s="119">
        <f t="shared" ref="P17:P24" si="5">M17+N17+O17</f>
        <v>396.38402699682206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7</v>
      </c>
      <c r="I18" s="236">
        <f t="shared" si="0"/>
        <v>367.23750000000001</v>
      </c>
      <c r="J18" s="272">
        <f t="shared" si="1"/>
        <v>29.379000000000001</v>
      </c>
      <c r="K18" s="128">
        <f t="shared" si="1"/>
        <v>12.853312500000001</v>
      </c>
      <c r="L18" s="119">
        <f t="shared" si="1"/>
        <v>0</v>
      </c>
      <c r="M18" s="230">
        <f t="shared" si="2"/>
        <v>325.00518750000003</v>
      </c>
      <c r="N18" s="277">
        <f t="shared" si="3"/>
        <v>69.406779661016913</v>
      </c>
      <c r="O18" s="239">
        <f t="shared" si="4"/>
        <v>1.9720598358050847</v>
      </c>
      <c r="P18" s="119">
        <f t="shared" si="5"/>
        <v>396.38402699682206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750.6149999999999</v>
      </c>
      <c r="J25" s="274">
        <f>SUM(J16:J24)</f>
        <v>60.049199999999999</v>
      </c>
      <c r="K25" s="275">
        <f t="shared" si="7"/>
        <v>26.271525000000004</v>
      </c>
      <c r="L25" s="276">
        <f t="shared" si="7"/>
        <v>0</v>
      </c>
      <c r="M25" s="232">
        <f t="shared" si="7"/>
        <v>664.29427500000008</v>
      </c>
      <c r="N25" s="233">
        <f>SUM(N16:N24)</f>
        <v>141.86440677966101</v>
      </c>
      <c r="O25" s="101">
        <f>SUM(O16:O24)</f>
        <v>4.0307934088983046</v>
      </c>
      <c r="P25" s="234">
        <f>SUM(P16:P24)</f>
        <v>810.18947518855919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750.6149999999999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60.049199999999999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26.271525000000004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664.29427499999986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141.86440677966101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806.15868177966081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4.0307934088983037</v>
      </c>
    </row>
    <row r="35" spans="2:16" ht="15.75" customHeight="1" thickBot="1" x14ac:dyDescent="0.4">
      <c r="N35" s="374" t="s">
        <v>88</v>
      </c>
      <c r="O35" s="375"/>
      <c r="P35" s="297">
        <f>+P33+P34</f>
        <v>810.18947518855907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30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Aqib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2026-09-30T11:15:32Z</dcterms:modified>
</cp:coreProperties>
</file>