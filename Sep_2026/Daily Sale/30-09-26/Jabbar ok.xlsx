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76E1750-8F42-46ED-AD0B-DFA28EEEA6C7}" xr6:coauthVersionLast="47" xr6:coauthVersionMax="47" xr10:uidLastSave="{00000000-0000-0000-0000-000000000000}"/>
  <bookViews>
    <workbookView xWindow="-110" yWindow="-110" windowWidth="19420" windowHeight="10420" tabRatio="948" firstSheet="3" activeTab="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11" l="1"/>
  <c r="N4" i="59"/>
  <c r="N5" i="59" s="1"/>
  <c r="N4" i="51"/>
  <c r="N5" i="51" s="1"/>
  <c r="N4" i="67"/>
  <c r="N5" i="67" s="1"/>
  <c r="N4" i="58"/>
  <c r="N5" i="58" s="1"/>
  <c r="N4" i="50"/>
  <c r="N4" i="46"/>
  <c r="N5" i="46" s="1"/>
  <c r="N4" i="61"/>
  <c r="N5" i="61" s="1"/>
  <c r="N4" i="57"/>
  <c r="N5" i="57" s="1"/>
  <c r="N4" i="53"/>
  <c r="N4" i="68"/>
  <c r="N5" i="68" s="1"/>
  <c r="N4" i="55"/>
  <c r="N5" i="55" s="1"/>
  <c r="N4" i="69"/>
  <c r="N5" i="69" s="1"/>
  <c r="N4" i="64"/>
  <c r="N5" i="64" s="1"/>
  <c r="N4" i="63"/>
  <c r="N5" i="63" s="1"/>
  <c r="N4" i="70"/>
  <c r="N5" i="70" s="1"/>
  <c r="N4" i="45"/>
  <c r="N5" i="45" s="1"/>
  <c r="N4" i="65"/>
  <c r="N5" i="65" s="1"/>
  <c r="N4" i="60"/>
  <c r="N5" i="60" s="1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K12" i="62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<sst xmlns="http://schemas.openxmlformats.org/spreadsheetml/2006/main" count="3948" uniqueCount="523">
  <si>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</si>
  <si>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</si>
  <si>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</si>
  <si>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</si>
  <si>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</si>
  <si>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</si>
  <si>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</si>
  <si>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</si>
  <si>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</si>
  <si>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</si>
  <si>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</si>
  <si>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</si>
  <si>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</si>
  <si>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</si>
  <si>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</si>
  <si>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</si>
  <si>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</si>
  <si>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</si>
  <si>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</si>
  <si>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</si>
  <si>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</si>
  <si>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</si>
  <si>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</si>
  <si>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</si>
  <si>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</si>
  <si>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</si>
  <si>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</si>
  <si>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</si>
  <si>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</si>
  <si>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</si>
  <si>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</si>
  <si>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</si>
  <si>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</si>
  <si>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</si>
  <si>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</si>
  <si>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</si>
  <si>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</si>
  <si>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</si>
  <si>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</si>
  <si>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</si>
  <si>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</si>
  <si>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</si>
  <si>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</si>
  <si>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</si>
  <si>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</si>
  <si>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</si>
  <si>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</si>
  <si>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</si>
  <si>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</si>
  <si>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</si>
  <si>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</si>
  <si>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</si>
  <si>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</si>
  <si>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</si>
  <si>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</si>
  <si>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</si>
  <si>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</si>
  <si>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</si>
  <si>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</si>
  <si>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</si>
  <si>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</si>
  <si>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</si>
  <si>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</si>
  <si>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</si>
  <si>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</si>
  <si>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</si>
  <si>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</si>
  <si>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</si>
  <si>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</si>
  <si>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</si>
  <si>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</si>
  <si>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</si>
  <si>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</si>
  <si>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</si>
  <si>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</si>
  <si>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</si>
  <si>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</si>
  <si>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</si>
  <si>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</si>
  <si>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</si>
  <si>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</si>
  <si>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</si>
  <si>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</si>
  <si>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</si>
  <si>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</si>
  <si>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</si>
  <si>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</si>
  <si>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</si>
  <si>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</si>
  <si>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</si>
  <si>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</si>
  <si>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</si>
  <si>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</si>
  <si>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</si>
  <si>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</si>
  <si>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</si>
  <si>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</si>
  <si>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</si>
  <si>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</si>
  <si>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</si>
  <si>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</si>
  <si>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</si>
  <si>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</si>
  <si>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</si>
  <si>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</si>
  <si>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</si>
  <si>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</si>
  <si>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</si>
  <si>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</si>
  <si>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</si>
  <si>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</si>
  <si>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</si>
  <si>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</si>
  <si>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</si>
  <si>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</si>
  <si>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</si>
  <si>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</si>
  <si>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</si>
  <si>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</si>
  <si>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</si>
  <si>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</si>
  <si>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</si>
  <si>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</si>
  <si>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</si>
  <si>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</si>
  <si>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</si>
  <si>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</si>
  <si>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</si>
  <si>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</si>
  <si>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</si>
  <si>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</si>
  <si>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</si>
  <si>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</si>
  <si>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</si>
  <si>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</si>
  <si>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</si>
  <si>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</si>
  <si>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</si>
  <si>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</si>
  <si>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</si>
  <si>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</si>
  <si>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</si>
  <si>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</si>
  <si>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</si>
  <si>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</si>
  <si>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</si>
  <si>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</si>
  <si>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</si>
  <si>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</si>
  <si>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</si>
  <si>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</si>
  <si>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</si>
  <si>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</si>
  <si>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</si>
  <si>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</si>
  <si>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</si>
  <si>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</si>
  <si>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</si>
  <si>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</si>
  <si>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</si>
  <si>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</si>
  <si>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</si>
  <si>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</si>
  <si>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</si>
  <si>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</si>
  <si>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</si>
  <si>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</si>
  <si>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</si>
  <si>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</si>
  <si>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</si>
  <si>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</si>
  <si>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</si>
  <si>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</si>
  <si>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</si>
  <si>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</si>
  <si>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</si>
  <si>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</si>
  <si>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</si>
  <si>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</si>
  <si>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</si>
  <si>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</si>
  <si>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</si>
  <si>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</si>
  <si>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</si>
  <si>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</si>
  <si>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</si>
  <si>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</si>
  <si>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</si>
  <si>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</si>
  <si>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</si>
  <si>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</si>
  <si>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</si>
  <si>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</si>
  <si>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</si>
  <si>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</si>
  <si>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</si>
  <si>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</si>
  <si>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</si>
  <si>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</si>
  <si>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</si>
  <si>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</si>
  <si>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</si>
  <si>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</si>
  <si>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</si>
  <si>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</si>
  <si>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</si>
  <si>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</si>
  <si>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</si>
  <si>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</si>
  <si>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</si>
  <si>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</si>
  <si>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</si>
  <si>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</si>
  <si>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</si>
  <si>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</si>
  <si>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</si>
  <si>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</si>
  <si>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</si>
  <si>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</si>
  <si>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</si>
  <si>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</si>
  <si>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</si>
  <si>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</si>
  <si>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</si>
  <si>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</si>
  <si>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</si>
  <si>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</si>
  <si>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</si>
  <si>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</si>
  <si>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</si>
  <si>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</si>
  <si>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</si>
  <si>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</si>
  <si>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</si>
  <si>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</si>
  <si>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</si>
  <si>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</si>
  <si>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</si>
  <si>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</si>
  <si>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</si>
  <si>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</si>
  <si>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</si>
  <si>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</si>
  <si>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</si>
  <si>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</si>
  <si>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</si>
  <si>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</si>
  <si>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</si>
  <si>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</si>
  <si>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</si>
  <si>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</si>
  <si>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</si>
  <si>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</si>
  <si>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</si>
  <si>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</si>
  <si>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</si>
  <si>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</si>
  <si>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</si>
  <si>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</si>
  <si>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</si>
  <si>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</si>
  <si>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</si>
  <si>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</si>
  <si>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</si>
  <si>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</si>
  <si>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</si>
  <si>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</si>
  <si>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</si>
  <si>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</si>
  <si>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</si>
  <si>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</si>
  <si>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</si>
  <si>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</si>
  <si>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</si>
  <si>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</si>
  <si>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</si>
  <si>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</si>
  <si>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</si>
  <si>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</si>
  <si>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</si>
  <si>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</si>
  <si>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</si>
  <si>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</si>
  <si>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</si>
  <si>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</si>
  <si>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</si>
  <si>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</si>
  <si>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</si>
  <si>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</si>
  <si>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</si>
  <si>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</si>
  <si>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</si>
  <si>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</si>
  <si>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</si>
  <si>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</si>
  <si>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</si>
  <si>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</si>
  <si>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</si>
  <si>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</si>
  <si>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</si>
  <si>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</si>
  <si>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</si>
  <si>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</si>
  <si>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</si>
  <si>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</si>
  <si>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</si>
  <si>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</si>
  <si>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</si>
  <si>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</si>
  <si>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</si>
  <si>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</si>
  <si>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</si>
  <si>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</si>
  <si>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</si>
  <si>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</si>
  <si>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</si>
  <si>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</si>
  <si>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</si>
  <si>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</si>
  <si>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</si>
  <si>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</si>
  <si>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</si>
  <si>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</si>
  <si>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</si>
  <si>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</si>
  <si>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</si>
  <si>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</si>
  <si>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</si>
  <si>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</si>
  <si>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</si>
  <si>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</si>
  <si>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</si>
  <si>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</si>
  <si>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</si>
  <si>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</si>
  <si>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</si>
  <si>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</si>
  <si>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</si>
  <si>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</si>
  <si>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</si>
  <si>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</si>
  <si>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</si>
  <si>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</si>
  <si>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</si>
  <si>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</si>
  <si>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</si>
  <si>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</si>
  <si>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</si>
  <si>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</si>
  <si>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</si>
  <si>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</si>
  <si>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</si>
  <si>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</si>
  <si>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</si>
  <si>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</si>
  <si>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</si>
  <si>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</si>
  <si>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</si>
  <si>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</si>
  <si>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</si>
  <si>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</si>
  <si>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</si>
  <si>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</si>
  <si>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</si>
  <si>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</si>
  <si>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</si>
  <si>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</si>
  <si>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</si>
  <si>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</si>
  <si>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</si>
  <si>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</si>
  <si>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</si>
  <si>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</si>
  <si>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</si>
  <si>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</si>
  <si>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</si>
  <si>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</si>
  <si>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</si>
  <si>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</si>
  <si>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</si>
  <si>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</si>
  <si>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</si>
  <si>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</si>
  <si>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</si>
  <si>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</si>
  <si>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</si>
  <si>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</si>
  <si>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</si>
  <si>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</si>
  <si>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</si>
  <si>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</si>
  <si>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</si>
  <si>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</si>
  <si>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</si>
  <si>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</si>
  <si>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</si>
  <si>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</si>
  <si>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</si>
  <si>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</si>
  <si>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</si>
  <si>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</si>
  <si>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</si>
  <si>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</si>
  <si>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</si>
  <si>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</si>
  <si>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</si>
  <si>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</si>
  <si>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</si>
  <si>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</si>
  <si>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</si>
  <si>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</si>
  <si>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</si>
  <si>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</si>
  <si>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</si>
  <si>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</si>
  <si>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</si>
  <si>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</si>
  <si>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</si>
  <si>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</si>
  <si>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</si>
  <si>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</si>
  <si>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</si>
  <si>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</si>
  <si>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</si>
  <si>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</si>
  <si>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</si>
  <si>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</si>
  <si>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</si>
  <si>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</si>
  <si>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</si>
  <si>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</si>
  <si>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</si>
  <si>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</si>
  <si>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</si>
  <si>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</si>
  <si>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</si>
  <si>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</si>
  <si>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</si>
  <si>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</si>
  <si>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</si>
  <si>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</si>
  <si>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</si>
  <si>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</si>
  <si>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</si>
  <si>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</si>
  <si>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</si>
  <si>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</si>
  <si>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</si>
  <si>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</si>
  <si>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</si>
  <si>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</si>
  <si>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</si>
  <si>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</si>
  <si>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</si>
  <si>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</si>
  <si>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</si>
  <si>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</si>
  <si>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</si>
  <si>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</si>
  <si>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</si>
  <si>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</si>
  <si>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</si>
  <si>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</si>
  <si>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</si>
  <si>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</si>
  <si>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</si>
  <si>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</si>
  <si>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</si>
  <si>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</si>
  <si>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</si>
  <si>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</si>
  <si>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</si>
  <si>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</si>
  <si>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</si>
  <si>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</si>
  <si>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</si>
  <si>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</si>
  <si>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</si>
  <si>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</si>
  <si>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</si>
  <si>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</si>
  <si>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</si>
  <si>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</si>
  <si>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</si>
  <si>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</si>
  <si>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</si>
  <si>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</si>
  <si>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</si>
  <si>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</si>
  <si>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</si>
  <si>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</si>
  <si>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</si>
  <si>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</si>
  <si>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</si>
  <si>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</si>
  <si>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</si>
  <si>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</si>
  <si>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</si>
  <si>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</si>
  <si>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</si>
  <si>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</si>
  <si>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</si>
  <si>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</si>
  <si>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</si>
  <si>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</si>
  <si>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</si>
  <si>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</si>
  <si>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</si>
  <si>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</si>
  <si>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</si>
  <si>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</si>
  <si>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</si>
  <si>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</si>
  <si>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</si>
  <si>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</si>
  <si>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Qazi Store</t>
  </si>
  <si>
    <t>Address: Officer Colony</t>
  </si>
  <si>
    <t xml:space="preserve">Ghoseazam </t>
  </si>
  <si>
    <t>Address: Kheber Colony</t>
  </si>
  <si>
    <t xml:space="preserve">Rehman Bakery </t>
  </si>
  <si>
    <t>Address: Gosia Colony</t>
  </si>
  <si>
    <t>Ch Store</t>
  </si>
  <si>
    <t>Address: Ahata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</si>
</sst>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5" sqref="S5:S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f ca="1">TODAY()</f>
        <v>46297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Qazi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Ghoseazam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Rehman Bakery </v>
      </c>
      <c r="T5" s="301">
        <f>+'3'!P35</f>
        <v>6272.4231701694916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Ch Store</v>
      </c>
      <c r="T6" s="301">
        <f>+'4'!P35</f>
        <v>5401.2631679237284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15</v>
      </c>
      <c r="I7" s="235">
        <f>(G7*D7)*F7+H7*F7</f>
        <v>786.9375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62.954999999999998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27.542812500000004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696.43968749999999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148.72881355932196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4.22584250529661</v>
      </c>
      <c r="P7" s="310">
        <f>M7+N7+O7</f>
        <v>849.39434356461845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10</v>
      </c>
      <c r="I8" s="236">
        <f t="shared" ref="I8:I14" si="0">(G8*D8)*F8+H8*F8</f>
        <v>524.625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41.97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18.361875000000001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464.29312500000003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99.152542372881314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2.8172283368644067</v>
      </c>
      <c r="P8" s="311">
        <f t="shared" ref="P8:P15" si="2">M8+N8+O8</f>
        <v>566.26289570974575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15</v>
      </c>
      <c r="I9" s="236">
        <f t="shared" si="0"/>
        <v>786.9375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62.954999999999998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27.542812500000004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696.43968749999999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148.72881355932196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4.22584250529661</v>
      </c>
      <c r="P9" s="311">
        <f t="shared" si="2"/>
        <v>849.39434356461845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20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35</v>
      </c>
      <c r="I10" s="236">
        <f t="shared" si="0"/>
        <v>2542.4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203.392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88.984000000000009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2250.0240000000003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480.50847457627123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13.652662372881355</v>
      </c>
      <c r="P10" s="311">
        <f t="shared" si="2"/>
        <v>2744.1851369491528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15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30</v>
      </c>
      <c r="I11" s="236">
        <f t="shared" si="0"/>
        <v>2179.1999999999998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174.33600000000001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76.272000000000006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1928.5919999999999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411.86440677966107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11.702282033898307</v>
      </c>
      <c r="P11" s="311">
        <f t="shared" si="2"/>
        <v>2352.1586888135594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55</v>
      </c>
      <c r="I12" s="236">
        <f t="shared" si="0"/>
        <v>3995.2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319.61599999999999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139.83200000000002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3535.752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755.08474576271192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21.454183728813561</v>
      </c>
      <c r="P12" s="311">
        <f t="shared" si="2"/>
        <v>4312.2909294915253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15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4</v>
      </c>
      <c r="H16" s="113">
        <f t="shared" ref="H16:M16" si="3">SUM(H7:H15)</f>
        <v>160</v>
      </c>
      <c r="I16" s="114">
        <f t="shared" si="3"/>
        <v>10815.3</v>
      </c>
      <c r="J16" s="274">
        <f>SUM(J7:J15)</f>
        <v>865.22399999999993</v>
      </c>
      <c r="K16" s="275">
        <f t="shared" si="3"/>
        <v>378.53550000000007</v>
      </c>
      <c r="L16" s="276">
        <f t="shared" si="3"/>
        <v>0</v>
      </c>
      <c r="M16" s="232">
        <f t="shared" si="3"/>
        <v>9571.5404999999992</v>
      </c>
      <c r="N16" s="233">
        <f>SUM(N7:N15)</f>
        <v>2044.0677966101694</v>
      </c>
      <c r="O16" s="101">
        <f>SUM(O7:O15)</f>
        <v>58.078041483050853</v>
      </c>
      <c r="P16" s="113">
        <f>SUM(P7:P15)</f>
        <v>11673.686338093219</v>
      </c>
      <c r="Q16" s="128">
        <f>SUM(Q7:Q15)</f>
        <v>80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10815.3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865.22399999999993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378.53550000000007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9571.5404999999992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2044.0677966101694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11615.608296610168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58.078041483050853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11673.686338093219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11673.686338093219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2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90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Summary!H3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activeCell="H18" sqref="H16: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90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20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20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90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464.89600000000002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203.39200000000002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5142.9120000000003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6241.2170847457628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5" t="s">
        <v>88</v>
      </c>
      <c r="O35" s="346"/>
      <c r="P35" s="297">
        <f>+P33+P34</f>
        <v>6272.4231701694916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topLeftCell="A3" workbookViewId="0">
      <selection activeCell="H6" sqref="H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90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400.32800000000003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5374.3912118644066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'1'!N4:P5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46298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46297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2026-10-02T05:57:50Z</dcterms:modified>
</cp:coreProperties>
</file>