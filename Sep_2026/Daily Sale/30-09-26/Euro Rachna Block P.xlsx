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59161C-9550-4CE2-9711-F40C943AA4F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<sst xmlns="http://schemas.openxmlformats.org/spreadsheetml/2006/main" count="3885" uniqueCount="517">
  <si>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</si>
  <si>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</si>
  <si>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</si>
  <si>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</si>
  <si>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</si>
  <si>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</si>
  <si>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</si>
  <si>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</si>
  <si>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</si>
  <si>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</si>
  <si>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</si>
  <si>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</si>
  <si>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</si>
  <si>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</si>
  <si>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</si>
  <si>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</si>
  <si>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</si>
  <si>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</si>
  <si>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</si>
  <si>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</si>
  <si>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</si>
  <si>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</si>
  <si>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</si>
  <si>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</si>
  <si>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</si>
  <si>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</si>
  <si>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</si>
  <si>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</si>
  <si>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</si>
  <si>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</si>
  <si>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</si>
  <si>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</si>
  <si>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</si>
  <si>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</si>
  <si>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</si>
  <si>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</si>
  <si>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</si>
  <si>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</si>
  <si>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</si>
  <si>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</si>
  <si>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</si>
  <si>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</si>
  <si>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</si>
  <si>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</si>
  <si>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</si>
  <si>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</si>
  <si>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</si>
  <si>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</si>
  <si>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</si>
  <si>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</si>
  <si>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</si>
  <si>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</si>
  <si>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</si>
  <si>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</si>
  <si>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</si>
  <si>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</si>
  <si>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</si>
  <si>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</si>
  <si>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</si>
  <si>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</si>
  <si>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</si>
  <si>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</si>
  <si>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</si>
  <si>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</si>
  <si>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</si>
  <si>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</si>
  <si>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</si>
  <si>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</si>
  <si>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</si>
  <si>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</si>
  <si>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</si>
  <si>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</si>
  <si>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</si>
  <si>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</si>
  <si>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</si>
  <si>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</si>
  <si>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</si>
  <si>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</si>
  <si>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</si>
  <si>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</si>
  <si>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</si>
  <si>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</si>
  <si>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</si>
  <si>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</si>
  <si>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</si>
  <si>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</si>
  <si>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</si>
  <si>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</si>
  <si>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</si>
  <si>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</si>
  <si>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</si>
  <si>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</si>
  <si>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</si>
  <si>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</si>
  <si>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</si>
  <si>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</si>
  <si>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</si>
  <si>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</si>
  <si>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</si>
  <si>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</si>
  <si>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</si>
  <si>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</si>
  <si>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</si>
  <si>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</si>
  <si>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</si>
  <si>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</si>
  <si>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</si>
  <si>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</si>
  <si>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</si>
  <si>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</si>
  <si>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</si>
  <si>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</si>
  <si>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</si>
  <si>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</si>
  <si>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</si>
  <si>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</si>
  <si>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</si>
  <si>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</si>
  <si>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</si>
  <si>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</si>
  <si>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</si>
  <si>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</si>
  <si>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</si>
  <si>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</si>
  <si>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</si>
  <si>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</si>
  <si>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</si>
  <si>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</si>
  <si>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</si>
  <si>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</si>
  <si>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</si>
  <si>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</si>
  <si>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</si>
  <si>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</si>
  <si>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</si>
  <si>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</si>
  <si>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</si>
  <si>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</si>
  <si>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</si>
  <si>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</si>
  <si>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</si>
  <si>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</si>
  <si>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</si>
  <si>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</si>
  <si>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</si>
  <si>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</si>
  <si>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</si>
  <si>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</si>
  <si>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</si>
  <si>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</si>
  <si>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</si>
  <si>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</si>
  <si>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</si>
  <si>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</si>
  <si>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</si>
  <si>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</si>
  <si>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</si>
  <si>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</si>
  <si>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</si>
  <si>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</si>
  <si>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</si>
  <si>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</si>
  <si>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</si>
  <si>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</si>
  <si>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</si>
  <si>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</si>
  <si>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</si>
  <si>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</si>
  <si>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</si>
  <si>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</si>
  <si>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</si>
  <si>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</si>
  <si>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</si>
  <si>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</si>
  <si>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</si>
  <si>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</si>
  <si>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</si>
  <si>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</si>
  <si>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</si>
  <si>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</si>
  <si>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</si>
  <si>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</si>
  <si>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</si>
  <si>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</si>
  <si>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</si>
  <si>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</si>
  <si>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</si>
  <si>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</si>
  <si>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</si>
  <si>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</si>
  <si>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</si>
  <si>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</si>
  <si>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</si>
  <si>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</si>
  <si>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</si>
  <si>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</si>
  <si>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</si>
  <si>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</si>
  <si>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</si>
  <si>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</si>
  <si>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</si>
  <si>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</si>
  <si>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</si>
  <si>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</si>
  <si>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</si>
  <si>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</si>
  <si>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</si>
  <si>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</si>
  <si>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</si>
  <si>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</si>
  <si>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</si>
  <si>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</si>
  <si>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</si>
  <si>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</si>
  <si>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</si>
  <si>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</si>
  <si>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</si>
  <si>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</si>
  <si>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</si>
  <si>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</si>
  <si>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</si>
  <si>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</si>
  <si>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</si>
  <si>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</si>
  <si>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</si>
  <si>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</si>
  <si>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</si>
  <si>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</si>
  <si>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</si>
  <si>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</si>
  <si>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</si>
  <si>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</si>
  <si>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</si>
  <si>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</si>
  <si>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</si>
  <si>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</si>
  <si>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</si>
  <si>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</si>
  <si>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</si>
  <si>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</si>
  <si>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</si>
  <si>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</si>
  <si>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</si>
  <si>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</si>
  <si>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</si>
  <si>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</si>
  <si>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</si>
  <si>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</si>
  <si>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</si>
  <si>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</si>
  <si>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</si>
  <si>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</si>
  <si>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</si>
  <si>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</si>
  <si>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</si>
  <si>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</si>
  <si>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</si>
  <si>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</si>
  <si>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</si>
  <si>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</si>
  <si>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</si>
  <si>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</si>
  <si>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</si>
  <si>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</si>
  <si>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</si>
  <si>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</si>
  <si>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</si>
  <si>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</si>
  <si>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</si>
  <si>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</si>
  <si>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</si>
  <si>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</si>
  <si>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</si>
  <si>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</si>
  <si>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</si>
  <si>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</si>
  <si>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</si>
  <si>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</si>
  <si>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</si>
  <si>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</si>
  <si>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</si>
  <si>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</si>
  <si>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</si>
  <si>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</si>
  <si>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</si>
  <si>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</si>
  <si>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</si>
  <si>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</si>
  <si>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</si>
  <si>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</si>
  <si>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</si>
  <si>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</si>
  <si>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</si>
  <si>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</si>
  <si>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</si>
  <si>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</si>
  <si>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</si>
  <si>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</si>
  <si>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</si>
  <si>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</si>
  <si>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</si>
  <si>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</si>
  <si>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</si>
  <si>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</si>
  <si>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</si>
  <si>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</si>
  <si>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</si>
  <si>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</si>
  <si>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</si>
  <si>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</si>
  <si>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</si>
  <si>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</si>
  <si>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</si>
  <si>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</si>
  <si>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</si>
  <si>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</si>
  <si>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</si>
  <si>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</si>
  <si>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</si>
  <si>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</si>
  <si>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</si>
  <si>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</si>
  <si>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</si>
  <si>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</si>
  <si>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</si>
  <si>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</si>
  <si>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</si>
  <si>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</si>
  <si>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</si>
  <si>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</si>
  <si>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</si>
  <si>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</si>
  <si>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</si>
  <si>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</si>
  <si>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</si>
  <si>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</si>
  <si>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</si>
  <si>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</si>
  <si>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</si>
  <si>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</si>
  <si>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</si>
  <si>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</si>
  <si>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</si>
  <si>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</si>
  <si>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</si>
  <si>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</si>
  <si>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</si>
  <si>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</si>
  <si>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</si>
  <si>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</si>
  <si>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</si>
  <si>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</si>
  <si>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</si>
  <si>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</si>
  <si>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</si>
  <si>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</si>
  <si>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</si>
  <si>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</si>
  <si>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</si>
  <si>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</si>
  <si>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</si>
  <si>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</si>
  <si>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</si>
  <si>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</si>
  <si>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</si>
  <si>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</si>
  <si>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</si>
  <si>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</si>
  <si>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</si>
  <si>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</si>
  <si>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</si>
  <si>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</si>
  <si>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</si>
  <si>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</si>
  <si>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</si>
  <si>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</si>
  <si>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</si>
  <si>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</si>
  <si>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</si>
  <si>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</si>
  <si>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</si>
  <si>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</si>
  <si>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</si>
  <si>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</si>
  <si>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</si>
  <si>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</si>
  <si>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</si>
  <si>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</si>
  <si>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</si>
  <si>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</si>
  <si>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</si>
  <si>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</si>
  <si>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</si>
  <si>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</si>
  <si>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</si>
  <si>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</si>
  <si>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</si>
  <si>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</si>
  <si>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</si>
  <si>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</si>
  <si>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</si>
  <si>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</si>
  <si>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</si>
  <si>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</si>
  <si>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</si>
  <si>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</si>
  <si>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</si>
  <si>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</si>
  <si>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</si>
  <si>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</si>
  <si>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</si>
  <si>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</si>
  <si>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</si>
  <si>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</si>
  <si>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</si>
  <si>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</si>
  <si>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</si>
  <si>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</si>
  <si>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</si>
  <si>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</si>
  <si>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</si>
  <si>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</si>
  <si>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</si>
  <si>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</si>
  <si>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</si>
  <si>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</si>
  <si>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</si>
  <si>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</si>
  <si>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</si>
  <si>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</si>
  <si>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</si>
  <si>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</si>
  <si>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</si>
  <si>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</si>
  <si>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</si>
  <si>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</si>
  <si>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</si>
  <si>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</si>
  <si>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</si>
  <si>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</si>
  <si>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</si>
  <si>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</si>
  <si>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</si>
  <si>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</si>
  <si>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</si>
  <si>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</si>
  <si>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</si>
  <si>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</si>
  <si>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</si>
  <si>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</si>
  <si>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</si>
  <si>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</si>
  <si>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</si>
  <si>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</si>
  <si>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</si>
  <si>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</si>
  <si>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</si>
  <si>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</si>
  <si>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</si>
  <si>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</si>
  <si>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</si>
  <si>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</si>
  <si>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</si>
  <si>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</si>
  <si>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</si>
  <si>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</si>
  <si>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</si>
  <si>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</si>
  <si>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</si>
  <si>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</si>
  <si>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</si>
  <si>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</si>
  <si>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</si>
  <si>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</si>
  <si>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</si>
  <si>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</si>
  <si>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</si>
  <si>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</si>
  <si>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</si>
  <si>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</si>
  <si>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</si>
  <si>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</si>
  <si>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</si>
  <si>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</si>
  <si>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</si>
  <si>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</si>
  <si>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</si>
  <si>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</si>
  <si>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</si>
  <si>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</si>
  <si>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</si>
  <si>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</si>
  <si>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</si>
  <si>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</si>
  <si>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</si>
  <si>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</si>
  <si>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</si>
  <si>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</si>
  <si>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</si>
  <si>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</si>
  <si>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</si>
  <si>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</si>
  <si>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</si>
  <si>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</si>
  <si>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</si>
  <si>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</si>
  <si>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</si>
  <si>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</si>
  <si>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Invoice No # :0001</t>
  </si>
  <si>
    <t>QTY</t>
  </si>
  <si>
    <t xml:space="preserve">Return </t>
  </si>
  <si>
    <t>NTN:   E757686-3</t>
  </si>
  <si>
    <t xml:space="preserve">Address: Iqbal Town </t>
  </si>
  <si>
    <t>Euro Store (Rachna)</t>
  </si>
  <si>
    <t>Invoice No # :00451</t>
  </si>
  <si>
    <t>NTN: 7341430-4 STRN: 3277876131178</t>
  </si>
  <si>
    <t>Mian Nasir Mahmood (Euro Store)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</si>
</sst>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3632812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79" t="s">
        <v>498</v>
      </c>
      <c r="F2" s="380"/>
      <c r="G2" s="380"/>
      <c r="H2" s="377" t="s">
        <v>500</v>
      </c>
      <c r="I2" s="377"/>
      <c r="J2" s="378"/>
      <c r="R2" s="374" t="s">
        <v>497</v>
      </c>
      <c r="S2" s="375"/>
      <c r="T2" s="376"/>
    </row>
    <row r="3" spans="1:20 16377:16378" ht="21.75" customHeight="1" thickBot="1" x14ac:dyDescent="0.4">
      <c r="A3" s="388" t="s">
        <v>92</v>
      </c>
      <c r="B3" s="388"/>
      <c r="C3" s="388"/>
      <c r="E3" s="383" t="s">
        <v>499</v>
      </c>
      <c r="F3" s="384"/>
      <c r="G3" s="384"/>
      <c r="H3" s="381">
        <f>+'1'!N4:N4</f>
        <v>46293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Mian Nasir Mahmood (Euro Store)</v>
      </c>
      <c r="T3" s="301">
        <f>+'1'!P35</f>
        <v>29610.039050847459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(Rachna)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6" t="s">
        <v>55</v>
      </c>
      <c r="K5" s="347"/>
      <c r="L5" s="348"/>
      <c r="M5" s="340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 (Rachna)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 (Rachna)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Euro Store (Rachna)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Euro Store (Rachna)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Euro Store (Rachna)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Euro Store (Rachna)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119">
        <f t="shared" si="2"/>
        <v>8883.0117152542352</v>
      </c>
      <c r="R11" s="299">
        <v>9</v>
      </c>
      <c r="S11" s="300" t="str">
        <f>+'9'!A6:A6</f>
        <v>Euro Store (Rachna)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119">
        <f t="shared" si="2"/>
        <v>11844.015620338982</v>
      </c>
      <c r="R12" s="299">
        <v>10</v>
      </c>
      <c r="S12" s="300" t="str">
        <f>+'10'!A6:A6</f>
        <v>Euro Store (Rachna)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 (Rachna)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 (Rachna)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 (Rachna)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400</v>
      </c>
      <c r="I16" s="114">
        <f t="shared" si="3"/>
        <v>29056</v>
      </c>
      <c r="J16" s="274">
        <f>SUM(J7:J15)</f>
        <v>4067.84</v>
      </c>
      <c r="K16" s="275">
        <f t="shared" si="3"/>
        <v>1016.96</v>
      </c>
      <c r="L16" s="276">
        <f t="shared" si="3"/>
        <v>0</v>
      </c>
      <c r="M16" s="232">
        <f t="shared" si="3"/>
        <v>23971.199999999997</v>
      </c>
      <c r="N16" s="233">
        <f>SUM(N7:N15)</f>
        <v>5491.5254237288136</v>
      </c>
      <c r="O16" s="101">
        <f>SUM(O7:O15)</f>
        <v>147.31362711864404</v>
      </c>
      <c r="P16" s="234">
        <f>SUM(P7:P15)</f>
        <v>29610.039050847452</v>
      </c>
      <c r="R16" s="299">
        <v>14</v>
      </c>
      <c r="S16" s="300" t="str">
        <f>+'14'!A6:A6</f>
        <v>Euro Store (Rachna)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(Rachna)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(Rachna)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29056</v>
      </c>
      <c r="R19" s="299">
        <v>17</v>
      </c>
      <c r="S19" s="300" t="str">
        <f>+'17'!A6:A6</f>
        <v>Euro Store (Rachna)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4067.84</v>
      </c>
      <c r="R20" s="299">
        <v>18</v>
      </c>
      <c r="S20" s="300" t="str">
        <f>+'18'!A6:A6</f>
        <v>Euro Store (Rachna)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1016.96</v>
      </c>
      <c r="R21" s="299">
        <v>19</v>
      </c>
      <c r="S21" s="300" t="str">
        <f>+'19'!A6:A6</f>
        <v>Euro Store (Rachna)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23971.200000000001</v>
      </c>
      <c r="R22" s="299">
        <v>20</v>
      </c>
      <c r="S22" s="300" t="str">
        <f>+'20'!A6:A6</f>
        <v>Euro Store (Rachna)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>Euro Store (Rachna)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29462.725423728814</v>
      </c>
      <c r="R24" s="299">
        <v>22</v>
      </c>
      <c r="S24" s="300" t="str">
        <f>+'22'!A6:A6</f>
        <v>Euro Store (Rachna)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147.31362711864404</v>
      </c>
      <c r="R25" s="299">
        <v>23</v>
      </c>
      <c r="S25" s="300" t="str">
        <f>+'23'!A6:A6</f>
        <v>Euro Store (Rachna)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29610.039050847459</v>
      </c>
      <c r="R26" s="299">
        <v>24</v>
      </c>
      <c r="S26" s="300" t="str">
        <f>+'24'!A6:A6</f>
        <v>Euro Store (Rachna)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Euro Store (Rachna)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(Rachna)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(Rachna)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(Rachna)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(Rachna)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(Rachna)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29610.039050847459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514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46293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46292</v>
      </c>
      <c r="O5" s="388"/>
      <c r="P5" s="388"/>
      <c r="R5" s="85"/>
      <c r="S5" s="266"/>
    </row>
    <row r="6" spans="1:22 16383:16384" ht="17.25" customHeight="1" x14ac:dyDescent="0.4">
      <c r="A6" s="394" t="s">
        <v>516</v>
      </c>
      <c r="B6" s="394"/>
      <c r="C6" s="394"/>
      <c r="F6" s="85"/>
      <c r="G6" s="86"/>
      <c r="K6" s="389" t="s">
        <v>69</v>
      </c>
      <c r="L6" s="389"/>
      <c r="M6" s="389"/>
      <c r="N6" s="391" t="s">
        <v>502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515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115" t="s">
        <v>56</v>
      </c>
      <c r="Q14" s="156" t="s">
        <v>510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15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1">
        <f>M16+N16+O16</f>
        <v>0</v>
      </c>
      <c r="Q16" s="314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2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2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2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2">
        <f t="shared" si="5"/>
        <v>8883.0117152542352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2">
        <f t="shared" si="5"/>
        <v>11844.015620338982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2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2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3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29056</v>
      </c>
      <c r="J25" s="274">
        <f>SUM(J16:J24)</f>
        <v>4067.84</v>
      </c>
      <c r="K25" s="275">
        <f t="shared" si="10"/>
        <v>1016.96</v>
      </c>
      <c r="L25" s="276">
        <f t="shared" si="10"/>
        <v>0</v>
      </c>
      <c r="M25" s="232">
        <f t="shared" si="10"/>
        <v>23971.199999999997</v>
      </c>
      <c r="N25" s="233">
        <f>SUM(N16:N24)</f>
        <v>5491.5254237288136</v>
      </c>
      <c r="O25" s="101">
        <f>SUM(O16:O24)</f>
        <v>147.31362711864404</v>
      </c>
      <c r="P25" s="113">
        <f>SUM(P16:P24)</f>
        <v>29610.039050847452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29056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4067.84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1016.96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23971.200000000001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29462.725423728814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147.31362711864406</v>
      </c>
    </row>
    <row r="35" spans="2:16" ht="15.75" customHeight="1" thickBot="1" x14ac:dyDescent="0.4">
      <c r="N35" s="368" t="s">
        <v>88</v>
      </c>
      <c r="O35" s="369"/>
      <c r="P35" s="297">
        <f>+P33+P34</f>
        <v>29610.039050847459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504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8.7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8.7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508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501</v>
      </c>
      <c r="B4" s="388"/>
      <c r="C4" s="388"/>
      <c r="F4" s="85"/>
      <c r="G4" s="1"/>
      <c r="K4" s="389" t="s">
        <v>44</v>
      </c>
      <c r="L4" s="389"/>
      <c r="M4" s="389"/>
      <c r="N4" s="392">
        <v>46290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2">
        <f>N4-1</f>
        <v>46289</v>
      </c>
      <c r="O5" s="388"/>
      <c r="P5" s="388"/>
      <c r="R5" s="85"/>
      <c r="S5" s="266"/>
    </row>
    <row r="6" spans="1:22 16383:16384" ht="15" customHeight="1" x14ac:dyDescent="0.4">
      <c r="A6" s="394" t="s">
        <v>513</v>
      </c>
      <c r="B6" s="394"/>
      <c r="C6" s="394"/>
      <c r="F6" s="85"/>
      <c r="G6" s="86"/>
      <c r="K6" s="389" t="s">
        <v>69</v>
      </c>
      <c r="L6" s="389"/>
      <c r="M6" s="389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511</v>
      </c>
      <c r="B7" s="389"/>
      <c r="C7" s="389"/>
      <c r="F7" s="85"/>
      <c r="G7" s="86"/>
      <c r="K7" s="389" t="s">
        <v>66</v>
      </c>
      <c r="L7" s="389"/>
      <c r="M7" s="389"/>
      <c r="N7" s="391" t="s">
        <v>507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89" t="s">
        <v>67</v>
      </c>
      <c r="L8" s="389"/>
      <c r="M8" s="389"/>
      <c r="N8" s="391" t="s">
        <v>507</v>
      </c>
      <c r="O8" s="391"/>
      <c r="P8" s="391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89" t="s">
        <v>68</v>
      </c>
      <c r="L9" s="389"/>
      <c r="M9" s="389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310">
        <v>0.14000000000000001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2">
        <f ca="1">TODAY()+1</f>
        <v>46297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2">
        <f ca="1">M4-1</f>
        <v>46296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89" t="s">
        <v>67</v>
      </c>
      <c r="K8" s="389"/>
      <c r="L8" s="389"/>
      <c r="M8" s="391" t="s">
        <v>71</v>
      </c>
      <c r="N8" s="391"/>
      <c r="O8" s="391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89" t="s">
        <v>68</v>
      </c>
      <c r="K9" s="389"/>
      <c r="L9" s="389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399" t="s">
        <v>439</v>
      </c>
      <c r="E1" s="331" t="s">
        <v>58</v>
      </c>
      <c r="F1" s="331"/>
      <c r="G1" s="332" t="s">
        <v>440</v>
      </c>
      <c r="H1" s="332"/>
      <c r="I1" s="400" t="s">
        <v>441</v>
      </c>
      <c r="J1" s="400"/>
      <c r="K1" s="400" t="s">
        <v>442</v>
      </c>
      <c r="L1" s="400"/>
      <c r="M1" s="396" t="s">
        <v>484</v>
      </c>
      <c r="N1" s="397"/>
      <c r="O1" s="398"/>
    </row>
    <row r="2" spans="3:24" ht="29" x14ac:dyDescent="0.35">
      <c r="C2" s="331"/>
      <c r="D2" s="39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1" t="s">
        <v>476</v>
      </c>
      <c r="D6" s="401"/>
      <c r="E6" s="401"/>
      <c r="F6" s="401"/>
      <c r="G6" s="401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3" t="s">
        <v>58</v>
      </c>
      <c r="F7" s="403"/>
      <c r="G7" s="404" t="s">
        <v>440</v>
      </c>
      <c r="H7" s="332"/>
      <c r="I7" s="333" t="s">
        <v>441</v>
      </c>
      <c r="J7" s="334"/>
      <c r="K7" s="333" t="s">
        <v>442</v>
      </c>
      <c r="L7" s="334"/>
      <c r="M7" s="396" t="s">
        <v>484</v>
      </c>
      <c r="N7" s="397"/>
      <c r="O7" s="398"/>
      <c r="P7" s="256" t="s">
        <v>475</v>
      </c>
      <c r="Q7" s="242" t="s">
        <v>473</v>
      </c>
      <c r="R7" s="399" t="s">
        <v>475</v>
      </c>
      <c r="S7" s="399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9"/>
      <c r="S8" s="399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2" t="s">
        <v>477</v>
      </c>
      <c r="D12" s="402"/>
      <c r="E12" s="402"/>
      <c r="F12" s="402"/>
      <c r="G12" s="402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396" t="s">
        <v>484</v>
      </c>
      <c r="N13" s="397"/>
      <c r="O13" s="398"/>
      <c r="P13" s="256" t="s">
        <v>475</v>
      </c>
      <c r="Q13" s="242" t="s">
        <v>473</v>
      </c>
      <c r="R13" s="399" t="s">
        <v>475</v>
      </c>
      <c r="S13" s="399" t="s">
        <v>485</v>
      </c>
      <c r="T13" s="405" t="s">
        <v>486</v>
      </c>
      <c r="U13" s="405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9"/>
      <c r="S14" s="399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1" t="s">
        <v>478</v>
      </c>
      <c r="D19" s="401"/>
      <c r="E19" s="401"/>
      <c r="F19" s="401"/>
      <c r="G19" s="401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396" t="s">
        <v>484</v>
      </c>
      <c r="N20" s="397"/>
      <c r="O20" s="398"/>
      <c r="P20" s="256" t="s">
        <v>475</v>
      </c>
      <c r="Q20" s="242" t="s">
        <v>473</v>
      </c>
      <c r="R20" s="399" t="s">
        <v>475</v>
      </c>
      <c r="S20" s="399" t="s">
        <v>485</v>
      </c>
      <c r="T20" s="405" t="s">
        <v>486</v>
      </c>
      <c r="U20" s="405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9"/>
      <c r="S21" s="399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1" t="s">
        <v>479</v>
      </c>
      <c r="D26" s="401"/>
      <c r="E26" s="401"/>
      <c r="F26" s="401"/>
      <c r="G26" s="401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396" t="s">
        <v>484</v>
      </c>
      <c r="N27" s="397"/>
      <c r="O27" s="398"/>
      <c r="P27" s="256" t="s">
        <v>475</v>
      </c>
      <c r="Q27" s="242" t="s">
        <v>473</v>
      </c>
      <c r="R27" s="399" t="s">
        <v>475</v>
      </c>
      <c r="S27" s="399" t="s">
        <v>485</v>
      </c>
      <c r="T27" s="405" t="s">
        <v>486</v>
      </c>
      <c r="U27" s="405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9"/>
      <c r="S28" s="399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399" t="s">
        <v>439</v>
      </c>
      <c r="D1" s="331" t="s">
        <v>58</v>
      </c>
      <c r="E1" s="331"/>
      <c r="F1" s="332" t="s">
        <v>440</v>
      </c>
      <c r="G1" s="332"/>
      <c r="H1" s="400" t="s">
        <v>441</v>
      </c>
      <c r="I1" s="400"/>
      <c r="J1" s="400" t="s">
        <v>442</v>
      </c>
      <c r="K1" s="400"/>
      <c r="L1" s="396" t="s">
        <v>484</v>
      </c>
      <c r="M1" s="397"/>
      <c r="N1" s="398"/>
    </row>
    <row r="2" spans="2:17" ht="29" x14ac:dyDescent="0.35">
      <c r="B2" s="331"/>
      <c r="C2" s="39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8"/>
      <c r="G60" s="160" t="s">
        <v>195</v>
      </c>
      <c r="H60" s="161" t="s">
        <v>100</v>
      </c>
    </row>
    <row r="61" spans="5:8" x14ac:dyDescent="0.35">
      <c r="E61" s="159" t="s">
        <v>192</v>
      </c>
      <c r="F61" s="408"/>
      <c r="G61" s="160" t="s">
        <v>196</v>
      </c>
      <c r="H61" s="161" t="s">
        <v>98</v>
      </c>
    </row>
    <row r="62" spans="5:8" x14ac:dyDescent="0.35">
      <c r="E62" s="159" t="s">
        <v>192</v>
      </c>
      <c r="F62" s="408"/>
      <c r="G62" s="160" t="s">
        <v>197</v>
      </c>
      <c r="H62" s="161" t="s">
        <v>101</v>
      </c>
    </row>
    <row r="63" spans="5:8" x14ac:dyDescent="0.35">
      <c r="E63" s="159" t="s">
        <v>192</v>
      </c>
      <c r="F63" s="408"/>
      <c r="G63" s="160" t="s">
        <v>198</v>
      </c>
      <c r="H63" s="161" t="s">
        <v>102</v>
      </c>
    </row>
    <row r="64" spans="5:8" x14ac:dyDescent="0.35">
      <c r="E64" s="159" t="s">
        <v>192</v>
      </c>
      <c r="F64" s="408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8"/>
      <c r="G121" s="160" t="s">
        <v>273</v>
      </c>
      <c r="H121" s="161" t="s">
        <v>98</v>
      </c>
    </row>
    <row r="122" spans="5:8" x14ac:dyDescent="0.35">
      <c r="E122" s="159" t="s">
        <v>269</v>
      </c>
      <c r="F122" s="40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8"/>
      <c r="G241" s="160" t="s">
        <v>432</v>
      </c>
      <c r="H241" s="161" t="s">
        <v>98</v>
      </c>
    </row>
    <row r="242" spans="5:8" x14ac:dyDescent="0.35">
      <c r="E242" s="159" t="s">
        <v>428</v>
      </c>
      <c r="F242" s="40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2026-10-01T11:27:28Z</dcterms:modified>
</cp:coreProperties>
</file>