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71BB424-D778-4DF1-8E0D-B49A28F8AA2F}" xr6:coauthVersionLast="47" xr6:coauthVersionMax="47" xr10:uidLastSave="{00000000-0000-0000-0000-000000000000}"/>
  <bookViews>
    <workbookView xWindow="-110" yWindow="-110" windowWidth="19420" windowHeight="10420" tabRatio="948" firstSheet="3" activeTab="3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5" l="1"/>
  <c r="F22" i="47"/>
  <c r="N6" i="43"/>
  <c r="N6" i="44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7" l="1"/>
  <c r="N5" i="67" s="1"/>
  <c r="N4" i="46"/>
  <c r="N5" i="46" s="1"/>
  <c r="N4" i="64"/>
  <c r="N5" i="64" s="1"/>
  <c r="N4" i="63"/>
  <c r="N5" i="63" s="1"/>
  <c r="N4" i="70"/>
  <c r="N5" i="70" s="1"/>
  <c r="N4" i="59"/>
  <c r="N5" i="59" s="1"/>
  <c r="N4" i="58"/>
  <c r="N5" i="58" s="1"/>
  <c r="N4" i="61"/>
  <c r="N5" i="61" s="1"/>
  <c r="N5" i="11"/>
  <c r="N4" i="51"/>
  <c r="N5" i="51" s="1"/>
  <c r="N4" i="50"/>
  <c r="N5" i="50" s="1"/>
  <c r="N4" i="57"/>
  <c r="N5" i="57" s="1"/>
  <c r="N4" i="53"/>
  <c r="N5" i="53" s="1"/>
  <c r="N4" i="45"/>
  <c r="N5" i="45" s="1"/>
  <c r="N4" i="68"/>
  <c r="N5" i="68" s="1"/>
  <c r="N4" i="55"/>
  <c r="N5" i="55" s="1"/>
  <c r="N4" i="69"/>
  <c r="N5" i="69" s="1"/>
  <c r="N4" i="65"/>
  <c r="N5" i="65" s="1"/>
  <c r="N4" i="60"/>
  <c r="N5" i="60" s="1"/>
  <c r="N4" i="52"/>
  <c r="N5" i="52" s="1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70" l="1"/>
  <c r="O20" i="70" s="1"/>
  <c r="P20" i="70" s="1"/>
  <c r="R20" i="70" s="1"/>
  <c r="M21" i="69"/>
  <c r="O21" i="69" s="1"/>
  <c r="P21" i="69" s="1"/>
  <c r="M21" i="68"/>
  <c r="O21" i="68" s="1"/>
  <c r="P21" i="68" s="1"/>
  <c r="M18" i="67"/>
  <c r="O18" i="67" s="1"/>
  <c r="P18" i="67" s="1"/>
  <c r="M18" i="48"/>
  <c r="M16" i="48"/>
  <c r="M23" i="59"/>
  <c r="M16" i="59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<sst xmlns="http://schemas.openxmlformats.org/spreadsheetml/2006/main" count="3948" uniqueCount="545">
  <si>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</si>
  <si>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</si>
  <si>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</si>
  <si>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</si>
  <si>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</si>
  <si>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</si>
  <si>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</si>
  <si>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</si>
  <si>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</si>
  <si>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</si>
  <si>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</si>
  <si>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</si>
  <si>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</si>
  <si>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</si>
  <si>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</si>
  <si>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</si>
  <si>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</si>
  <si>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</si>
  <si>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</si>
  <si>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</si>
  <si>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</si>
  <si>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</si>
  <si>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</si>
  <si>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</si>
  <si>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</si>
  <si>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</si>
  <si>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</si>
  <si>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</si>
  <si>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</si>
  <si>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</si>
  <si>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</si>
  <si>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</si>
  <si>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</si>
  <si>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</si>
  <si>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</si>
  <si>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</si>
  <si>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</si>
  <si>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</si>
  <si>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</si>
  <si>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</si>
  <si>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</si>
  <si>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</si>
  <si>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</si>
  <si>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</si>
  <si>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</si>
  <si>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</si>
  <si>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</si>
  <si>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</si>
  <si>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</si>
  <si>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</si>
  <si>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</si>
  <si>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</si>
  <si>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</si>
  <si>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</si>
  <si>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</si>
  <si>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</si>
  <si>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</si>
  <si>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</si>
  <si>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</si>
  <si>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</si>
  <si>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</si>
  <si>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</si>
  <si>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</si>
  <si>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</si>
  <si>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</si>
  <si>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</si>
  <si>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</si>
  <si>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</si>
  <si>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</si>
  <si>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</si>
  <si>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</si>
  <si>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</si>
  <si>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</si>
  <si>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</si>
  <si>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</si>
  <si>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</si>
  <si>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</si>
  <si>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</si>
  <si>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</si>
  <si>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</si>
  <si>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</si>
  <si>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</si>
  <si>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</si>
  <si>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</si>
  <si>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</si>
  <si>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</si>
  <si>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</si>
  <si>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</si>
  <si>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</si>
  <si>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</si>
  <si>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</si>
  <si>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</si>
  <si>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</si>
  <si>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</si>
  <si>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</si>
  <si>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</si>
  <si>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</si>
  <si>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</si>
  <si>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</si>
  <si>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</si>
  <si>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</si>
  <si>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</si>
  <si>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</si>
  <si>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</si>
  <si>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</si>
  <si>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</si>
  <si>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</si>
  <si>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</si>
  <si>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</si>
  <si>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</si>
  <si>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</si>
  <si>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</si>
  <si>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</si>
  <si>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</si>
  <si>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</si>
  <si>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</si>
  <si>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</si>
  <si>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</si>
  <si>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</si>
  <si>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</si>
  <si>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</si>
  <si>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</si>
  <si>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</si>
  <si>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</si>
  <si>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</si>
  <si>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</si>
  <si>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</si>
  <si>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</si>
  <si>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</si>
  <si>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</si>
  <si>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</si>
  <si>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</si>
  <si>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</si>
  <si>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</si>
  <si>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</si>
  <si>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</si>
  <si>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</si>
  <si>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</si>
  <si>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</si>
  <si>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</si>
  <si>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</si>
  <si>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</si>
  <si>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</si>
  <si>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</si>
  <si>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</si>
  <si>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</si>
  <si>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</si>
  <si>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</si>
  <si>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</si>
  <si>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</si>
  <si>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</si>
  <si>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</si>
  <si>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</si>
  <si>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</si>
  <si>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</si>
  <si>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</si>
  <si>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</si>
  <si>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</si>
  <si>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</si>
  <si>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</si>
  <si>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</si>
  <si>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</si>
  <si>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</si>
  <si>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</si>
  <si>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</si>
  <si>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</si>
  <si>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</si>
  <si>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</si>
  <si>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</si>
  <si>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</si>
  <si>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</si>
  <si>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</si>
  <si>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</si>
  <si>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</si>
  <si>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</si>
  <si>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</si>
  <si>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</si>
  <si>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</si>
  <si>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</si>
  <si>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</si>
  <si>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</si>
  <si>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</si>
  <si>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</si>
  <si>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</si>
  <si>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</si>
  <si>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</si>
  <si>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</si>
  <si>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</si>
  <si>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</si>
  <si>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</si>
  <si>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</si>
  <si>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</si>
  <si>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</si>
  <si>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</si>
  <si>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</si>
  <si>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</si>
  <si>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</si>
  <si>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</si>
  <si>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</si>
  <si>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</si>
  <si>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</si>
  <si>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</si>
  <si>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</si>
  <si>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</si>
  <si>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</si>
  <si>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</si>
  <si>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</si>
  <si>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</si>
  <si>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</si>
  <si>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</si>
  <si>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</si>
  <si>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</si>
  <si>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</si>
  <si>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</si>
  <si>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</si>
  <si>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</si>
  <si>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</si>
  <si>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</si>
  <si>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</si>
  <si>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</si>
  <si>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</si>
  <si>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</si>
  <si>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</si>
  <si>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</si>
  <si>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</si>
  <si>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</si>
  <si>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</si>
  <si>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</si>
  <si>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</si>
  <si>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</si>
  <si>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</si>
  <si>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</si>
  <si>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</si>
  <si>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</si>
  <si>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</si>
  <si>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</si>
  <si>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</si>
  <si>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</si>
  <si>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</si>
  <si>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</si>
  <si>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</si>
  <si>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</si>
  <si>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</si>
  <si>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</si>
  <si>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</si>
  <si>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</si>
  <si>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</si>
  <si>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</si>
  <si>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</si>
  <si>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</si>
  <si>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</si>
  <si>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</si>
  <si>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</si>
  <si>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</si>
  <si>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</si>
  <si>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</si>
  <si>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</si>
  <si>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</si>
  <si>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</si>
  <si>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</si>
  <si>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</si>
  <si>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</si>
  <si>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</si>
  <si>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</si>
  <si>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</si>
  <si>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</si>
  <si>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</si>
  <si>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</si>
  <si>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</si>
  <si>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</si>
  <si>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</si>
  <si>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</si>
  <si>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</si>
  <si>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</si>
  <si>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</si>
  <si>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</si>
  <si>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</si>
  <si>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</si>
  <si>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</si>
  <si>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</si>
  <si>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</si>
  <si>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</si>
  <si>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</si>
  <si>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</si>
  <si>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</si>
  <si>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</si>
  <si>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</si>
  <si>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</si>
  <si>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</si>
  <si>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</si>
  <si>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</si>
  <si>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</si>
  <si>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</si>
  <si>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</si>
  <si>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</si>
  <si>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</si>
  <si>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</si>
  <si>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</si>
  <si>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</si>
  <si>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</si>
  <si>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</si>
  <si>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</si>
  <si>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</si>
  <si>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</si>
  <si>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</si>
  <si>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</si>
  <si>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</si>
  <si>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</si>
  <si>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</si>
  <si>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</si>
  <si>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</si>
  <si>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</si>
  <si>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</si>
  <si>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</si>
  <si>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</si>
  <si>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</si>
  <si>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</si>
  <si>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</si>
  <si>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</si>
  <si>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</si>
  <si>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</si>
  <si>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</si>
  <si>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</si>
  <si>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</si>
  <si>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</si>
  <si>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</si>
  <si>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</si>
  <si>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</si>
  <si>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</si>
  <si>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</si>
  <si>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</si>
  <si>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</si>
  <si>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</si>
  <si>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</si>
  <si>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</si>
  <si>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</si>
  <si>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</si>
  <si>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</si>
  <si>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</si>
  <si>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</si>
  <si>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</si>
  <si>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</si>
  <si>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</si>
  <si>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</si>
  <si>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</si>
  <si>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</si>
  <si>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</si>
  <si>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</si>
  <si>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</si>
  <si>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</si>
  <si>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</si>
  <si>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</si>
  <si>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</si>
  <si>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</si>
  <si>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</si>
  <si>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</si>
  <si>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</si>
  <si>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</si>
  <si>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</si>
  <si>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</si>
  <si>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</si>
  <si>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</si>
  <si>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</si>
  <si>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</si>
  <si>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</si>
  <si>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</si>
  <si>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</si>
  <si>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</si>
  <si>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</si>
  <si>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</si>
  <si>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</si>
  <si>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</si>
  <si>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</si>
  <si>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</si>
  <si>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</si>
  <si>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</si>
  <si>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</si>
  <si>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</si>
  <si>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</si>
  <si>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</si>
  <si>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</si>
  <si>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</si>
  <si>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</si>
  <si>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</si>
  <si>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</si>
  <si>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</si>
  <si>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</si>
  <si>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</si>
  <si>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</si>
  <si>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</si>
  <si>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</si>
  <si>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</si>
  <si>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</si>
  <si>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</si>
  <si>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</si>
  <si>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</si>
  <si>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</si>
  <si>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</si>
  <si>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</si>
  <si>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</si>
  <si>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</si>
  <si>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</si>
  <si>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</si>
  <si>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</si>
  <si>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</si>
  <si>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</si>
  <si>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</si>
  <si>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</si>
  <si>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</si>
  <si>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</si>
  <si>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</si>
  <si>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</si>
  <si>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</si>
  <si>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</si>
  <si>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</si>
  <si>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</si>
  <si>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</si>
  <si>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</si>
  <si>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</si>
  <si>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</si>
  <si>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</si>
  <si>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</si>
  <si>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</si>
  <si>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</si>
  <si>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</si>
  <si>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</si>
  <si>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</si>
  <si>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</si>
  <si>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</si>
  <si>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</si>
  <si>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</si>
  <si>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</si>
  <si>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</si>
  <si>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</si>
  <si>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</si>
  <si>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</si>
  <si>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</si>
  <si>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</si>
  <si>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</si>
  <si>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</si>
  <si>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</si>
  <si>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</si>
  <si>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</si>
  <si>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</si>
  <si>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</si>
  <si>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</si>
  <si>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</si>
  <si>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</si>
  <si>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</si>
  <si>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</si>
  <si>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</si>
  <si>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</si>
  <si>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</si>
  <si>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</si>
  <si>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</si>
  <si>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</si>
  <si>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</si>
  <si>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</si>
  <si>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</si>
  <si>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</si>
  <si>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</si>
  <si>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</si>
  <si>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</si>
  <si>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</si>
  <si>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</si>
  <si>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</si>
  <si>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</si>
  <si>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</si>
  <si>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</si>
  <si>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</si>
  <si>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</si>
  <si>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</si>
  <si>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</si>
  <si>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</si>
  <si>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</si>
  <si>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</si>
  <si>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</si>
  <si>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</si>
  <si>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</si>
  <si>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</si>
  <si>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</si>
  <si>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</si>
  <si>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</si>
  <si>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</si>
  <si>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</si>
  <si>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</si>
  <si>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</si>
  <si>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</si>
  <si>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</si>
  <si>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</si>
  <si>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</si>
  <si>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</si>
  <si>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</si>
  <si>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</si>
  <si>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</si>
  <si>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</si>
  <si>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</si>
  <si>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</si>
  <si>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</si>
  <si>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</si>
  <si>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</si>
  <si>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</si>
  <si>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</si>
  <si>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</si>
  <si>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</si>
  <si>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</si>
  <si>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</si>
  <si>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</si>
  <si>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</si>
  <si>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</si>
  <si>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</si>
  <si>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</si>
  <si>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Address: Lawrance Road</t>
  </si>
  <si>
    <t>Al Makkah Store</t>
  </si>
  <si>
    <t>Address: Ghaziabad</t>
  </si>
  <si>
    <t>Abid Store</t>
  </si>
  <si>
    <t>Shadab Store</t>
  </si>
  <si>
    <t>Muzammil Store</t>
  </si>
  <si>
    <t>Noman Store</t>
  </si>
  <si>
    <t>Ali General Store</t>
  </si>
  <si>
    <t>Dilshad Store</t>
  </si>
  <si>
    <t>Waris General Store</t>
  </si>
  <si>
    <t>Raja Store</t>
  </si>
  <si>
    <t>Mukhtar Store</t>
  </si>
  <si>
    <t>Zohaib Store</t>
  </si>
  <si>
    <t>Jamal Store</t>
  </si>
  <si>
    <t>Wahid Store</t>
  </si>
  <si>
    <t>Gujjar Store</t>
  </si>
  <si>
    <t>Shahid Store</t>
  </si>
  <si>
    <t>Tahir Store</t>
  </si>
  <si>
    <t>Imran Store</t>
  </si>
  <si>
    <t>Mashallah Store</t>
  </si>
  <si>
    <t>Lala Store</t>
  </si>
  <si>
    <t>Ayub Store</t>
  </si>
  <si>
    <t>Rameez Store</t>
  </si>
  <si>
    <t>Shah Gee Store</t>
  </si>
  <si>
    <t>Adil Sweets</t>
  </si>
  <si>
    <t>Baba Welfare Shop</t>
  </si>
  <si>
    <t>MG Mart</t>
  </si>
  <si>
    <t>AG Mart</t>
  </si>
  <si>
    <t>Data Ali Hajveri Bakery</t>
  </si>
  <si>
    <t>Umer General Store</t>
  </si>
  <si>
    <t>Ghulam Rasool Store-2</t>
  </si>
  <si>
    <t>Kashif Super Store</t>
  </si>
  <si>
    <t>|Salman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</si>
</sst>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J1" sqref="J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544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46295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Al Makkah Store</v>
      </c>
      <c r="T3" s="301">
        <f>+'1'!P35</f>
        <v>1132.5257914194915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Abid Store</v>
      </c>
      <c r="T4" s="301">
        <f>+'2'!P35</f>
        <v>1132.5257914194915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Ghulam Rasool Store-2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Shadab Store</v>
      </c>
      <c r="T6" s="301">
        <f>+'4'!P35</f>
        <v>566.26289570974575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65</v>
      </c>
      <c r="I7" s="235">
        <f>(G7*D7)*F7+H7*F7</f>
        <v>3410.0625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272.80499999999995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119.35218750000001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3017.9053125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644.49152542372849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18.311984189618641</v>
      </c>
      <c r="P7" s="310">
        <f>M7+N7+O7</f>
        <v>3680.7088221133472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Kashif Super Store</v>
      </c>
      <c r="T7" s="301">
        <f>+'5'!P35</f>
        <v>5401.2631679237275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195</v>
      </c>
      <c r="I8" s="236">
        <f t="shared" ref="I8:I14" si="0">(G8*D8)*F8+H8*F8</f>
        <v>10230.1875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818.41500000000019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358.05656249999998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9053.7159374999992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1933.4745762711852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54.93595256885591</v>
      </c>
      <c r="P8" s="311">
        <f t="shared" ref="P8:P15" si="2">M8+N8+O8</f>
        <v>11042.12646634004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Muzammil Store</v>
      </c>
      <c r="T8" s="301">
        <f>+'6'!P35</f>
        <v>566.26289570974575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180</v>
      </c>
      <c r="I9" s="236">
        <f t="shared" si="0"/>
        <v>9443.25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755.46000000000015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330.51375000000002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8357.276249999999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1784.7457627118633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50.710110063559313</v>
      </c>
      <c r="P9" s="311">
        <f t="shared" si="2"/>
        <v>10192.732122775422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Noman Store</v>
      </c>
      <c r="T9" s="301">
        <f>+'7'!P35</f>
        <v>566.26289570974575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75</v>
      </c>
      <c r="I10" s="236">
        <f t="shared" si="0"/>
        <v>5448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435.84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190.68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4821.4799999999996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1029.6610169491528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29.255705084745763</v>
      </c>
      <c r="P10" s="311">
        <f t="shared" si="2"/>
        <v>5880.3967220338973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Ali General Store</v>
      </c>
      <c r="T10" s="301">
        <f>+'8'!P35</f>
        <v>566.26289570974575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105</v>
      </c>
      <c r="I11" s="236">
        <f t="shared" si="0"/>
        <v>7627.2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610.17599999999993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266.952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6750.0720000000001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1441.5254237288136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40.95798711864407</v>
      </c>
      <c r="P11" s="311">
        <f t="shared" si="2"/>
        <v>8232.5554108474571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Dilshad Store</v>
      </c>
      <c r="T11" s="301">
        <f>+'9'!P35</f>
        <v>566.26289570974575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60</v>
      </c>
      <c r="I12" s="236">
        <f t="shared" si="0"/>
        <v>4358.3999999999996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348.67200000000003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152.54400000000001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3857.1839999999997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823.72881355932202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23.40456406779661</v>
      </c>
      <c r="P12" s="311">
        <f t="shared" si="2"/>
        <v>4704.3173776271187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Waris General Store</v>
      </c>
      <c r="T12" s="301">
        <f>+'10'!P35</f>
        <v>566.26289570974575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Raja Store</v>
      </c>
      <c r="T13" s="301">
        <f>+'11'!P35</f>
        <v>566.26289570974575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Mukhtar Store</v>
      </c>
      <c r="T14" s="301">
        <f>+'12'!P35</f>
        <v>566.26289570974575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Zohaib Store</v>
      </c>
      <c r="T15" s="301">
        <f>+'13'!P35</f>
        <v>566.26289570974575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17</v>
      </c>
      <c r="H16" s="113">
        <f t="shared" ref="H16:M16" si="3">SUM(H7:H15)</f>
        <v>680</v>
      </c>
      <c r="I16" s="114">
        <f t="shared" si="3"/>
        <v>40517.1</v>
      </c>
      <c r="J16" s="274">
        <f>SUM(J7:J15)</f>
        <v>3241.3680000000004</v>
      </c>
      <c r="K16" s="275">
        <f t="shared" si="3"/>
        <v>1418.0985000000001</v>
      </c>
      <c r="L16" s="276">
        <f t="shared" si="3"/>
        <v>0</v>
      </c>
      <c r="M16" s="232">
        <f t="shared" si="3"/>
        <v>35857.633499999996</v>
      </c>
      <c r="N16" s="233">
        <f>SUM(N7:N15)</f>
        <v>7657.6271186440654</v>
      </c>
      <c r="O16" s="101">
        <f>SUM(O7:O15)</f>
        <v>217.5763030932203</v>
      </c>
      <c r="P16" s="113">
        <f>SUM(P7:P15)</f>
        <v>43732.836921737289</v>
      </c>
      <c r="Q16" s="128">
        <f>SUM(Q7:Q15)</f>
        <v>0</v>
      </c>
      <c r="R16" s="313">
        <v>14</v>
      </c>
      <c r="S16" s="315" t="str">
        <f>+'14'!A6:A6</f>
        <v>Jamal Store</v>
      </c>
      <c r="T16" s="301">
        <f>+'14'!P35</f>
        <v>566.26289570974575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Wahid Store</v>
      </c>
      <c r="T17" s="301">
        <f>+'15'!P35</f>
        <v>566.26289570974575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Gujjar Store</v>
      </c>
      <c r="T18" s="301">
        <f>+'16'!P35</f>
        <v>566.26289570974575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40517.1</v>
      </c>
      <c r="R19" s="299">
        <v>17</v>
      </c>
      <c r="S19" s="300" t="str">
        <f>+'17'!A6:A6</f>
        <v>Shahid Store</v>
      </c>
      <c r="T19" s="301">
        <f>+'17'!P35</f>
        <v>566.26289570974575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3241.3680000000004</v>
      </c>
      <c r="R20" s="299">
        <v>18</v>
      </c>
      <c r="S20" s="300" t="str">
        <f>+'18'!A6:A6</f>
        <v>Tahir Store</v>
      </c>
      <c r="T20" s="301">
        <f>+'18'!P35</f>
        <v>566.26289570974575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1418.0985000000001</v>
      </c>
      <c r="R21" s="299">
        <v>19</v>
      </c>
      <c r="S21" s="300" t="str">
        <f>+'19'!A6:A6</f>
        <v>Imran Store</v>
      </c>
      <c r="T21" s="301">
        <f>+'19'!P35</f>
        <v>566.26289570974575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35857.633499999996</v>
      </c>
      <c r="R22" s="299">
        <v>20</v>
      </c>
      <c r="S22" s="300" t="str">
        <f>+'20'!A6:A6</f>
        <v>Mashallah Store</v>
      </c>
      <c r="T22" s="301">
        <f>+'20'!P35</f>
        <v>566.26289570974575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7657.6271186440654</v>
      </c>
      <c r="R23" s="299">
        <v>21</v>
      </c>
      <c r="S23" s="300" t="str">
        <f>+'21'!A6:A6</f>
        <v>Lala Store</v>
      </c>
      <c r="T23" s="301">
        <f>+'21'!P35</f>
        <v>566.26289570974575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43515.260618644061</v>
      </c>
      <c r="R24" s="299">
        <v>22</v>
      </c>
      <c r="S24" s="300" t="str">
        <f>+'22'!A6:A6</f>
        <v>Ayub Store</v>
      </c>
      <c r="T24" s="301">
        <f>+'22'!P35</f>
        <v>566.26289570974575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217.5763030932203</v>
      </c>
      <c r="R25" s="299">
        <v>23</v>
      </c>
      <c r="S25" s="300" t="str">
        <f>+'23'!A6:A6</f>
        <v>Rameez Store</v>
      </c>
      <c r="T25" s="301">
        <f>+'23'!P35</f>
        <v>566.26289570974575</v>
      </c>
    </row>
    <row r="26" spans="1:20" ht="21.75" customHeight="1" thickBot="1" x14ac:dyDescent="0.4">
      <c r="N26" s="345" t="s">
        <v>88</v>
      </c>
      <c r="O26" s="346"/>
      <c r="P26" s="297">
        <f>+P24+P25</f>
        <v>43732.836921737282</v>
      </c>
      <c r="R26" s="299">
        <v>24</v>
      </c>
      <c r="S26" s="300" t="str">
        <f>+'24'!A6:A6</f>
        <v>Shah Gee Store</v>
      </c>
      <c r="T26" s="301">
        <f>+'24'!P35</f>
        <v>566.26289570974575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Adil Sweets</v>
      </c>
      <c r="T27" s="301">
        <f>+'25'!P35</f>
        <v>5662.6289570974577</v>
      </c>
    </row>
    <row r="28" spans="1:20" ht="21.75" customHeight="1" x14ac:dyDescent="0.35">
      <c r="R28" s="299">
        <v>26</v>
      </c>
      <c r="S28" s="300" t="str">
        <f>+'26'!A6:A6</f>
        <v>Baba Welfare Shop</v>
      </c>
      <c r="T28" s="301">
        <f>+'26'!P35</f>
        <v>3136.2115850847458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MG Mart</v>
      </c>
      <c r="T29" s="301">
        <f>+'27'!P35</f>
        <v>4268.7373765042366</v>
      </c>
    </row>
    <row r="30" spans="1:20" ht="21.75" customHeight="1" x14ac:dyDescent="0.35">
      <c r="R30" s="299">
        <v>28</v>
      </c>
      <c r="S30" s="300" t="str">
        <f>+'28'!A6:A6</f>
        <v>AG Mart</v>
      </c>
      <c r="T30" s="301">
        <f>+'28'!P35</f>
        <v>3136.2115850847458</v>
      </c>
    </row>
    <row r="31" spans="1:20" ht="21.75" customHeight="1" x14ac:dyDescent="0.35">
      <c r="R31" s="299">
        <v>29</v>
      </c>
      <c r="S31" s="300" t="str">
        <f>+'29'!A6:A6</f>
        <v>Data Ali Hajveri Bakery</v>
      </c>
      <c r="T31" s="301">
        <f>+'29'!P35</f>
        <v>2265.051582838983</v>
      </c>
    </row>
    <row r="32" spans="1:20" ht="21.75" customHeight="1" x14ac:dyDescent="0.35">
      <c r="R32" s="299">
        <v>30</v>
      </c>
      <c r="S32" s="300" t="str">
        <f>+'30'!A6:A6</f>
        <v>Umer General Store</v>
      </c>
      <c r="T32" s="301">
        <f>+'30'!P35</f>
        <v>3136.2115850847458</v>
      </c>
    </row>
    <row r="33" spans="2:20" ht="21.75" customHeight="1" thickBot="1" x14ac:dyDescent="0.6">
      <c r="R33" s="303"/>
      <c r="S33" s="302" t="s">
        <v>496</v>
      </c>
      <c r="T33" s="304">
        <f>SUM(T3:T32)</f>
        <v>43732.836921737275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4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46294</v>
      </c>
      <c r="O5" s="370"/>
      <c r="P5" s="370"/>
      <c r="R5" s="85"/>
      <c r="S5" s="266"/>
    </row>
    <row r="6" spans="1:22 16383:16384" ht="17.2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|Salman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ref="I18:I21" si="7">(G18*D18)*F18+H18*F18</f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20</v>
      </c>
      <c r="I25" s="114">
        <f t="shared" ref="I25:M25" si="10">SUM(I16:I24)</f>
        <v>1049.25</v>
      </c>
      <c r="J25" s="274">
        <f>SUM(J16:J24)</f>
        <v>83.94</v>
      </c>
      <c r="K25" s="275">
        <f t="shared" si="10"/>
        <v>36.723750000000003</v>
      </c>
      <c r="L25" s="276">
        <f t="shared" si="10"/>
        <v>0</v>
      </c>
      <c r="M25" s="232">
        <f t="shared" si="10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1049.25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83.94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36.723750000000003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928.58624999999995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1126.8913347457626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45" t="s">
        <v>88</v>
      </c>
      <c r="O35" s="346"/>
      <c r="P35" s="297">
        <f>+P33+P34</f>
        <v>1132.5257914194915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N26" sqref="N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8164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|Salman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1049.25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83.94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36.723750000000003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928.58624999999995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1126.8913347457626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45" t="s">
        <v>88</v>
      </c>
      <c r="O35" s="346"/>
      <c r="P35" s="297">
        <f>+P33+P34</f>
        <v>1132.5257914194915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8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46294</v>
      </c>
      <c r="O5" s="370"/>
      <c r="P5" s="370"/>
      <c r="R5" s="85"/>
      <c r="S5" s="266"/>
    </row>
    <row r="6" spans="1:22 16383:16384" ht="18.75" customHeight="1" x14ac:dyDescent="0.4">
      <c r="A6" s="399" t="s">
        <v>542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|Salman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activeCell="N23" sqref="N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17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|Salman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543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|Salman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15</v>
      </c>
      <c r="I17" s="236">
        <f t="shared" ref="I17:I23" si="0">(G17*D17)*F17+H17*F17</f>
        <v>786.9375</v>
      </c>
      <c r="J17" s="272">
        <f t="shared" ref="J17:L24" si="1">$I17*S17</f>
        <v>62.954999999999998</v>
      </c>
      <c r="K17" s="128">
        <f>$I17*T17</f>
        <v>27.542812500000004</v>
      </c>
      <c r="L17" s="119">
        <f>$I17*U17</f>
        <v>0</v>
      </c>
      <c r="M17" s="230">
        <f t="shared" ref="M17:M24" si="2">I17-SUM(J17:L17)</f>
        <v>696.43968749999999</v>
      </c>
      <c r="N17" s="277">
        <f t="shared" ref="N17:N24" si="3">+(G17*D17+H17)*V17</f>
        <v>148.72881355932196</v>
      </c>
      <c r="O17" s="239">
        <f t="shared" ref="O17:O24" si="4">(N17+M17)*$O$15</f>
        <v>4.22584250529661</v>
      </c>
      <c r="P17" s="119">
        <f t="shared" ref="P17:P24" si="5">M17+N17+O17</f>
        <v>849.39434356461845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5004.0999999999995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5004.0999999999995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400.32800000000003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4428.6284999999989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5374.3912118644057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26.871956059322031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|Salman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089843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|Salman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|Salman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|Salman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10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7265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|Salman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|Salman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|Salman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7265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|Salman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7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3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|Salman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4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|Salman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4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|Salman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|Salman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|Salman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|Salman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46294</v>
      </c>
      <c r="O5" s="370"/>
      <c r="P5" s="370"/>
      <c r="R5" s="85"/>
      <c r="S5" s="266"/>
    </row>
    <row r="6" spans="1:22 16383:16384" ht="18.75" customHeight="1" x14ac:dyDescent="0.4">
      <c r="A6" s="399" t="s">
        <v>531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|Salman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1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|Salman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|Salman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534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|Salman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535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|Salman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536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|Salman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100</v>
      </c>
      <c r="I25" s="114">
        <f t="shared" si="7"/>
        <v>5246.25</v>
      </c>
      <c r="J25" s="274">
        <f>SUM(J16:J24)</f>
        <v>419.7</v>
      </c>
      <c r="K25" s="275">
        <f t="shared" si="7"/>
        <v>183.61875000000003</v>
      </c>
      <c r="L25" s="276">
        <f t="shared" si="7"/>
        <v>0</v>
      </c>
      <c r="M25" s="232">
        <f t="shared" si="7"/>
        <v>4642.9312499999996</v>
      </c>
      <c r="N25" s="233">
        <f>SUM(N16:N24)</f>
        <v>991.52542372881317</v>
      </c>
      <c r="O25" s="101">
        <f>SUM(O16:O24)</f>
        <v>28.172283368644067</v>
      </c>
      <c r="P25" s="234">
        <f>SUM(P16:P24)</f>
        <v>5662.6289570974568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5246.25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419.7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183.61875000000003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4642.9312500000005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991.52542372881317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5634.4566737288133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28.172283368644067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5662.6289570974577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537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|Salman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Q20" s="319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538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|Salman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Q20" s="319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60</v>
      </c>
      <c r="I25" s="114">
        <f t="shared" si="7"/>
        <v>3954.85</v>
      </c>
      <c r="J25" s="274">
        <f>SUM(J16:J24)</f>
        <v>316.38800000000003</v>
      </c>
      <c r="K25" s="275">
        <f t="shared" si="7"/>
        <v>138.41975000000002</v>
      </c>
      <c r="L25" s="276">
        <f t="shared" si="7"/>
        <v>0</v>
      </c>
      <c r="M25" s="232">
        <f t="shared" si="7"/>
        <v>3500.04225</v>
      </c>
      <c r="N25" s="233">
        <f>SUM(N16:N24)</f>
        <v>747.45762711864404</v>
      </c>
      <c r="O25" s="101">
        <f>SUM(O16:O24)</f>
        <v>21.237499385593221</v>
      </c>
      <c r="P25" s="234">
        <f>SUM(P16:P24)</f>
        <v>4268.7373765042375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3954.85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316.38800000000003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138.41975000000002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3500.04225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747.45762711864404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4247.4998771186438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21.237499385593221</v>
      </c>
    </row>
    <row r="35" spans="2:16" ht="15.75" customHeight="1" thickBot="1" x14ac:dyDescent="0.4">
      <c r="N35" s="345" t="s">
        <v>88</v>
      </c>
      <c r="O35" s="346"/>
      <c r="P35" s="297">
        <f>+P33+P34</f>
        <v>4268.7373765042366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539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|Salman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opLeftCell="A3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540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|Salman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abSelected="1"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541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|Salman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46298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46297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2026-10-02T06:02:25Z</dcterms:modified>
</cp:coreProperties>
</file>