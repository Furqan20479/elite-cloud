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C84008B-918A-4BBF-A283-8DADC95ABB7B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47" l="1"/>
  <c r="N5" i="65"/>
  <c r="N5" i="69"/>
  <c r="N5" i="68"/>
  <c r="N5" i="67"/>
  <c r="N5" i="64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72" l="1"/>
  <c r="N5" i="71"/>
  <c r="N5" i="66"/>
  <c r="N5" i="49"/>
  <c r="N5" i="43"/>
  <c r="N5" i="48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<sst xmlns="http://schemas.openxmlformats.org/spreadsheetml/2006/main" count="3918" uniqueCount="517">
  <si>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</si>
  <si>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</si>
  <si>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</si>
  <si>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</si>
  <si>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</si>
  <si>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</si>
  <si>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</si>
  <si>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</si>
  <si>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</si>
  <si>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</si>
  <si>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</si>
  <si>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</si>
  <si>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</si>
  <si>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</si>
  <si>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</si>
  <si>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</si>
  <si>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</si>
  <si>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</si>
  <si>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</si>
  <si>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</si>
  <si>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</si>
  <si>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</si>
  <si>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</si>
  <si>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</si>
  <si>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</si>
  <si>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</si>
  <si>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</si>
  <si>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</si>
  <si>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</si>
  <si>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</si>
  <si>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</si>
  <si>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</si>
  <si>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</si>
  <si>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</si>
  <si>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</si>
  <si>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</si>
  <si>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</si>
  <si>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</si>
  <si>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</si>
  <si>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</si>
  <si>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</si>
  <si>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</si>
  <si>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</si>
  <si>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</si>
  <si>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</si>
  <si>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</si>
  <si>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</si>
  <si>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</si>
  <si>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</si>
  <si>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</si>
  <si>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</si>
  <si>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</si>
  <si>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</si>
  <si>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</si>
  <si>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</si>
  <si>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</si>
  <si>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</si>
  <si>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</si>
  <si>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</si>
  <si>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</si>
  <si>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</si>
  <si>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</si>
  <si>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</si>
  <si>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</si>
  <si>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</si>
  <si>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</si>
  <si>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</si>
  <si>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</si>
  <si>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</si>
  <si>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</si>
  <si>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</si>
  <si>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</si>
  <si>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</si>
  <si>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</si>
  <si>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</si>
  <si>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</si>
  <si>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</si>
  <si>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</si>
  <si>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</si>
  <si>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</si>
  <si>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</si>
  <si>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</si>
  <si>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</si>
  <si>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</si>
  <si>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</si>
  <si>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</si>
  <si>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</si>
  <si>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</si>
  <si>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</si>
  <si>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</si>
  <si>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</si>
  <si>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</si>
  <si>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</si>
  <si>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</si>
  <si>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</si>
  <si>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</si>
  <si>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</si>
  <si>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</si>
  <si>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</si>
  <si>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</si>
  <si>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</si>
  <si>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</si>
  <si>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</si>
  <si>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</si>
  <si>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</si>
  <si>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</si>
  <si>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</si>
  <si>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</si>
  <si>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</si>
  <si>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</si>
  <si>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</si>
  <si>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</si>
  <si>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</si>
  <si>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</si>
  <si>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</si>
  <si>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</si>
  <si>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</si>
  <si>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</si>
  <si>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</si>
  <si>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</si>
  <si>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</si>
  <si>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</si>
  <si>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</si>
  <si>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</si>
  <si>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</si>
  <si>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</si>
  <si>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</si>
  <si>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</si>
  <si>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</si>
  <si>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</si>
  <si>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</si>
  <si>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</si>
  <si>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</si>
  <si>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</si>
  <si>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</si>
  <si>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</si>
  <si>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</si>
  <si>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</si>
  <si>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</si>
  <si>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</si>
  <si>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</si>
  <si>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</si>
  <si>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</si>
  <si>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</si>
  <si>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</si>
  <si>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</si>
  <si>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</si>
  <si>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</si>
  <si>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</si>
  <si>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</si>
  <si>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</si>
  <si>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</si>
  <si>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</si>
  <si>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</si>
  <si>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</si>
  <si>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</si>
  <si>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</si>
  <si>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</si>
  <si>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</si>
  <si>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</si>
  <si>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</si>
  <si>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</si>
  <si>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</si>
  <si>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</si>
  <si>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</si>
  <si>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</si>
  <si>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</si>
  <si>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</si>
  <si>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</si>
  <si>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</si>
  <si>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</si>
  <si>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</si>
  <si>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</si>
  <si>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</si>
  <si>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</si>
  <si>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</si>
  <si>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</si>
  <si>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</si>
  <si>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</si>
  <si>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</si>
  <si>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</si>
  <si>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</si>
  <si>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</si>
  <si>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</si>
  <si>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</si>
  <si>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</si>
  <si>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</si>
  <si>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</si>
  <si>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</si>
  <si>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</si>
  <si>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</si>
  <si>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</si>
  <si>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</si>
  <si>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</si>
  <si>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</si>
  <si>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</si>
  <si>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</si>
  <si>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</si>
  <si>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</si>
  <si>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</si>
  <si>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</si>
  <si>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</si>
  <si>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</si>
  <si>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</si>
  <si>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</si>
  <si>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</si>
  <si>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</si>
  <si>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</si>
  <si>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</si>
  <si>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</si>
  <si>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</si>
  <si>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</si>
  <si>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</si>
  <si>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</si>
  <si>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</si>
  <si>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</si>
  <si>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</si>
  <si>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</si>
  <si>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</si>
  <si>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</si>
  <si>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</si>
  <si>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</si>
  <si>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</si>
  <si>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</si>
  <si>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</si>
  <si>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</si>
  <si>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</si>
  <si>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</si>
  <si>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</si>
  <si>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</si>
  <si>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</si>
  <si>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</si>
  <si>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</si>
  <si>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</si>
  <si>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</si>
  <si>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</si>
  <si>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</si>
  <si>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</si>
  <si>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</si>
  <si>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</si>
  <si>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</si>
  <si>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</si>
  <si>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</si>
  <si>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</si>
  <si>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</si>
  <si>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</si>
  <si>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</si>
  <si>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</si>
  <si>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</si>
  <si>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</si>
  <si>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</si>
  <si>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</si>
  <si>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</si>
  <si>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</si>
  <si>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</si>
  <si>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</si>
  <si>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</si>
  <si>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</si>
  <si>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</si>
  <si>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</si>
  <si>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</si>
  <si>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</si>
  <si>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</si>
  <si>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</si>
  <si>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</si>
  <si>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</si>
  <si>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</si>
  <si>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</si>
  <si>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</si>
  <si>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</si>
  <si>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</si>
  <si>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</si>
  <si>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</si>
  <si>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</si>
  <si>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</si>
  <si>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</si>
  <si>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</si>
  <si>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</si>
  <si>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</si>
  <si>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</si>
  <si>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</si>
  <si>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</si>
  <si>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</si>
  <si>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</si>
  <si>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</si>
  <si>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</si>
  <si>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</si>
  <si>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</si>
  <si>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</si>
  <si>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</si>
  <si>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</si>
  <si>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</si>
  <si>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</si>
  <si>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</si>
  <si>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</si>
  <si>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</si>
  <si>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</si>
  <si>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</si>
  <si>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</si>
  <si>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</si>
  <si>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</si>
  <si>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</si>
  <si>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</si>
  <si>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</si>
  <si>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</si>
  <si>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</si>
  <si>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</si>
  <si>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</si>
  <si>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</si>
  <si>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</si>
  <si>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</si>
  <si>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</si>
  <si>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</si>
  <si>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</si>
  <si>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</si>
  <si>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</si>
  <si>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</si>
  <si>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</si>
  <si>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</si>
  <si>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</si>
  <si>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</si>
  <si>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</si>
  <si>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</si>
  <si>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</si>
  <si>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</si>
  <si>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</si>
  <si>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</si>
  <si>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</si>
  <si>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</si>
  <si>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</si>
  <si>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</si>
  <si>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</si>
  <si>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</si>
  <si>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</si>
  <si>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</si>
  <si>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</si>
  <si>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</si>
  <si>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</si>
  <si>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</si>
  <si>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</si>
  <si>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</si>
  <si>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</si>
  <si>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</si>
  <si>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</si>
  <si>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</si>
  <si>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</si>
  <si>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</si>
  <si>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</si>
  <si>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</si>
  <si>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</si>
  <si>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</si>
  <si>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</si>
  <si>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</si>
  <si>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</si>
  <si>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</si>
  <si>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</si>
  <si>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</si>
  <si>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</si>
  <si>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</si>
  <si>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</si>
  <si>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</si>
  <si>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</si>
  <si>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</si>
  <si>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</si>
  <si>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</si>
  <si>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</si>
  <si>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</si>
  <si>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</si>
  <si>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</si>
  <si>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</si>
  <si>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</si>
  <si>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</si>
  <si>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</si>
  <si>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</si>
  <si>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</si>
  <si>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</si>
  <si>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</si>
  <si>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</si>
  <si>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</si>
  <si>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</si>
  <si>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</si>
  <si>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</si>
  <si>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</si>
  <si>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</si>
  <si>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</si>
  <si>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</si>
  <si>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</si>
  <si>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</si>
  <si>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</si>
  <si>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</si>
  <si>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</si>
  <si>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</si>
  <si>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</si>
  <si>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</si>
  <si>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</si>
  <si>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</si>
  <si>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</si>
  <si>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</si>
  <si>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</si>
  <si>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</si>
  <si>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</si>
  <si>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</si>
  <si>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</si>
  <si>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</si>
  <si>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</si>
  <si>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</si>
  <si>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</si>
  <si>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</si>
  <si>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</si>
  <si>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</si>
  <si>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</si>
  <si>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</si>
  <si>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</si>
  <si>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</si>
  <si>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</si>
  <si>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</si>
  <si>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</si>
  <si>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</si>
  <si>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</si>
  <si>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</si>
  <si>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</si>
  <si>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</si>
  <si>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</si>
  <si>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</si>
  <si>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</si>
  <si>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</si>
  <si>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</si>
  <si>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</si>
  <si>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</si>
  <si>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</si>
  <si>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</si>
  <si>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</si>
  <si>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</si>
  <si>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</si>
  <si>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</si>
  <si>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</si>
  <si>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</si>
  <si>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</si>
  <si>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</si>
  <si>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</si>
  <si>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</si>
  <si>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</si>
  <si>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</si>
  <si>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</si>
  <si>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</si>
  <si>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</si>
  <si>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</si>
  <si>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</si>
  <si>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</si>
  <si>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</si>
  <si>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</si>
  <si>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</si>
  <si>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</si>
  <si>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</si>
  <si>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</si>
  <si>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</si>
  <si>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</si>
  <si>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</si>
  <si>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</si>
  <si>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</si>
  <si>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</si>
  <si>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</si>
  <si>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</si>
  <si>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</si>
  <si>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</si>
  <si>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</si>
  <si>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</si>
  <si>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</si>
  <si>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</si>
  <si>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</si>
  <si>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</si>
  <si>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</si>
  <si>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</si>
  <si>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</si>
  <si>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</si>
  <si>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</si>
  <si>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</si>
  <si>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</si>
  <si>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</si>
  <si>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</si>
  <si>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</si>
  <si>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</si>
  <si>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</si>
  <si>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</si>
  <si>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</si>
  <si>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</si>
  <si>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</si>
  <si>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</si>
  <si>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</si>
  <si>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</si>
  <si>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</si>
  <si>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</si>
  <si>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</si>
  <si>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</si>
  <si>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</si>
  <si>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</si>
  <si>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</si>
  <si>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</si>
  <si>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</si>
  <si>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</si>
  <si>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</si>
  <si>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</si>
  <si>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</si>
  <si>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</si>
  <si>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</si>
  <si>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</si>
  <si>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</si>
  <si>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</si>
  <si>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</si>
  <si>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</si>
  <si>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</si>
  <si>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</si>
  <si>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</si>
  <si>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Raheem Store</t>
  </si>
  <si>
    <t xml:space="preserve">Address: Iqbal Town </t>
  </si>
  <si>
    <t>Invoice No # : 12445</t>
  </si>
  <si>
    <t>NTN #:  A244322-8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</si>
</sst>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46293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Raheem Store</v>
      </c>
      <c r="T3" s="301">
        <f>+'1'!P35</f>
        <v>59878.171094491518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31.918090042372878</v>
      </c>
      <c r="P7" s="310">
        <f>M7+N7+O7</f>
        <v>6415.5360985169482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1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1175.1600000000001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6925.05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42.557453389830506</v>
      </c>
      <c r="P9" s="311">
        <f t="shared" si="2"/>
        <v>8554.0481313559321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1627.1360000000002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9588.48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58.925450847457626</v>
      </c>
      <c r="P10" s="311">
        <f t="shared" si="2"/>
        <v>11844.015620338982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1627.1360000000002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9588.48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58.925450847457626</v>
      </c>
      <c r="P11" s="311">
        <f t="shared" si="2"/>
        <v>11844.015620338982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14805.019525423728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23</v>
      </c>
      <c r="H16" s="113">
        <f t="shared" ref="H16:M16" si="3">SUM(H7:H15)</f>
        <v>920</v>
      </c>
      <c r="I16" s="114">
        <f t="shared" si="3"/>
        <v>58757.8</v>
      </c>
      <c r="J16" s="274">
        <f>SUM(J7:J15)</f>
        <v>8226.0920000000024</v>
      </c>
      <c r="K16" s="275">
        <f t="shared" si="3"/>
        <v>2056.5230000000006</v>
      </c>
      <c r="L16" s="276">
        <f t="shared" si="3"/>
        <v>0</v>
      </c>
      <c r="M16" s="232">
        <f t="shared" si="3"/>
        <v>48475.184999999998</v>
      </c>
      <c r="N16" s="233">
        <f>SUM(N7:N15)</f>
        <v>11105.08474576271</v>
      </c>
      <c r="O16" s="101">
        <f>SUM(O7:O15)</f>
        <v>297.90134872881356</v>
      </c>
      <c r="P16" s="113">
        <f>SUM(P7:P15)</f>
        <v>59878.171094491518</v>
      </c>
      <c r="Q16" s="128">
        <f>SUM(Q7:Q15)</f>
        <v>0</v>
      </c>
      <c r="R16" s="313">
        <v>14</v>
      </c>
      <c r="S16" s="315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58757.8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8226.0920000000024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2056.5230000000006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48475.184999999998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11105.08474576271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59580.269745762707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297.90134872881356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59878.171094491518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59878.171094491518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2" sqref="F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118">
        <f>M16+N16+O16</f>
        <v>6415.5360985169482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1175.1600000000001</v>
      </c>
      <c r="K18" s="128">
        <f t="shared" si="1"/>
        <v>293.79000000000002</v>
      </c>
      <c r="L18" s="119">
        <f t="shared" si="1"/>
        <v>0</v>
      </c>
      <c r="M18" s="230">
        <f t="shared" si="2"/>
        <v>6925.05</v>
      </c>
      <c r="N18" s="277">
        <f t="shared" si="3"/>
        <v>1586.440677966101</v>
      </c>
      <c r="O18" s="239">
        <f t="shared" si="4"/>
        <v>42.557453389830506</v>
      </c>
      <c r="P18" s="119">
        <f t="shared" si="5"/>
        <v>8554.0481313559321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1627.1360000000002</v>
      </c>
      <c r="K19" s="128">
        <f t="shared" si="1"/>
        <v>406.78400000000005</v>
      </c>
      <c r="L19" s="119">
        <f t="shared" si="1"/>
        <v>0</v>
      </c>
      <c r="M19" s="230">
        <f t="shared" si="2"/>
        <v>9588.48</v>
      </c>
      <c r="N19" s="277">
        <f t="shared" si="3"/>
        <v>2196.6101694915255</v>
      </c>
      <c r="O19" s="239">
        <f t="shared" si="4"/>
        <v>58.925450847457626</v>
      </c>
      <c r="P19" s="119">
        <f t="shared" si="5"/>
        <v>11844.015620338982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1627.1360000000002</v>
      </c>
      <c r="K20" s="128">
        <f t="shared" si="1"/>
        <v>406.78400000000005</v>
      </c>
      <c r="L20" s="119">
        <f t="shared" si="1"/>
        <v>0</v>
      </c>
      <c r="M20" s="230">
        <f t="shared" si="2"/>
        <v>9588.48</v>
      </c>
      <c r="N20" s="277">
        <f t="shared" si="3"/>
        <v>2196.6101694915255</v>
      </c>
      <c r="O20" s="239">
        <f t="shared" si="4"/>
        <v>58.925450847457626</v>
      </c>
      <c r="P20" s="119">
        <f t="shared" si="5"/>
        <v>11844.015620338982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119">
        <f t="shared" si="5"/>
        <v>14805.019525423728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920</v>
      </c>
      <c r="I25" s="114">
        <f t="shared" ref="I25:M25" si="10">SUM(I16:I24)</f>
        <v>58757.8</v>
      </c>
      <c r="J25" s="274">
        <f>SUM(J16:J24)</f>
        <v>8226.0920000000024</v>
      </c>
      <c r="K25" s="275">
        <f t="shared" si="10"/>
        <v>2056.5230000000006</v>
      </c>
      <c r="L25" s="276">
        <f t="shared" si="10"/>
        <v>0</v>
      </c>
      <c r="M25" s="232">
        <f t="shared" si="10"/>
        <v>48475.184999999998</v>
      </c>
      <c r="N25" s="233">
        <f>SUM(N16:N24)</f>
        <v>11105.08474576271</v>
      </c>
      <c r="O25" s="101">
        <f>SUM(O16:O24)</f>
        <v>297.90134872881356</v>
      </c>
      <c r="P25" s="234">
        <f>SUM(P16:P24)</f>
        <v>59878.171094491518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58757.8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8226.0920000000024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2056.5230000000006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48475.184999999998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11105.08474576271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59580.269745762707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297.90134872881356</v>
      </c>
    </row>
    <row r="35" spans="2:16" ht="15.75" customHeight="1" thickBot="1" x14ac:dyDescent="0.4">
      <c r="N35" s="346" t="s">
        <v>88</v>
      </c>
      <c r="O35" s="347"/>
      <c r="P35" s="297">
        <f>+P33+P34</f>
        <v>59878.171094491518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46296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46295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2026-09-30T05:34:00Z</dcterms:modified>
</cp:coreProperties>
</file>