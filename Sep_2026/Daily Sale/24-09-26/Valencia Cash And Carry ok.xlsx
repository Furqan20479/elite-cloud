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E6411DD-0220-468E-A195-1660442A69B9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<sst xmlns="http://schemas.openxmlformats.org/spreadsheetml/2006/main" count="3918" uniqueCount="517">
  <si>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</si>
  <si>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</si>
  <si>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</si>
  <si>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</si>
  <si>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</si>
  <si>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</si>
  <si>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</si>
  <si>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</si>
  <si>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</si>
  <si>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</si>
  <si>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</si>
  <si>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</si>
  <si>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</si>
  <si>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</si>
  <si>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</si>
  <si>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</si>
  <si>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</si>
  <si>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</si>
  <si>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</si>
  <si>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</si>
  <si>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</si>
  <si>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</si>
  <si>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</si>
  <si>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</si>
  <si>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</si>
  <si>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</si>
  <si>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</si>
  <si>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</si>
  <si>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</si>
  <si>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</si>
  <si>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</si>
  <si>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</si>
  <si>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</si>
  <si>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</si>
  <si>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</si>
  <si>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</si>
  <si>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</si>
  <si>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</si>
  <si>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</si>
  <si>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</si>
  <si>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</si>
  <si>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</si>
  <si>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</si>
  <si>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</si>
  <si>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</si>
  <si>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</si>
  <si>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</si>
  <si>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</si>
  <si>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</si>
  <si>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</si>
  <si>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</si>
  <si>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</si>
  <si>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</si>
  <si>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</si>
  <si>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</si>
  <si>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</si>
  <si>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</si>
  <si>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</si>
  <si>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</si>
  <si>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</si>
  <si>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</si>
  <si>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</si>
  <si>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</si>
  <si>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</si>
  <si>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</si>
  <si>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</si>
  <si>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</si>
  <si>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</si>
  <si>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</si>
  <si>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</si>
  <si>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</si>
  <si>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</si>
  <si>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</si>
  <si>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</si>
  <si>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</si>
  <si>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</si>
  <si>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</si>
  <si>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</si>
  <si>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</si>
  <si>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</si>
  <si>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</si>
  <si>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</si>
  <si>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</si>
  <si>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</si>
  <si>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</si>
  <si>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</si>
  <si>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</si>
  <si>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</si>
  <si>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</si>
  <si>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</si>
  <si>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</si>
  <si>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</si>
  <si>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</si>
  <si>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</si>
  <si>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</si>
  <si>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</si>
  <si>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</si>
  <si>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</si>
  <si>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</si>
  <si>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</si>
  <si>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</si>
  <si>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</si>
  <si>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</si>
  <si>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</si>
  <si>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</si>
  <si>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</si>
  <si>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</si>
  <si>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</si>
  <si>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</si>
  <si>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</si>
  <si>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</si>
  <si>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</si>
  <si>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</si>
  <si>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</si>
  <si>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</si>
  <si>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</si>
  <si>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</si>
  <si>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</si>
  <si>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</si>
  <si>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</si>
  <si>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</si>
  <si>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</si>
  <si>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</si>
  <si>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</si>
  <si>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</si>
  <si>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</si>
  <si>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</si>
  <si>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</si>
  <si>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</si>
  <si>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</si>
  <si>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</si>
  <si>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</si>
  <si>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</si>
  <si>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</si>
  <si>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</si>
  <si>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</si>
  <si>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</si>
  <si>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</si>
  <si>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</si>
  <si>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</si>
  <si>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</si>
  <si>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</si>
  <si>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</si>
  <si>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</si>
  <si>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</si>
  <si>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</si>
  <si>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</si>
  <si>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</si>
  <si>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</si>
  <si>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</si>
  <si>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</si>
  <si>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</si>
  <si>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</si>
  <si>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</si>
  <si>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</si>
  <si>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</si>
  <si>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</si>
  <si>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</si>
  <si>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</si>
  <si>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</si>
  <si>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</si>
  <si>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</si>
  <si>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</si>
  <si>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</si>
  <si>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</si>
  <si>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</si>
  <si>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</si>
  <si>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</si>
  <si>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</si>
  <si>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</si>
  <si>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</si>
  <si>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</si>
  <si>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</si>
  <si>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</si>
  <si>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</si>
  <si>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</si>
  <si>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</si>
  <si>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</si>
  <si>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</si>
  <si>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</si>
  <si>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</si>
  <si>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</si>
  <si>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</si>
  <si>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</si>
  <si>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</si>
  <si>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</si>
  <si>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</si>
  <si>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</si>
  <si>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</si>
  <si>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</si>
  <si>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</si>
  <si>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</si>
  <si>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</si>
  <si>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</si>
  <si>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</si>
  <si>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</si>
  <si>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</si>
  <si>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</si>
  <si>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</si>
  <si>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</si>
  <si>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</si>
  <si>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</si>
  <si>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</si>
  <si>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</si>
  <si>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</si>
  <si>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</si>
  <si>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</si>
  <si>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</si>
  <si>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</si>
  <si>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</si>
  <si>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</si>
  <si>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</si>
  <si>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</si>
  <si>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</si>
  <si>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</si>
  <si>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</si>
  <si>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</si>
  <si>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</si>
  <si>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</si>
  <si>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</si>
  <si>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</si>
  <si>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</si>
  <si>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</si>
  <si>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</si>
  <si>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</si>
  <si>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</si>
  <si>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</si>
  <si>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</si>
  <si>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</si>
  <si>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</si>
  <si>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</si>
  <si>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</si>
  <si>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</si>
  <si>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</si>
  <si>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</si>
  <si>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</si>
  <si>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</si>
  <si>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</si>
  <si>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</si>
  <si>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</si>
  <si>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</si>
  <si>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</si>
  <si>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</si>
  <si>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</si>
  <si>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</si>
  <si>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</si>
  <si>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</si>
  <si>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</si>
  <si>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</si>
  <si>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</si>
  <si>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</si>
  <si>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</si>
  <si>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</si>
  <si>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</si>
  <si>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</si>
  <si>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</si>
  <si>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</si>
  <si>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</si>
  <si>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</si>
  <si>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</si>
  <si>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</si>
  <si>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</si>
  <si>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</si>
  <si>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</si>
  <si>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</si>
  <si>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</si>
  <si>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</si>
  <si>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</si>
  <si>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</si>
  <si>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</si>
  <si>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</si>
  <si>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</si>
  <si>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</si>
  <si>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</si>
  <si>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</si>
  <si>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</si>
  <si>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</si>
  <si>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</si>
  <si>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</si>
  <si>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</si>
  <si>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</si>
  <si>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</si>
  <si>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</si>
  <si>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</si>
  <si>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</si>
  <si>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</si>
  <si>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</si>
  <si>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</si>
  <si>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</si>
  <si>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</si>
  <si>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</si>
  <si>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</si>
  <si>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</si>
  <si>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</si>
  <si>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</si>
  <si>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</si>
  <si>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</si>
  <si>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</si>
  <si>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</si>
  <si>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</si>
  <si>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</si>
  <si>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</si>
  <si>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</si>
  <si>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</si>
  <si>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</si>
  <si>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</si>
  <si>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</si>
  <si>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</si>
  <si>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</si>
  <si>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</si>
  <si>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</si>
  <si>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</si>
  <si>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</si>
  <si>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</si>
  <si>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</si>
  <si>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</si>
  <si>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</si>
  <si>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</si>
  <si>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</si>
  <si>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</si>
  <si>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</si>
  <si>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</si>
  <si>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</si>
  <si>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</si>
  <si>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</si>
  <si>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</si>
  <si>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</si>
  <si>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</si>
  <si>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</si>
  <si>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</si>
  <si>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</si>
  <si>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</si>
  <si>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</si>
  <si>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</si>
  <si>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</si>
  <si>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</si>
  <si>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</si>
  <si>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</si>
  <si>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</si>
  <si>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</si>
  <si>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</si>
  <si>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</si>
  <si>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</si>
  <si>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</si>
  <si>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</si>
  <si>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</si>
  <si>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</si>
  <si>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</si>
  <si>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</si>
  <si>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</si>
  <si>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</si>
  <si>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</si>
  <si>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</si>
  <si>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</si>
  <si>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</si>
  <si>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</si>
  <si>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</si>
  <si>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</si>
  <si>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</si>
  <si>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</si>
  <si>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</si>
  <si>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</si>
  <si>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</si>
  <si>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</si>
  <si>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</si>
  <si>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</si>
  <si>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</si>
  <si>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</si>
  <si>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</si>
  <si>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</si>
  <si>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</si>
  <si>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</si>
  <si>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</si>
  <si>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</si>
  <si>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</si>
  <si>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</si>
  <si>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</si>
  <si>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</si>
  <si>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</si>
  <si>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</si>
  <si>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</si>
  <si>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</si>
  <si>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</si>
  <si>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</si>
  <si>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</si>
  <si>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</si>
  <si>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</si>
  <si>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</si>
  <si>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</si>
  <si>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</si>
  <si>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</si>
  <si>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</si>
  <si>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</si>
  <si>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</si>
  <si>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</si>
  <si>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</si>
  <si>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</si>
  <si>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</si>
  <si>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</si>
  <si>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</si>
  <si>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</si>
  <si>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</si>
  <si>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</si>
  <si>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</si>
  <si>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</si>
  <si>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</si>
  <si>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</si>
  <si>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</si>
  <si>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</si>
  <si>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</si>
  <si>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</si>
  <si>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</si>
  <si>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</si>
  <si>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</si>
  <si>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</si>
  <si>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</si>
  <si>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</si>
  <si>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</si>
  <si>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</si>
  <si>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</si>
  <si>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</si>
  <si>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</si>
  <si>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</si>
  <si>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</si>
  <si>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</si>
  <si>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</si>
  <si>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</si>
  <si>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</si>
  <si>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</si>
  <si>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</si>
  <si>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</si>
  <si>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</si>
  <si>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</si>
  <si>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</si>
  <si>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</si>
  <si>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</si>
  <si>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</si>
  <si>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</si>
  <si>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</si>
  <si>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</si>
  <si>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</si>
  <si>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</si>
  <si>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</si>
  <si>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</si>
  <si>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</si>
  <si>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</si>
  <si>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</si>
  <si>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</si>
  <si>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</si>
  <si>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</si>
  <si>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</si>
  <si>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</si>
  <si>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</si>
  <si>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</si>
  <si>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</si>
  <si>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</si>
  <si>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</si>
  <si>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</si>
  <si>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</si>
  <si>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</si>
  <si>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</si>
  <si>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</si>
  <si>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</si>
  <si>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</si>
  <si>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</si>
  <si>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</si>
  <si>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</si>
  <si>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</si>
  <si>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</si>
  <si>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</si>
  <si>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</si>
  <si>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</si>
  <si>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</si>
  <si>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</si>
  <si>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</si>
  <si>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</si>
  <si>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</si>
  <si>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</si>
  <si>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</si>
  <si>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</si>
  <si>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</si>
  <si>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</si>
  <si>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</si>
  <si>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</si>
  <si>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</si>
  <si>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</si>
  <si>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</si>
  <si>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</si>
  <si>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</si>
  <si>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</si>
  <si>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</si>
  <si>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</si>
  <si>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</si>
  <si>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</si>
  <si>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</si>
  <si>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</si>
  <si>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</si>
  <si>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</si>
  <si>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</si>
  <si>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</si>
  <si>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</si>
  <si>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</si>
  <si>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</si>
  <si>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</si>
  <si>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</si>
  <si>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</si>
  <si>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</si>
  <si>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</si>
  <si>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</si>
  <si>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</si>
  <si>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</si>
  <si>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</si>
  <si>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Booker</t>
  </si>
  <si>
    <t>Valencia Cash And Carry</t>
  </si>
  <si>
    <t xml:space="preserve">Address: Valencia Town </t>
  </si>
  <si>
    <t>Invoice No # :7845</t>
  </si>
  <si>
    <t>NTN #: 7193531-2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</si>
</sst>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46289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Valencia Cash And Carry</v>
      </c>
      <c r="T3" s="301">
        <f>+'1'!P35</f>
        <v>21202.723031694917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Valencia Cash And Carry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Valencia Cash And Carry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Valencia Cash And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Valencia Cash And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Valencia Cash And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419.70000000000005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3630.4049999999997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22.118126694915251</v>
      </c>
      <c r="P9" s="311">
        <f t="shared" si="2"/>
        <v>4445.7434656779651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Valencia Cash And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Valencia Cash And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Valencia Cash And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5026.6880000000001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30.624965423728813</v>
      </c>
      <c r="P12" s="311">
        <f t="shared" si="2"/>
        <v>6155.6180501694917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Valencia Cash And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Valencia Cash And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Valencia Cash And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Valencia Cash And Carry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8</v>
      </c>
      <c r="H16" s="113">
        <f t="shared" ref="H16:M16" si="3">SUM(H7:H15)</f>
        <v>320</v>
      </c>
      <c r="I16" s="114">
        <f t="shared" si="3"/>
        <v>20016.400000000001</v>
      </c>
      <c r="J16" s="274">
        <f>SUM(J7:J15)</f>
        <v>2001.6399999999999</v>
      </c>
      <c r="K16" s="275">
        <f t="shared" si="3"/>
        <v>700.57400000000007</v>
      </c>
      <c r="L16" s="276">
        <f t="shared" si="3"/>
        <v>0</v>
      </c>
      <c r="M16" s="232">
        <f t="shared" si="3"/>
        <v>17314.186000000002</v>
      </c>
      <c r="N16" s="233">
        <f>SUM(N7:N15)</f>
        <v>3783.0508474576263</v>
      </c>
      <c r="O16" s="101">
        <f>SUM(O7:O15)</f>
        <v>105.48618423728813</v>
      </c>
      <c r="P16" s="113">
        <f>SUM(P7:P15)</f>
        <v>21202.723031694914</v>
      </c>
      <c r="Q16" s="128">
        <f>SUM(Q7:Q15)</f>
        <v>0</v>
      </c>
      <c r="R16" s="313">
        <v>14</v>
      </c>
      <c r="S16" s="315" t="str">
        <f>+'14'!A6:A6</f>
        <v>Valencia Cash And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Valencia Cash And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Valencia Cash And Carry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20016.400000000001</v>
      </c>
      <c r="R19" s="299">
        <v>17</v>
      </c>
      <c r="S19" s="300" t="str">
        <f>+'17'!A6:A6</f>
        <v>Valencia Cash And Carry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2001.6399999999999</v>
      </c>
      <c r="R20" s="299">
        <v>18</v>
      </c>
      <c r="S20" s="300" t="str">
        <f>+'18'!A6:A6</f>
        <v>Valencia Cash And Carry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700.57400000000007</v>
      </c>
      <c r="R21" s="299">
        <v>19</v>
      </c>
      <c r="S21" s="300" t="str">
        <f>+'19'!A6:A6</f>
        <v>Valencia Cash And Carry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17314.186000000002</v>
      </c>
      <c r="R22" s="299">
        <v>20</v>
      </c>
      <c r="S22" s="300" t="str">
        <f>+'20'!A6:A6</f>
        <v>Valencia Cash And Carry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3783.0508474576263</v>
      </c>
      <c r="R23" s="299">
        <v>21</v>
      </c>
      <c r="S23" s="300" t="str">
        <f>+'21'!A6:A6</f>
        <v>Valencia Cash And Carry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21097.236847457629</v>
      </c>
      <c r="R24" s="299">
        <v>22</v>
      </c>
      <c r="S24" s="300" t="str">
        <f>+'22'!A6:A6</f>
        <v>Valencia Cash And Carry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105.48618423728813</v>
      </c>
      <c r="R25" s="299">
        <v>23</v>
      </c>
      <c r="S25" s="300" t="str">
        <f>+'23'!A6:A6</f>
        <v>Valencia Cash And Carry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21202.723031694917</v>
      </c>
      <c r="R26" s="299">
        <v>24</v>
      </c>
      <c r="S26" s="300" t="str">
        <f>+'24'!A6:A6</f>
        <v>Valencia Cash And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Valencia Cash And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Valencia Cash And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Valencia Cash And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Valencia Cash And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Valencia Cash And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Valencia Cash And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21202.723031694917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K19" workbookViewId="0">
      <selection activeCell="R31" sqref="R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Summary!H3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119">
        <f t="shared" si="5"/>
        <v>4445.7434656779651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119">
        <f t="shared" si="5"/>
        <v>6155.6180501694917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320</v>
      </c>
      <c r="I25" s="114">
        <f t="shared" ref="I25:M25" si="10">SUM(I16:I24)</f>
        <v>20016.400000000001</v>
      </c>
      <c r="J25" s="274">
        <f>SUM(J16:J24)</f>
        <v>2001.6399999999999</v>
      </c>
      <c r="K25" s="275">
        <f t="shared" si="10"/>
        <v>700.57400000000007</v>
      </c>
      <c r="L25" s="276">
        <f t="shared" si="10"/>
        <v>0</v>
      </c>
      <c r="M25" s="232">
        <f t="shared" si="10"/>
        <v>17314.186000000002</v>
      </c>
      <c r="N25" s="233">
        <f>SUM(N16:N24)</f>
        <v>3783.0508474576263</v>
      </c>
      <c r="O25" s="101">
        <f>SUM(O16:O24)</f>
        <v>105.48618423728813</v>
      </c>
      <c r="P25" s="234">
        <f>SUM(P16:P24)</f>
        <v>21202.723031694914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20016.400000000001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2001.6399999999999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700.57400000000007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17314.186000000002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3783.0508474576263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21097.236847457629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105.48618423728814</v>
      </c>
    </row>
    <row r="35" spans="2:16" ht="15.75" customHeight="1" thickBot="1" x14ac:dyDescent="0.4">
      <c r="N35" s="375" t="s">
        <v>88</v>
      </c>
      <c r="O35" s="376"/>
      <c r="P35" s="297">
        <f>+P33+P34</f>
        <v>21202.723031694917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46305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46304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2026-10-09T05:18:33Z</dcterms:modified>
</cp:coreProperties>
</file>