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A82EE60-7B05-49AC-8263-CE90405FEA80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60" l="1"/>
  <c r="O17" i="60" s="1"/>
  <c r="P17" i="60" s="1"/>
  <c r="M21" i="53"/>
  <c r="O21" i="53" s="1"/>
  <c r="P21" i="53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<sst xmlns="http://schemas.openxmlformats.org/spreadsheetml/2006/main" count="3918" uniqueCount="517">
  <si>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</si>
  <si>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</si>
  <si>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</si>
  <si>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</si>
  <si>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</si>
  <si>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</si>
  <si>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</si>
  <si>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</si>
  <si>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</si>
  <si>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</si>
  <si>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</si>
  <si>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</si>
  <si>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</si>
  <si>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</si>
  <si>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</si>
  <si>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</si>
  <si>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</si>
  <si>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</si>
  <si>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</si>
  <si>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</si>
  <si>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</si>
  <si>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</si>
  <si>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</si>
  <si>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</si>
  <si>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</si>
  <si>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</si>
  <si>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</si>
  <si>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</si>
  <si>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</si>
  <si>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</si>
  <si>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</si>
  <si>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</si>
  <si>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</si>
  <si>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</si>
  <si>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</si>
  <si>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</si>
  <si>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</si>
  <si>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</si>
  <si>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</si>
  <si>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</si>
  <si>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</si>
  <si>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</si>
  <si>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</si>
  <si>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</si>
  <si>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</si>
  <si>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</si>
  <si>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</si>
  <si>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</si>
  <si>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</si>
  <si>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</si>
  <si>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</si>
  <si>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</si>
  <si>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</si>
  <si>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</si>
  <si>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</si>
  <si>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</si>
  <si>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</si>
  <si>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</si>
  <si>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</si>
  <si>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</si>
  <si>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</si>
  <si>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</si>
  <si>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</si>
  <si>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</si>
  <si>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</si>
  <si>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</si>
  <si>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</si>
  <si>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</si>
  <si>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</si>
  <si>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</si>
  <si>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</si>
  <si>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</si>
  <si>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</si>
  <si>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</si>
  <si>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</si>
  <si>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</si>
  <si>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</si>
  <si>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</si>
  <si>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</si>
  <si>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</si>
  <si>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</si>
  <si>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</si>
  <si>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</si>
  <si>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</si>
  <si>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</si>
  <si>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</si>
  <si>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</si>
  <si>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</si>
  <si>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</si>
  <si>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</si>
  <si>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</si>
  <si>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</si>
  <si>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</si>
  <si>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</si>
  <si>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</si>
  <si>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</si>
  <si>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</si>
  <si>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</si>
  <si>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</si>
  <si>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</si>
  <si>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</si>
  <si>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</si>
  <si>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</si>
  <si>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</si>
  <si>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</si>
  <si>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</si>
  <si>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</si>
  <si>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</si>
  <si>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</si>
  <si>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</si>
  <si>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</si>
  <si>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</si>
  <si>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</si>
  <si>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</si>
  <si>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</si>
  <si>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</si>
  <si>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</si>
  <si>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</si>
  <si>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</si>
  <si>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</si>
  <si>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</si>
  <si>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</si>
  <si>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</si>
  <si>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</si>
  <si>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</si>
  <si>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</si>
  <si>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</si>
  <si>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</si>
  <si>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</si>
  <si>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</si>
  <si>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</si>
  <si>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</si>
  <si>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</si>
  <si>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</si>
  <si>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</si>
  <si>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</si>
  <si>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</si>
  <si>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</si>
  <si>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</si>
  <si>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</si>
  <si>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</si>
  <si>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</si>
  <si>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</si>
  <si>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</si>
  <si>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</si>
  <si>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</si>
  <si>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</si>
  <si>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</si>
  <si>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</si>
  <si>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</si>
  <si>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</si>
  <si>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</si>
  <si>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</si>
  <si>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</si>
  <si>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</si>
  <si>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</si>
  <si>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</si>
  <si>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</si>
  <si>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</si>
  <si>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</si>
  <si>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</si>
  <si>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</si>
  <si>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</si>
  <si>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</si>
  <si>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</si>
  <si>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</si>
  <si>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</si>
  <si>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</si>
  <si>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</si>
  <si>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</si>
  <si>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</si>
  <si>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</si>
  <si>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</si>
  <si>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</si>
  <si>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</si>
  <si>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</si>
  <si>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</si>
  <si>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</si>
  <si>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</si>
  <si>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</si>
  <si>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</si>
  <si>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</si>
  <si>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</si>
  <si>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</si>
  <si>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</si>
  <si>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</si>
  <si>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</si>
  <si>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</si>
  <si>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</si>
  <si>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</si>
  <si>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</si>
  <si>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</si>
  <si>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</si>
  <si>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</si>
  <si>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</si>
  <si>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</si>
  <si>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</si>
  <si>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</si>
  <si>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</si>
  <si>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</si>
  <si>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</si>
  <si>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</si>
  <si>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</si>
  <si>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</si>
  <si>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</si>
  <si>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</si>
  <si>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</si>
  <si>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</si>
  <si>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</si>
  <si>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</si>
  <si>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</si>
  <si>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</si>
  <si>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</si>
  <si>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</si>
  <si>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</si>
  <si>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</si>
  <si>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</si>
  <si>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</si>
  <si>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</si>
  <si>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</si>
  <si>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</si>
  <si>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</si>
  <si>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</si>
  <si>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</si>
  <si>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</si>
  <si>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</si>
  <si>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</si>
  <si>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</si>
  <si>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</si>
  <si>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</si>
  <si>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</si>
  <si>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</si>
  <si>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</si>
  <si>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</si>
  <si>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</si>
  <si>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</si>
  <si>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</si>
  <si>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</si>
  <si>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</si>
  <si>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</si>
  <si>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</si>
  <si>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</si>
  <si>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</si>
  <si>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</si>
  <si>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</si>
  <si>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</si>
  <si>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</si>
  <si>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</si>
  <si>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</si>
  <si>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</si>
  <si>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</si>
  <si>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</si>
  <si>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</si>
  <si>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</si>
  <si>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</si>
  <si>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</si>
  <si>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</si>
  <si>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</si>
  <si>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</si>
  <si>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</si>
  <si>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</si>
  <si>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</si>
  <si>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</si>
  <si>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</si>
  <si>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</si>
  <si>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</si>
  <si>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</si>
  <si>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</si>
  <si>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</si>
  <si>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</si>
  <si>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</si>
  <si>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</si>
  <si>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</si>
  <si>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</si>
  <si>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</si>
  <si>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</si>
  <si>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</si>
  <si>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</si>
  <si>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</si>
  <si>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</si>
  <si>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</si>
  <si>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</si>
  <si>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</si>
  <si>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</si>
  <si>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</si>
  <si>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</si>
  <si>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</si>
  <si>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</si>
  <si>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</si>
  <si>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</si>
  <si>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</si>
  <si>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</si>
  <si>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</si>
  <si>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</si>
  <si>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</si>
  <si>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</si>
  <si>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</si>
  <si>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</si>
  <si>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</si>
  <si>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</si>
  <si>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</si>
  <si>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</si>
  <si>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</si>
  <si>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</si>
  <si>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</si>
  <si>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</si>
  <si>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</si>
  <si>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</si>
  <si>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</si>
  <si>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</si>
  <si>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</si>
  <si>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</si>
  <si>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</si>
  <si>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</si>
  <si>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</si>
  <si>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</si>
  <si>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</si>
  <si>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</si>
  <si>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</si>
  <si>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</si>
  <si>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</si>
  <si>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</si>
  <si>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</si>
  <si>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</si>
  <si>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</si>
  <si>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</si>
  <si>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</si>
  <si>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</si>
  <si>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</si>
  <si>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</si>
  <si>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</si>
  <si>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</si>
  <si>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</si>
  <si>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</si>
  <si>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</si>
  <si>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</si>
  <si>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</si>
  <si>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</si>
  <si>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</si>
  <si>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</si>
  <si>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</si>
  <si>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</si>
  <si>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</si>
  <si>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</si>
  <si>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</si>
  <si>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</si>
  <si>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</si>
  <si>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</si>
  <si>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</si>
  <si>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</si>
  <si>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</si>
  <si>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</si>
  <si>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</si>
  <si>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</si>
  <si>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</si>
  <si>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</si>
  <si>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</si>
  <si>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</si>
  <si>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</si>
  <si>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</si>
  <si>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</si>
  <si>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</si>
  <si>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</si>
  <si>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</si>
  <si>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</si>
  <si>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</si>
  <si>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</si>
  <si>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</si>
  <si>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</si>
  <si>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</si>
  <si>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</si>
  <si>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</si>
  <si>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</si>
  <si>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</si>
  <si>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</si>
  <si>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</si>
  <si>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</si>
  <si>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</si>
  <si>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</si>
  <si>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</si>
  <si>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</si>
  <si>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</si>
  <si>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</si>
  <si>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</si>
  <si>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</si>
  <si>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</si>
  <si>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</si>
  <si>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</si>
  <si>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</si>
  <si>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</si>
  <si>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</si>
  <si>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</si>
  <si>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</si>
  <si>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</si>
  <si>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</si>
  <si>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</si>
  <si>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</si>
  <si>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</si>
  <si>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</si>
  <si>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</si>
  <si>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</si>
  <si>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</si>
  <si>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</si>
  <si>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</si>
  <si>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</si>
  <si>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</si>
  <si>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</si>
  <si>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</si>
  <si>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</si>
  <si>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</si>
  <si>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</si>
  <si>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</si>
  <si>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</si>
  <si>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</si>
  <si>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</si>
  <si>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</si>
  <si>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</si>
  <si>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</si>
  <si>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</si>
  <si>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</si>
  <si>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</si>
  <si>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</si>
  <si>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</si>
  <si>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</si>
  <si>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</si>
  <si>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</si>
  <si>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</si>
  <si>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</si>
  <si>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</si>
  <si>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</si>
  <si>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</si>
  <si>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</si>
  <si>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</si>
  <si>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</si>
  <si>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</si>
  <si>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</si>
  <si>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</si>
  <si>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</si>
  <si>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</si>
  <si>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</si>
  <si>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</si>
  <si>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</si>
  <si>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</si>
  <si>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</si>
  <si>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</si>
  <si>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</si>
  <si>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</si>
  <si>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</si>
  <si>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</si>
  <si>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</si>
  <si>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</si>
  <si>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</si>
  <si>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</si>
  <si>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</si>
  <si>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</si>
  <si>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</si>
  <si>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</si>
  <si>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</si>
  <si>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</si>
  <si>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</si>
  <si>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</si>
  <si>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</si>
  <si>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</si>
  <si>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</si>
  <si>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</si>
  <si>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</si>
  <si>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</si>
  <si>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</si>
  <si>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</si>
  <si>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</si>
  <si>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</si>
  <si>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</si>
  <si>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</si>
  <si>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</si>
  <si>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</si>
  <si>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</si>
  <si>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</si>
  <si>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</si>
  <si>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</si>
  <si>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</si>
  <si>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</si>
  <si>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</si>
  <si>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</si>
  <si>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</si>
  <si>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</si>
  <si>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</si>
  <si>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</si>
  <si>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</si>
  <si>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</si>
  <si>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</si>
  <si>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</si>
  <si>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</si>
  <si>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</si>
  <si>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</si>
  <si>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</si>
  <si>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</si>
  <si>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</si>
  <si>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</si>
  <si>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</si>
  <si>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</si>
  <si>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</si>
  <si>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</si>
  <si>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</si>
  <si>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</si>
  <si>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</si>
  <si>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</si>
  <si>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</si>
  <si>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</si>
  <si>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</si>
  <si>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</si>
  <si>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</si>
  <si>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</si>
  <si>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Booker</t>
  </si>
  <si>
    <t>Valencia Cash And Carry</t>
  </si>
  <si>
    <t xml:space="preserve">Address: Valencia Town </t>
  </si>
  <si>
    <t>Invoice No # :7845</t>
  </si>
  <si>
    <t>NTN #: 7193531-2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</si>
</sst>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498</v>
      </c>
      <c r="F2" s="358"/>
      <c r="G2" s="358"/>
      <c r="H2" s="355" t="s">
        <v>512</v>
      </c>
      <c r="I2" s="355"/>
      <c r="J2" s="356"/>
      <c r="R2" s="352" t="s">
        <v>497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508</v>
      </c>
      <c r="F3" s="362"/>
      <c r="G3" s="362"/>
      <c r="H3" s="359">
        <v>46289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00" t="str">
        <f>+'1'!A6:A6</f>
        <v>Valencia Cash And Carry</v>
      </c>
      <c r="T3" s="301">
        <f>+'1'!P35</f>
        <v>21202.723031694917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Valencia Cash And Carry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Valencia Cash And Carry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Valencia Cash And Carry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209.85000000000002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1815.2024999999999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11.059063347457625</v>
      </c>
      <c r="P7" s="310">
        <f>M7+N7+O7</f>
        <v>2222.8717328389826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Valencia Cash And Carry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209.85000000000002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1815.2024999999999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11.059063347457625</v>
      </c>
      <c r="P8" s="311">
        <f t="shared" ref="P8:P15" si="2">M8+N8+O8</f>
        <v>2222.8717328389826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Valencia Cash And Carry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419.70000000000005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3630.4049999999997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22.118126694915251</v>
      </c>
      <c r="P9" s="311">
        <f t="shared" si="2"/>
        <v>4445.7434656779651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Valencia Cash And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290.56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2513.3440000000001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15.312482711864407</v>
      </c>
      <c r="P10" s="311">
        <f t="shared" si="2"/>
        <v>3077.8090250847458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Valencia Cash And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290.56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2513.3440000000001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15.312482711864407</v>
      </c>
      <c r="P11" s="311">
        <f t="shared" si="2"/>
        <v>3077.8090250847458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Valencia Cash And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581.12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5026.6880000000001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30.624965423728813</v>
      </c>
      <c r="P12" s="311">
        <f t="shared" si="2"/>
        <v>6155.6180501694917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Valencia Cash And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Valencia Cash And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Valencia Cash And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Valencia Cash And Carry</v>
      </c>
      <c r="T15" s="301">
        <f>+'13'!P35</f>
        <v>0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117">
        <f>H16/40</f>
        <v>8</v>
      </c>
      <c r="H16" s="113">
        <f t="shared" ref="H16:M16" si="3">SUM(H7:H15)</f>
        <v>320</v>
      </c>
      <c r="I16" s="114">
        <f t="shared" si="3"/>
        <v>20016.400000000001</v>
      </c>
      <c r="J16" s="274">
        <f>SUM(J7:J15)</f>
        <v>2001.6399999999999</v>
      </c>
      <c r="K16" s="275">
        <f t="shared" si="3"/>
        <v>700.57400000000007</v>
      </c>
      <c r="L16" s="276">
        <f t="shared" si="3"/>
        <v>0</v>
      </c>
      <c r="M16" s="232">
        <f t="shared" si="3"/>
        <v>17314.186000000002</v>
      </c>
      <c r="N16" s="233">
        <f>SUM(N7:N15)</f>
        <v>3783.0508474576263</v>
      </c>
      <c r="O16" s="101">
        <f>SUM(O7:O15)</f>
        <v>105.48618423728813</v>
      </c>
      <c r="P16" s="113">
        <f>SUM(P7:P15)</f>
        <v>21202.723031694914</v>
      </c>
      <c r="Q16" s="128">
        <f>SUM(Q7:Q15)</f>
        <v>0</v>
      </c>
      <c r="R16" s="313">
        <v>14</v>
      </c>
      <c r="S16" s="315" t="str">
        <f>+'14'!A6:A6</f>
        <v>Valencia Cash And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Valencia Cash And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Valencia Cash And Carry</v>
      </c>
      <c r="T18" s="301">
        <f>+'16'!P35</f>
        <v>0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20016.400000000001</v>
      </c>
      <c r="R19" s="299">
        <v>17</v>
      </c>
      <c r="S19" s="300" t="str">
        <f>+'17'!A6:A6</f>
        <v>Valencia Cash And Carry</v>
      </c>
      <c r="T19" s="301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2001.6399999999999</v>
      </c>
      <c r="R20" s="299">
        <v>18</v>
      </c>
      <c r="S20" s="300" t="str">
        <f>+'18'!A6:A6</f>
        <v>Valencia Cash And Carry</v>
      </c>
      <c r="T20" s="301">
        <f>+'18'!P35</f>
        <v>0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700.57400000000007</v>
      </c>
      <c r="R21" s="299">
        <v>19</v>
      </c>
      <c r="S21" s="300" t="str">
        <f>+'19'!A6:A6</f>
        <v>Valencia Cash And Carry</v>
      </c>
      <c r="T21" s="301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17314.186000000002</v>
      </c>
      <c r="R22" s="299">
        <v>20</v>
      </c>
      <c r="S22" s="300" t="str">
        <f>+'20'!A6:A6</f>
        <v>Valencia Cash And Carry</v>
      </c>
      <c r="T22" s="301">
        <f>+'20'!P35</f>
        <v>0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3783.0508474576263</v>
      </c>
      <c r="R23" s="299">
        <v>21</v>
      </c>
      <c r="S23" s="300" t="str">
        <f>+'21'!A6:A6</f>
        <v>Valencia Cash And Carry</v>
      </c>
      <c r="T23" s="301">
        <f>+'21'!P35</f>
        <v>0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21097.236847457629</v>
      </c>
      <c r="R24" s="299">
        <v>22</v>
      </c>
      <c r="S24" s="300" t="str">
        <f>+'22'!A6:A6</f>
        <v>Valencia Cash And Carry</v>
      </c>
      <c r="T24" s="301">
        <f>+'22'!P35</f>
        <v>0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105.48618423728813</v>
      </c>
      <c r="R25" s="299">
        <v>23</v>
      </c>
      <c r="S25" s="300" t="str">
        <f>+'23'!A6:A6</f>
        <v>Valencia Cash And Carry</v>
      </c>
      <c r="T25" s="301">
        <f>+'23'!P35</f>
        <v>0</v>
      </c>
    </row>
    <row r="26" spans="1:20" ht="21.75" customHeight="1" thickBot="1" x14ac:dyDescent="0.4">
      <c r="N26" s="346" t="s">
        <v>88</v>
      </c>
      <c r="O26" s="347"/>
      <c r="P26" s="297">
        <f>+P24+P25</f>
        <v>21202.723031694917</v>
      </c>
      <c r="R26" s="299">
        <v>24</v>
      </c>
      <c r="S26" s="300" t="str">
        <f>+'24'!A6:A6</f>
        <v>Valencia Cash And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00" t="str">
        <f>+'25'!A6:A6</f>
        <v>Valencia Cash And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Valencia Cash And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Valencia Cash And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Valencia Cash And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Valencia Cash And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Valencia Cash And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21202.723031694917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7.2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209.85000000000002</v>
      </c>
      <c r="K16" s="127">
        <f>$I16*T16</f>
        <v>73.447500000000005</v>
      </c>
      <c r="L16" s="118">
        <f>$I16*U16</f>
        <v>0</v>
      </c>
      <c r="M16" s="229">
        <f>I16-SUM(J16:L16)</f>
        <v>1815.2024999999999</v>
      </c>
      <c r="N16" s="248">
        <f>+(G16*D16+H16)*V16</f>
        <v>396.61016949152526</v>
      </c>
      <c r="O16" s="238">
        <f>(N16+M16)*$O$15</f>
        <v>11.059063347457625</v>
      </c>
      <c r="P16" s="118">
        <f>M16+N16+O16</f>
        <v>2222.8717328389826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209.85000000000002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1815.2024999999999</v>
      </c>
      <c r="N17" s="277">
        <f t="shared" ref="N17:N24" si="3">+(G17*D17+H17)*V17</f>
        <v>396.61016949152526</v>
      </c>
      <c r="O17" s="239">
        <f t="shared" ref="O17:O24" si="4">(N17+M17)*$O$15</f>
        <v>11.059063347457625</v>
      </c>
      <c r="P17" s="119">
        <f t="shared" ref="P17:P24" si="5">M17+N17+O17</f>
        <v>2222.8717328389826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419.70000000000005</v>
      </c>
      <c r="K18" s="128">
        <f t="shared" si="1"/>
        <v>146.89500000000001</v>
      </c>
      <c r="L18" s="119">
        <f t="shared" si="1"/>
        <v>0</v>
      </c>
      <c r="M18" s="230">
        <f t="shared" si="2"/>
        <v>3630.4049999999997</v>
      </c>
      <c r="N18" s="277">
        <f t="shared" si="3"/>
        <v>793.22033898305051</v>
      </c>
      <c r="O18" s="239">
        <f t="shared" si="4"/>
        <v>22.118126694915251</v>
      </c>
      <c r="P18" s="119">
        <f t="shared" si="5"/>
        <v>4445.7434656779651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119">
        <f t="shared" si="5"/>
        <v>3077.8090250847458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119">
        <f t="shared" si="5"/>
        <v>3077.8090250847458</v>
      </c>
      <c r="Q20" s="319"/>
      <c r="R20">
        <f>P20/21</f>
        <v>146.56233452784505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581.12</v>
      </c>
      <c r="K21" s="128">
        <f t="shared" si="1"/>
        <v>203.39200000000002</v>
      </c>
      <c r="L21" s="119">
        <f t="shared" si="1"/>
        <v>0</v>
      </c>
      <c r="M21" s="230">
        <f t="shared" si="2"/>
        <v>5026.6880000000001</v>
      </c>
      <c r="N21" s="277">
        <f t="shared" si="3"/>
        <v>1098.3050847457628</v>
      </c>
      <c r="O21" s="239">
        <f t="shared" si="4"/>
        <v>30.624965423728813</v>
      </c>
      <c r="P21" s="119">
        <f t="shared" si="5"/>
        <v>6155.6180501694917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20016.400000000001</v>
      </c>
      <c r="J25" s="274">
        <f>SUM(J16:J24)</f>
        <v>2001.6399999999999</v>
      </c>
      <c r="K25" s="275">
        <f t="shared" si="10"/>
        <v>700.57400000000007</v>
      </c>
      <c r="L25" s="276">
        <f t="shared" si="10"/>
        <v>0</v>
      </c>
      <c r="M25" s="232">
        <f t="shared" si="10"/>
        <v>17314.186000000002</v>
      </c>
      <c r="N25" s="233">
        <f>SUM(N16:N24)</f>
        <v>3783.0508474576263</v>
      </c>
      <c r="O25" s="101">
        <f>SUM(O16:O24)</f>
        <v>105.48618423728813</v>
      </c>
      <c r="P25" s="234">
        <f>SUM(P16:P24)</f>
        <v>21202.723031694914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20016.400000000001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2001.6399999999999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700.57400000000007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17314.186000000002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21097.236847457629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105.48618423728814</v>
      </c>
    </row>
    <row r="35" spans="2:16" ht="15.75" customHeight="1" thickBot="1" x14ac:dyDescent="0.4">
      <c r="N35" s="346" t="s">
        <v>88</v>
      </c>
      <c r="O35" s="347"/>
      <c r="P35" s="297">
        <f>+P33+P34</f>
        <v>21202.723031694917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'1'!N4:P5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46289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46288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Booker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516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46291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46290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2026-09-25T04:41:29Z</dcterms:modified>
</cp:coreProperties>
</file>