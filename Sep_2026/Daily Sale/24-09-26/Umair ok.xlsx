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DDB90B7-7CC1-4511-9F01-AC0F778C5BED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<sst xmlns="http://schemas.openxmlformats.org/spreadsheetml/2006/main" count="3948" uniqueCount="521">
  <si>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</si>
  <si>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</si>
  <si>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</si>
  <si>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</si>
  <si>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</si>
  <si>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</si>
  <si>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</si>
  <si>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</si>
  <si>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</si>
  <si>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</si>
  <si>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</si>
  <si>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</si>
  <si>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</si>
  <si>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</si>
  <si>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</si>
  <si>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</si>
  <si>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</si>
  <si>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</si>
  <si>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</si>
  <si>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</si>
  <si>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</si>
  <si>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</si>
  <si>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</si>
  <si>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</si>
  <si>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</si>
  <si>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</si>
  <si>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</si>
  <si>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</si>
  <si>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</si>
  <si>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</si>
  <si>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</si>
  <si>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</si>
  <si>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</si>
  <si>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</si>
  <si>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</si>
  <si>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</si>
  <si>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</si>
  <si>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</si>
  <si>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</si>
  <si>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</si>
  <si>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</si>
  <si>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</si>
  <si>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</si>
  <si>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</si>
  <si>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</si>
  <si>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</si>
  <si>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</si>
  <si>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</si>
  <si>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</si>
  <si>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</si>
  <si>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</si>
  <si>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</si>
  <si>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</si>
  <si>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</si>
  <si>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</si>
  <si>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</si>
  <si>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</si>
  <si>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</si>
  <si>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</si>
  <si>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</si>
  <si>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</si>
  <si>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</si>
  <si>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</si>
  <si>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</si>
  <si>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</si>
  <si>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</si>
  <si>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</si>
  <si>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</si>
  <si>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</si>
  <si>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</si>
  <si>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</si>
  <si>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</si>
  <si>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</si>
  <si>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</si>
  <si>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</si>
  <si>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</si>
  <si>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</si>
  <si>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</si>
  <si>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</si>
  <si>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</si>
  <si>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</si>
  <si>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</si>
  <si>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</si>
  <si>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</si>
  <si>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</si>
  <si>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</si>
  <si>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</si>
  <si>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</si>
  <si>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</si>
  <si>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</si>
  <si>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</si>
  <si>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</si>
  <si>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</si>
  <si>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</si>
  <si>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</si>
  <si>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</si>
  <si>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</si>
  <si>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</si>
  <si>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</si>
  <si>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</si>
  <si>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</si>
  <si>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</si>
  <si>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</si>
  <si>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</si>
  <si>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</si>
  <si>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</si>
  <si>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</si>
  <si>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</si>
  <si>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</si>
  <si>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</si>
  <si>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</si>
  <si>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</si>
  <si>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</si>
  <si>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</si>
  <si>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</si>
  <si>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</si>
  <si>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</si>
  <si>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</si>
  <si>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</si>
  <si>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</si>
  <si>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</si>
  <si>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</si>
  <si>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</si>
  <si>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</si>
  <si>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</si>
  <si>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</si>
  <si>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</si>
  <si>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</si>
  <si>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</si>
  <si>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</si>
  <si>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</si>
  <si>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</si>
  <si>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</si>
  <si>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</si>
  <si>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</si>
  <si>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</si>
  <si>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</si>
  <si>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</si>
  <si>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</si>
  <si>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</si>
  <si>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</si>
  <si>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</si>
  <si>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</si>
  <si>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</si>
  <si>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</si>
  <si>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</si>
  <si>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</si>
  <si>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</si>
  <si>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</si>
  <si>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</si>
  <si>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</si>
  <si>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</si>
  <si>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</si>
  <si>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</si>
  <si>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</si>
  <si>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</si>
  <si>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</si>
  <si>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</si>
  <si>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</si>
  <si>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</si>
  <si>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</si>
  <si>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</si>
  <si>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</si>
  <si>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</si>
  <si>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</si>
  <si>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</si>
  <si>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</si>
  <si>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</si>
  <si>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</si>
  <si>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</si>
  <si>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</si>
  <si>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</si>
  <si>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</si>
  <si>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</si>
  <si>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</si>
  <si>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</si>
  <si>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</si>
  <si>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</si>
  <si>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</si>
  <si>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</si>
  <si>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</si>
  <si>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</si>
  <si>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</si>
  <si>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</si>
  <si>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</si>
  <si>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</si>
  <si>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</si>
  <si>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</si>
  <si>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</si>
  <si>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</si>
  <si>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</si>
  <si>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</si>
  <si>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</si>
  <si>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</si>
  <si>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</si>
  <si>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</si>
  <si>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</si>
  <si>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</si>
  <si>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</si>
  <si>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</si>
  <si>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</si>
  <si>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</si>
  <si>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</si>
  <si>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</si>
  <si>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</si>
  <si>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</si>
  <si>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</si>
  <si>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</si>
  <si>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</si>
  <si>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</si>
  <si>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</si>
  <si>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</si>
  <si>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</si>
  <si>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</si>
  <si>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</si>
  <si>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</si>
  <si>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</si>
  <si>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</si>
  <si>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</si>
  <si>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</si>
  <si>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</si>
  <si>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</si>
  <si>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</si>
  <si>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</si>
  <si>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</si>
  <si>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</si>
  <si>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</si>
  <si>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</si>
  <si>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</si>
  <si>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</si>
  <si>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</si>
  <si>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</si>
  <si>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</si>
  <si>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</si>
  <si>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</si>
  <si>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</si>
  <si>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</si>
  <si>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</si>
  <si>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</si>
  <si>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</si>
  <si>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</si>
  <si>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</si>
  <si>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</si>
  <si>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</si>
  <si>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</si>
  <si>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</si>
  <si>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</si>
  <si>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</si>
  <si>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</si>
  <si>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</si>
  <si>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</si>
  <si>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</si>
  <si>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</si>
  <si>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</si>
  <si>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</si>
  <si>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</si>
  <si>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</si>
  <si>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</si>
  <si>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</si>
  <si>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</si>
  <si>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</si>
  <si>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</si>
  <si>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</si>
  <si>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</si>
  <si>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</si>
  <si>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</si>
  <si>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</si>
  <si>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</si>
  <si>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</si>
  <si>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</si>
  <si>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</si>
  <si>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</si>
  <si>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</si>
  <si>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</si>
  <si>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</si>
  <si>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</si>
  <si>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</si>
  <si>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</si>
  <si>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</si>
  <si>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</si>
  <si>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</si>
  <si>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</si>
  <si>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</si>
  <si>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</si>
  <si>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</si>
  <si>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</si>
  <si>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</si>
  <si>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</si>
  <si>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</si>
  <si>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</si>
  <si>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</si>
  <si>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</si>
  <si>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</si>
  <si>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</si>
  <si>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</si>
  <si>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</si>
  <si>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</si>
  <si>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</si>
  <si>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</si>
  <si>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</si>
  <si>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</si>
  <si>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</si>
  <si>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</si>
  <si>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</si>
  <si>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</si>
  <si>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</si>
  <si>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</si>
  <si>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</si>
  <si>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</si>
  <si>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</si>
  <si>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</si>
  <si>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</si>
  <si>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</si>
  <si>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</si>
  <si>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</si>
  <si>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</si>
  <si>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</si>
  <si>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</si>
  <si>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</si>
  <si>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</si>
  <si>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</si>
  <si>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</si>
  <si>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</si>
  <si>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</si>
  <si>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</si>
  <si>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</si>
  <si>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</si>
  <si>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</si>
  <si>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</si>
  <si>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</si>
  <si>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</si>
  <si>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</si>
  <si>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</si>
  <si>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</si>
  <si>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</si>
  <si>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</si>
  <si>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</si>
  <si>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</si>
  <si>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</si>
  <si>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</si>
  <si>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</si>
  <si>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</si>
  <si>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</si>
  <si>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</si>
  <si>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</si>
  <si>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</si>
  <si>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</si>
  <si>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</si>
  <si>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</si>
  <si>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</si>
  <si>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</si>
  <si>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</si>
  <si>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</si>
  <si>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</si>
  <si>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</si>
  <si>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</si>
  <si>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</si>
  <si>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</si>
  <si>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</si>
  <si>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</si>
  <si>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</si>
  <si>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</si>
  <si>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</si>
  <si>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</si>
  <si>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</si>
  <si>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</si>
  <si>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</si>
  <si>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</si>
  <si>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</si>
  <si>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</si>
  <si>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</si>
  <si>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</si>
  <si>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</si>
  <si>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</si>
  <si>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</si>
  <si>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</si>
  <si>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</si>
  <si>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</si>
  <si>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</si>
  <si>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</si>
  <si>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</si>
  <si>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</si>
  <si>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</si>
  <si>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</si>
  <si>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</si>
  <si>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</si>
  <si>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</si>
  <si>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</si>
  <si>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</si>
  <si>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</si>
  <si>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</si>
  <si>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</si>
  <si>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</si>
  <si>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</si>
  <si>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</si>
  <si>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</si>
  <si>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</si>
  <si>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</si>
  <si>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</si>
  <si>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</si>
  <si>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</si>
  <si>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</si>
  <si>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</si>
  <si>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</si>
  <si>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</si>
  <si>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</si>
  <si>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</si>
  <si>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</si>
  <si>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</si>
  <si>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</si>
  <si>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</si>
  <si>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</si>
  <si>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</si>
  <si>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</si>
  <si>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</si>
  <si>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</si>
  <si>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</si>
  <si>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</si>
  <si>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</si>
  <si>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</si>
  <si>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</si>
  <si>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</si>
  <si>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</si>
  <si>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</si>
  <si>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</si>
  <si>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</si>
  <si>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</si>
  <si>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</si>
  <si>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</si>
  <si>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</si>
  <si>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</si>
  <si>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</si>
  <si>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</si>
  <si>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</si>
  <si>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</si>
  <si>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</si>
  <si>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</si>
  <si>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</si>
  <si>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</si>
  <si>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</si>
  <si>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</si>
  <si>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</si>
  <si>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</si>
  <si>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</si>
  <si>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</si>
  <si>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</si>
  <si>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</si>
  <si>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</si>
  <si>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</si>
  <si>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</si>
  <si>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</si>
  <si>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</si>
  <si>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</si>
  <si>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</si>
  <si>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</si>
  <si>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</si>
  <si>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</si>
  <si>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</si>
  <si>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</si>
  <si>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</si>
  <si>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</si>
  <si>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</si>
  <si>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</si>
  <si>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</si>
  <si>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</si>
  <si>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</si>
  <si>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</si>
  <si>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</si>
  <si>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</si>
  <si>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</si>
  <si>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</si>
  <si>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</si>
  <si>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</si>
  <si>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</si>
  <si>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</si>
  <si>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</si>
  <si>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</si>
  <si>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</si>
  <si>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</si>
  <si>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</si>
  <si>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</si>
  <si>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</si>
  <si>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</si>
  <si>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</si>
  <si>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</si>
  <si>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</si>
  <si>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</si>
  <si>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</si>
  <si>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</si>
  <si>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</si>
  <si>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</si>
  <si>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</si>
  <si>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</si>
  <si>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</si>
  <si>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</si>
  <si>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</si>
  <si>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</si>
  <si>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</si>
  <si>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</si>
  <si>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</si>
  <si>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</si>
  <si>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</si>
  <si>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</si>
  <si>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</si>
  <si>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</si>
  <si>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</si>
  <si>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</si>
  <si>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</si>
  <si>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</si>
  <si>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</si>
  <si>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</si>
  <si>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</si>
  <si>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</si>
  <si>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</si>
  <si>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 xml:space="preserve">M.s Mart </t>
  </si>
  <si>
    <t>Address: Shahdab Colony</t>
  </si>
  <si>
    <t>Bhati Store</t>
  </si>
  <si>
    <t xml:space="preserve">KK Mart </t>
  </si>
  <si>
    <t xml:space="preserve">Alhamd Bakers </t>
  </si>
  <si>
    <t xml:space="preserve">A1 Bakers </t>
  </si>
  <si>
    <t>Address: Nashter Bazar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</si>
</sst>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Q7" sqref="Q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46289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M.s Mart </v>
      </c>
      <c r="T3" s="301">
        <f>+'1'!P35</f>
        <v>5401.2631679237275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Bhati Store</v>
      </c>
      <c r="T4" s="301">
        <f>+'2'!P35</f>
        <v>2265.051582838983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KK Mart </v>
      </c>
      <c r="T5" s="301">
        <f>+'3'!P35</f>
        <v>6272.4231701694916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Alhamd Bakers </v>
      </c>
      <c r="T6" s="301">
        <f>+'4'!P35</f>
        <v>2265.051582838983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29</v>
      </c>
      <c r="I7" s="235">
        <f>(G7*D7)*F7+H7*F7</f>
        <v>1521.4124999999999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121.71299999999999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53.249437500000006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1346.4500624999998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287.54237288135579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8.169962176906779</v>
      </c>
      <c r="P7" s="310">
        <f>M7+N7+O7</f>
        <v>1642.1623975582625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A1 Bakers </v>
      </c>
      <c r="T7" s="301">
        <f>+'5'!P35</f>
        <v>3136.2115850847463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24</v>
      </c>
      <c r="I8" s="236">
        <f t="shared" ref="I8:I14" si="0">(G8*D8)*F8+H8*F8</f>
        <v>1259.0999999999999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100.72799999999999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44.0685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1114.3035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237.96610169491515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6.7613480084745756</v>
      </c>
      <c r="P8" s="311">
        <f t="shared" ref="P8:P15" si="2">M8+N8+O8</f>
        <v>1359.0309497033898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67</v>
      </c>
      <c r="I9" s="236">
        <f t="shared" si="0"/>
        <v>3514.9874999999997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281.19899999999996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123.0245625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3110.7639374999999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664.32203389830477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18.875429856991524</v>
      </c>
      <c r="P9" s="311">
        <f t="shared" si="2"/>
        <v>3793.9614012552961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39</v>
      </c>
      <c r="I10" s="236">
        <f t="shared" si="0"/>
        <v>2832.96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226.63679999999999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99.153600000000012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2507.1696000000002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535.42372881355936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15.212966644067798</v>
      </c>
      <c r="P10" s="311">
        <f t="shared" si="2"/>
        <v>3057.8062954576271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34</v>
      </c>
      <c r="I11" s="236">
        <f t="shared" si="0"/>
        <v>2469.7600000000002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197.58080000000001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86.441600000000008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2185.7376000000004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466.77966101694921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13.262586305084747</v>
      </c>
      <c r="P11" s="311">
        <f t="shared" si="2"/>
        <v>2665.7798473220346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87</v>
      </c>
      <c r="I12" s="236">
        <f t="shared" si="0"/>
        <v>6319.68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505.57439999999997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221.18880000000001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5592.9168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1194.406779661017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33.936617898305087</v>
      </c>
      <c r="P12" s="311">
        <f t="shared" si="2"/>
        <v>6821.2601975593225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7</v>
      </c>
      <c r="H16" s="113">
        <f t="shared" ref="H16:M16" si="3">SUM(H7:H15)</f>
        <v>280</v>
      </c>
      <c r="I16" s="114">
        <f t="shared" si="3"/>
        <v>17917.900000000001</v>
      </c>
      <c r="J16" s="274">
        <f>SUM(J7:J15)</f>
        <v>1433.4319999999998</v>
      </c>
      <c r="K16" s="275">
        <f t="shared" si="3"/>
        <v>627.12650000000008</v>
      </c>
      <c r="L16" s="276">
        <f t="shared" si="3"/>
        <v>0</v>
      </c>
      <c r="M16" s="232">
        <f t="shared" si="3"/>
        <v>15857.341499999999</v>
      </c>
      <c r="N16" s="233">
        <f>SUM(N7:N15)</f>
        <v>3386.4406779661012</v>
      </c>
      <c r="O16" s="101">
        <f>SUM(O7:O15)</f>
        <v>96.218910889830511</v>
      </c>
      <c r="P16" s="113">
        <f>SUM(P7:P15)</f>
        <v>19340.001088855934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17917.900000000001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1433.4319999999998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627.12650000000008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15857.3415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3386.4406779661012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19243.782177966103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96.218910889830511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19340.001088855934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19340.001088855934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8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13</v>
      </c>
      <c r="I18" s="236">
        <f t="shared" ref="I18:I21" si="7">(G18*D18)*F18+H18*F18</f>
        <v>682.01249999999993</v>
      </c>
      <c r="J18" s="272">
        <f t="shared" si="1"/>
        <v>54.560999999999993</v>
      </c>
      <c r="K18" s="128">
        <f t="shared" si="1"/>
        <v>23.870437500000001</v>
      </c>
      <c r="L18" s="119">
        <f t="shared" si="1"/>
        <v>0</v>
      </c>
      <c r="M18" s="230">
        <f t="shared" si="2"/>
        <v>603.58106249999992</v>
      </c>
      <c r="N18" s="277">
        <f t="shared" si="3"/>
        <v>128.89830508474572</v>
      </c>
      <c r="O18" s="239">
        <f t="shared" si="4"/>
        <v>3.6623968379237284</v>
      </c>
      <c r="P18" s="119">
        <f t="shared" si="5"/>
        <v>736.14176442266944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7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7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119">
        <f t="shared" si="5"/>
        <v>1019.2687651525424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5004.0999999999995</v>
      </c>
      <c r="J25" s="274">
        <f>SUM(J16:J24)</f>
        <v>400.32799999999997</v>
      </c>
      <c r="K25" s="275">
        <f t="shared" si="10"/>
        <v>175.14350000000002</v>
      </c>
      <c r="L25" s="276">
        <f t="shared" si="10"/>
        <v>0</v>
      </c>
      <c r="M25" s="232">
        <f t="shared" si="10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5004.0999999999995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400.32799999999997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4428.6284999999989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5374.3912118644057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26.871956059322031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60</v>
      </c>
      <c r="I21" s="236">
        <f t="shared" si="0"/>
        <v>4358.3999999999996</v>
      </c>
      <c r="J21" s="272">
        <f t="shared" si="1"/>
        <v>348.67199999999997</v>
      </c>
      <c r="K21" s="128">
        <f t="shared" si="1"/>
        <v>152.54400000000001</v>
      </c>
      <c r="L21" s="119">
        <f t="shared" si="1"/>
        <v>0</v>
      </c>
      <c r="M21" s="230">
        <f t="shared" si="2"/>
        <v>3857.1839999999997</v>
      </c>
      <c r="N21" s="277">
        <f t="shared" si="3"/>
        <v>823.72881355932213</v>
      </c>
      <c r="O21" s="239">
        <f t="shared" si="4"/>
        <v>23.40456406779661</v>
      </c>
      <c r="P21" s="119">
        <f t="shared" si="5"/>
        <v>4704.3173776271187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464.89599999999996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234">
        <f>SUM(P16:P24)</f>
        <v>6272.4231701694916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464.89599999999996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203.39200000000002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5142.9120000000003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6241.2170847457628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45" t="s">
        <v>88</v>
      </c>
      <c r="O35" s="346"/>
      <c r="P35" s="297">
        <f>+P33+P34</f>
        <v>6272.4231701694916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14</v>
      </c>
      <c r="I16" s="235">
        <f>(G16*D16)*F16+H16*F16</f>
        <v>734.47500000000002</v>
      </c>
      <c r="J16" s="271">
        <f>$I16*S16</f>
        <v>58.758000000000003</v>
      </c>
      <c r="K16" s="127">
        <f>$I16*T16</f>
        <v>25.706625000000003</v>
      </c>
      <c r="L16" s="118">
        <f>$I16*U16</f>
        <v>0</v>
      </c>
      <c r="M16" s="229">
        <f>I16-SUM(J16:L16)</f>
        <v>650.01037500000007</v>
      </c>
      <c r="N16" s="248">
        <f>+(G16*D16+H16)*V16</f>
        <v>138.81355932203383</v>
      </c>
      <c r="O16" s="238">
        <f>(N16+M16)*$O$15</f>
        <v>3.9441196716101694</v>
      </c>
      <c r="P16" s="118">
        <f>M16+N16+O16</f>
        <v>792.76805399364412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14</v>
      </c>
      <c r="I18" s="236">
        <f t="shared" si="0"/>
        <v>734.47500000000002</v>
      </c>
      <c r="J18" s="272">
        <f t="shared" si="1"/>
        <v>58.758000000000003</v>
      </c>
      <c r="K18" s="128">
        <f t="shared" si="1"/>
        <v>25.706625000000003</v>
      </c>
      <c r="L18" s="119">
        <f t="shared" si="1"/>
        <v>0</v>
      </c>
      <c r="M18" s="230">
        <f t="shared" si="2"/>
        <v>650.01037500000007</v>
      </c>
      <c r="N18" s="277">
        <f t="shared" si="3"/>
        <v>138.81355932203383</v>
      </c>
      <c r="O18" s="239">
        <f t="shared" si="4"/>
        <v>3.9441196716101694</v>
      </c>
      <c r="P18" s="119">
        <f t="shared" si="5"/>
        <v>792.76805399364412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14</v>
      </c>
      <c r="I19" s="236">
        <f t="shared" si="0"/>
        <v>1016.96</v>
      </c>
      <c r="J19" s="272">
        <f t="shared" si="1"/>
        <v>81.356800000000007</v>
      </c>
      <c r="K19" s="128">
        <f t="shared" si="1"/>
        <v>35.593600000000002</v>
      </c>
      <c r="L19" s="119">
        <f t="shared" si="1"/>
        <v>0</v>
      </c>
      <c r="M19" s="230">
        <f t="shared" si="2"/>
        <v>900.00960000000009</v>
      </c>
      <c r="N19" s="277">
        <f t="shared" si="3"/>
        <v>192.20338983050848</v>
      </c>
      <c r="O19" s="239">
        <f t="shared" si="4"/>
        <v>5.4610649491525427</v>
      </c>
      <c r="P19" s="119">
        <f t="shared" si="5"/>
        <v>1097.6740547796612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</v>
      </c>
      <c r="I21" s="236">
        <f t="shared" si="0"/>
        <v>1016.96</v>
      </c>
      <c r="J21" s="272">
        <f t="shared" si="1"/>
        <v>81.356800000000007</v>
      </c>
      <c r="K21" s="128">
        <f t="shared" si="1"/>
        <v>35.593600000000002</v>
      </c>
      <c r="L21" s="119">
        <f t="shared" si="1"/>
        <v>0</v>
      </c>
      <c r="M21" s="230">
        <f t="shared" si="2"/>
        <v>900.00960000000009</v>
      </c>
      <c r="N21" s="277">
        <f t="shared" si="3"/>
        <v>192.20338983050848</v>
      </c>
      <c r="O21" s="239">
        <f t="shared" si="4"/>
        <v>5.4610649491525427</v>
      </c>
      <c r="P21" s="119">
        <f t="shared" si="5"/>
        <v>1097.6740547796612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232.44800000000004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3136.2115850847463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3136.2115850847463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46290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46289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2026-09-24T09:55:30Z</dcterms:modified>
</cp:coreProperties>
</file>