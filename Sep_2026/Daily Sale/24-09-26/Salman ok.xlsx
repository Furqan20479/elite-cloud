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CFABCDB-3DFA-4D25-AA3B-68FC0F8AD117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4" l="1"/>
  <c r="O17" i="44" s="1"/>
  <c r="P17" i="44" s="1"/>
  <c r="M21" i="53"/>
  <c r="O21" i="53" s="1"/>
  <c r="P21" i="53" s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48" l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<sst xmlns="http://schemas.openxmlformats.org/spreadsheetml/2006/main" count="3948" uniqueCount="536">
  <si>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</si>
  <si>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</si>
  <si>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</si>
  <si>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</si>
  <si>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</si>
  <si>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</si>
  <si>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</si>
  <si>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</si>
  <si>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</si>
  <si>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</si>
  <si>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</si>
  <si>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</si>
  <si>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</si>
  <si>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</si>
  <si>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</si>
  <si>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</si>
  <si>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</si>
  <si>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</si>
  <si>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</si>
  <si>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</si>
  <si>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</si>
  <si>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</si>
  <si>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</si>
  <si>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</si>
  <si>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</si>
  <si>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</si>
  <si>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</si>
  <si>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</si>
  <si>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</si>
  <si>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</si>
  <si>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</si>
  <si>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</si>
  <si>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</si>
  <si>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</si>
  <si>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</si>
  <si>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</si>
  <si>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</si>
  <si>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</si>
  <si>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</si>
  <si>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</si>
  <si>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</si>
  <si>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</si>
  <si>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</si>
  <si>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</si>
  <si>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</si>
  <si>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</si>
  <si>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</si>
  <si>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</si>
  <si>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</si>
  <si>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</si>
  <si>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</si>
  <si>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</si>
  <si>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</si>
  <si>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</si>
  <si>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</si>
  <si>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</si>
  <si>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</si>
  <si>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</si>
  <si>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</si>
  <si>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</si>
  <si>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</si>
  <si>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</si>
  <si>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</si>
  <si>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</si>
  <si>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</si>
  <si>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</si>
  <si>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</si>
  <si>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</si>
  <si>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</si>
  <si>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</si>
  <si>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</si>
  <si>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</si>
  <si>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</si>
  <si>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</si>
  <si>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</si>
  <si>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</si>
  <si>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</si>
  <si>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</si>
  <si>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</si>
  <si>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</si>
  <si>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</si>
  <si>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</si>
  <si>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</si>
  <si>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</si>
  <si>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</si>
  <si>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</si>
  <si>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</si>
  <si>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</si>
  <si>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</si>
  <si>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</si>
  <si>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</si>
  <si>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</si>
  <si>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</si>
  <si>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</si>
  <si>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</si>
  <si>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</si>
  <si>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</si>
  <si>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</si>
  <si>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</si>
  <si>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</si>
  <si>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</si>
  <si>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</si>
  <si>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</si>
  <si>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</si>
  <si>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</si>
  <si>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</si>
  <si>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</si>
  <si>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</si>
  <si>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</si>
  <si>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</si>
  <si>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</si>
  <si>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</si>
  <si>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</si>
  <si>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</si>
  <si>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</si>
  <si>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</si>
  <si>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</si>
  <si>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</si>
  <si>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</si>
  <si>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</si>
  <si>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</si>
  <si>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</si>
  <si>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</si>
  <si>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</si>
  <si>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</si>
  <si>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</si>
  <si>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</si>
  <si>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</si>
  <si>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</si>
  <si>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</si>
  <si>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</si>
  <si>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</si>
  <si>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</si>
  <si>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</si>
  <si>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</si>
  <si>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</si>
  <si>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</si>
  <si>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</si>
  <si>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</si>
  <si>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</si>
  <si>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</si>
  <si>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</si>
  <si>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</si>
  <si>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</si>
  <si>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</si>
  <si>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</si>
  <si>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</si>
  <si>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</si>
  <si>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</si>
  <si>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</si>
  <si>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</si>
  <si>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</si>
  <si>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</si>
  <si>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</si>
  <si>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</si>
  <si>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</si>
  <si>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</si>
  <si>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</si>
  <si>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</si>
  <si>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</si>
  <si>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</si>
  <si>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</si>
  <si>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</si>
  <si>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</si>
  <si>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</si>
  <si>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</si>
  <si>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</si>
  <si>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</si>
  <si>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</si>
  <si>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</si>
  <si>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</si>
  <si>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</si>
  <si>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</si>
  <si>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</si>
  <si>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</si>
  <si>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</si>
  <si>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</si>
  <si>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</si>
  <si>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</si>
  <si>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</si>
  <si>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</si>
  <si>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</si>
  <si>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</si>
  <si>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</si>
  <si>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</si>
  <si>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</si>
  <si>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</si>
  <si>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</si>
  <si>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</si>
  <si>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</si>
  <si>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</si>
  <si>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</si>
  <si>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</si>
  <si>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</si>
  <si>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</si>
  <si>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</si>
  <si>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</si>
  <si>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</si>
  <si>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</si>
  <si>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</si>
  <si>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</si>
  <si>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</si>
  <si>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</si>
  <si>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</si>
  <si>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</si>
  <si>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</si>
  <si>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</si>
  <si>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</si>
  <si>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</si>
  <si>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</si>
  <si>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</si>
  <si>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</si>
  <si>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</si>
  <si>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</si>
  <si>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</si>
  <si>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</si>
  <si>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</si>
  <si>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</si>
  <si>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</si>
  <si>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</si>
  <si>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</si>
  <si>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</si>
  <si>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</si>
  <si>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</si>
  <si>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</si>
  <si>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</si>
  <si>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</si>
  <si>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</si>
  <si>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</si>
  <si>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</si>
  <si>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</si>
  <si>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</si>
  <si>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</si>
  <si>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</si>
  <si>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</si>
  <si>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</si>
  <si>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</si>
  <si>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</si>
  <si>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</si>
  <si>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</si>
  <si>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</si>
  <si>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</si>
  <si>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</si>
  <si>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</si>
  <si>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</si>
  <si>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</si>
  <si>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</si>
  <si>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</si>
  <si>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</si>
  <si>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</si>
  <si>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</si>
  <si>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</si>
  <si>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</si>
  <si>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</si>
  <si>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</si>
  <si>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</si>
  <si>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</si>
  <si>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</si>
  <si>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</si>
  <si>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</si>
  <si>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</si>
  <si>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</si>
  <si>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</si>
  <si>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</si>
  <si>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</si>
  <si>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</si>
  <si>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</si>
  <si>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</si>
  <si>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</si>
  <si>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</si>
  <si>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</si>
  <si>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</si>
  <si>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</si>
  <si>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</si>
  <si>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</si>
  <si>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</si>
  <si>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</si>
  <si>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</si>
  <si>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</si>
  <si>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</si>
  <si>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</si>
  <si>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</si>
  <si>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</si>
  <si>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</si>
  <si>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</si>
  <si>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</si>
  <si>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</si>
  <si>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</si>
  <si>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</si>
  <si>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</si>
  <si>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</si>
  <si>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</si>
  <si>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</si>
  <si>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</si>
  <si>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</si>
  <si>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</si>
  <si>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</si>
  <si>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</si>
  <si>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</si>
  <si>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</si>
  <si>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</si>
  <si>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</si>
  <si>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</si>
  <si>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</si>
  <si>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</si>
  <si>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</si>
  <si>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</si>
  <si>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</si>
  <si>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</si>
  <si>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</si>
  <si>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</si>
  <si>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</si>
  <si>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</si>
  <si>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</si>
  <si>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</si>
  <si>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</si>
  <si>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</si>
  <si>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</si>
  <si>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</si>
  <si>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</si>
  <si>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</si>
  <si>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</si>
  <si>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</si>
  <si>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</si>
  <si>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</si>
  <si>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</si>
  <si>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</si>
  <si>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</si>
  <si>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</si>
  <si>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</si>
  <si>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</si>
  <si>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</si>
  <si>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</si>
  <si>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</si>
  <si>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</si>
  <si>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</si>
  <si>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</si>
  <si>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</si>
  <si>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</si>
  <si>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</si>
  <si>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</si>
  <si>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</si>
  <si>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</si>
  <si>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</si>
  <si>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</si>
  <si>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</si>
  <si>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</si>
  <si>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</si>
  <si>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</si>
  <si>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</si>
  <si>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</si>
  <si>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</si>
  <si>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</si>
  <si>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</si>
  <si>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</si>
  <si>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</si>
  <si>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</si>
  <si>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</si>
  <si>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</si>
  <si>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</si>
  <si>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</si>
  <si>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</si>
  <si>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</si>
  <si>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</si>
  <si>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</si>
  <si>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</si>
  <si>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</si>
  <si>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</si>
  <si>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</si>
  <si>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</si>
  <si>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</si>
  <si>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</si>
  <si>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</si>
  <si>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</si>
  <si>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</si>
  <si>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</si>
  <si>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</si>
  <si>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</si>
  <si>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</si>
  <si>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</si>
  <si>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</si>
  <si>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</si>
  <si>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</si>
  <si>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</si>
  <si>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</si>
  <si>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</si>
  <si>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</si>
  <si>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</si>
  <si>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</si>
  <si>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</si>
  <si>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</si>
  <si>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</si>
  <si>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</si>
  <si>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</si>
  <si>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</si>
  <si>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</si>
  <si>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</si>
  <si>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</si>
  <si>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</si>
  <si>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</si>
  <si>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</si>
  <si>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</si>
  <si>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</si>
  <si>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</si>
  <si>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</si>
  <si>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</si>
  <si>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</si>
  <si>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</si>
  <si>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</si>
  <si>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</si>
  <si>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</si>
  <si>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</si>
  <si>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</si>
  <si>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</si>
  <si>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</si>
  <si>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</si>
  <si>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</si>
  <si>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</si>
  <si>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</si>
  <si>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</si>
  <si>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</si>
  <si>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</si>
  <si>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</si>
  <si>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</si>
  <si>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</si>
  <si>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</si>
  <si>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</si>
  <si>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</si>
  <si>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</si>
  <si>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</si>
  <si>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</si>
  <si>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</si>
  <si>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</si>
  <si>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</si>
  <si>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</si>
  <si>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</si>
  <si>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</si>
  <si>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</si>
  <si>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</si>
  <si>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</si>
  <si>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</si>
  <si>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</si>
  <si>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</si>
  <si>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</si>
  <si>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</si>
  <si>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</si>
  <si>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</si>
  <si>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</si>
  <si>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</si>
  <si>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</si>
  <si>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</si>
  <si>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</si>
  <si>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</si>
  <si>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</si>
  <si>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</si>
  <si>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</si>
  <si>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</si>
  <si>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</si>
  <si>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</si>
  <si>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</si>
  <si>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</si>
  <si>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</si>
  <si>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</si>
  <si>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</si>
  <si>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</si>
  <si>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</si>
  <si>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</si>
  <si>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</si>
  <si>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</si>
  <si>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</si>
  <si>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</si>
  <si>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</si>
  <si>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</si>
  <si>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</si>
  <si>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</si>
  <si>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</si>
  <si>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</si>
  <si>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</si>
  <si>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</si>
  <si>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</si>
  <si>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</si>
  <si>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</si>
  <si>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</si>
  <si>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</si>
  <si>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</si>
  <si>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</si>
  <si>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</si>
  <si>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</si>
  <si>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</si>
  <si>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</si>
  <si>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</si>
  <si>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</si>
  <si>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</si>
  <si>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</si>
  <si>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</si>
  <si>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</si>
  <si>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</si>
  <si>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</si>
  <si>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</si>
  <si>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</si>
  <si>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</si>
  <si>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</si>
  <si>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</si>
  <si>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</si>
  <si>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</si>
  <si>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</si>
  <si>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</si>
  <si>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</si>
  <si>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</si>
  <si>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</si>
  <si>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</si>
  <si>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</si>
  <si>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</si>
  <si>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Salman</t>
  </si>
  <si>
    <t>Karam Store</t>
  </si>
  <si>
    <t xml:space="preserve">Address: Tajbagh </t>
  </si>
  <si>
    <t>Marwa Mart 2</t>
  </si>
  <si>
    <t>Ideal Cash carry</t>
  </si>
  <si>
    <t>Shahbaz Store</t>
  </si>
  <si>
    <t>Touseef Store</t>
  </si>
  <si>
    <t>Yasir Store</t>
  </si>
  <si>
    <t>Khattak Store</t>
  </si>
  <si>
    <t>Awan Store</t>
  </si>
  <si>
    <t>Madina Store</t>
  </si>
  <si>
    <t>Khan Store</t>
  </si>
  <si>
    <t>786 Store</t>
  </si>
  <si>
    <t>Shah GS</t>
  </si>
  <si>
    <t>United Store</t>
  </si>
  <si>
    <t>Sarwer Store</t>
  </si>
  <si>
    <t>Abid Store</t>
  </si>
  <si>
    <t>Usman Store</t>
  </si>
  <si>
    <t>Classic Store</t>
  </si>
  <si>
    <t>Nouman Store</t>
  </si>
  <si>
    <t>Askari Store</t>
  </si>
  <si>
    <t>Al Raya Store</t>
  </si>
  <si>
    <t>Waqas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</si>
</sst>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13" workbookViewId="0">
      <selection activeCell="S23" sqref="S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Karam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Marwa Mart 2</v>
      </c>
      <c r="T4" s="301">
        <f>+'2'!P35</f>
        <v>12309.630471457625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Ideal Cash carry</v>
      </c>
      <c r="T5" s="301">
        <f>+'3'!P35</f>
        <v>5562.4268789141952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Shahbaz Store</v>
      </c>
      <c r="T6" s="301">
        <f>+'4'!P35</f>
        <v>392.02644813559323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Touseef Store</v>
      </c>
      <c r="T7" s="301">
        <f>+'5'!P35</f>
        <v>392.02644813559323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9</v>
      </c>
      <c r="I8" s="236">
        <f t="shared" ref="I8:I14" si="0">(G8*D8)*F8+H8*F8</f>
        <v>472.16249999999997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37.772999999999996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16.5256875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417.86381249999999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89.23728813559319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2.5355055031779661</v>
      </c>
      <c r="P8" s="311">
        <f t="shared" ref="P8:P15" si="2">M8+N8+O8</f>
        <v>509.63660613877113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</v>
      </c>
      <c r="R8" s="313">
        <v>6</v>
      </c>
      <c r="S8" s="300" t="str">
        <f>+'6'!A6:A6</f>
        <v>Yasir Store</v>
      </c>
      <c r="T8" s="301">
        <f>+'6'!P35</f>
        <v>392.02644813559323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20</v>
      </c>
      <c r="I9" s="236">
        <f t="shared" si="0"/>
        <v>1049.25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83.94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36.723750000000003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928.58625000000006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198.30508474576263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5.6344566737288133</v>
      </c>
      <c r="P9" s="311">
        <f t="shared" si="2"/>
        <v>1132.5257914194915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Khattak Store</v>
      </c>
      <c r="T9" s="301">
        <f>+'7'!P35</f>
        <v>392.02644813559323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70</v>
      </c>
      <c r="I10" s="236">
        <f t="shared" si="0"/>
        <v>5084.8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406.78399999999999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177.96799999999999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4500.0480000000007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961.01694915254257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27.305324745762718</v>
      </c>
      <c r="P10" s="311">
        <f t="shared" si="2"/>
        <v>5488.3702738983066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Awan Store</v>
      </c>
      <c r="T10" s="301">
        <f>+'8'!P35</f>
        <v>392.02644813559323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78</v>
      </c>
      <c r="I11" s="236">
        <f t="shared" si="0"/>
        <v>5665.92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453.27359999999999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198.30720000000002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5014.3392000000003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1070.8474576271187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30.425933288135596</v>
      </c>
      <c r="P11" s="311">
        <f t="shared" si="2"/>
        <v>6115.6125909152543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</v>
      </c>
      <c r="R11" s="313">
        <v>9</v>
      </c>
      <c r="S11" s="300" t="str">
        <f>+'9'!A6:A6</f>
        <v>Madina Store</v>
      </c>
      <c r="T11" s="301">
        <f>+'9'!P35</f>
        <v>392.02644813559323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189</v>
      </c>
      <c r="I12" s="236">
        <f t="shared" si="0"/>
        <v>13728.960000000001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1098.3168000000005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480.51359999999988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12150.1296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2594.7457627118652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73.724376813559346</v>
      </c>
      <c r="P12" s="311">
        <f t="shared" si="2"/>
        <v>14818.599739525425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11</v>
      </c>
      <c r="R12" s="313">
        <v>10</v>
      </c>
      <c r="S12" s="300" t="str">
        <f>+'10'!A6:A6</f>
        <v>Khan Store</v>
      </c>
      <c r="T12" s="301">
        <f>+'10'!P35</f>
        <v>392.02644813559323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786 Store</v>
      </c>
      <c r="T13" s="301">
        <f>+'11'!P35</f>
        <v>392.02644813559323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Shah GS</v>
      </c>
      <c r="T14" s="301">
        <f>+'12'!P35</f>
        <v>392.02644813559323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United Store</v>
      </c>
      <c r="T15" s="301">
        <f>+'13'!P35</f>
        <v>392.02644813559323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9.15</v>
      </c>
      <c r="H16" s="113">
        <f t="shared" ref="H16:M16" si="3">SUM(H7:H15)</f>
        <v>366</v>
      </c>
      <c r="I16" s="114">
        <f t="shared" si="3"/>
        <v>26001.092499999999</v>
      </c>
      <c r="J16" s="274">
        <f>SUM(J7:J15)</f>
        <v>2080.0874000000003</v>
      </c>
      <c r="K16" s="275">
        <f t="shared" si="3"/>
        <v>910.03823749999992</v>
      </c>
      <c r="L16" s="276">
        <f t="shared" si="3"/>
        <v>0</v>
      </c>
      <c r="M16" s="232">
        <f t="shared" si="3"/>
        <v>23010.966862500001</v>
      </c>
      <c r="N16" s="233">
        <f>SUM(N7:N15)</f>
        <v>4914.1525423728817</v>
      </c>
      <c r="O16" s="101">
        <f>SUM(O7:O15)</f>
        <v>139.62559702436442</v>
      </c>
      <c r="P16" s="113">
        <f>SUM(P7:P15)</f>
        <v>28064.745001897249</v>
      </c>
      <c r="Q16" s="128">
        <f>SUM(Q7:Q15)</f>
        <v>14</v>
      </c>
      <c r="R16" s="313">
        <v>14</v>
      </c>
      <c r="S16" s="315" t="str">
        <f>+'14'!A6:A6</f>
        <v>Sarwer Store</v>
      </c>
      <c r="T16" s="301">
        <f>+'14'!P35</f>
        <v>392.02644813559323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Abid Store</v>
      </c>
      <c r="T17" s="301">
        <f>+'15'!P35</f>
        <v>392.02644813559323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Usman Store</v>
      </c>
      <c r="T18" s="301">
        <f>+'16'!P35</f>
        <v>392.02644813559323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26001.092499999999</v>
      </c>
      <c r="R19" s="299">
        <v>17</v>
      </c>
      <c r="S19" s="300" t="str">
        <f>+'17'!A6:A6</f>
        <v>Classic Store</v>
      </c>
      <c r="T19" s="301">
        <f>+'17'!P35</f>
        <v>392.02644813559323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2080.0874000000003</v>
      </c>
      <c r="R20" s="299">
        <v>18</v>
      </c>
      <c r="S20" s="300" t="str">
        <f>+'18'!A6:A6</f>
        <v>Nouman Store</v>
      </c>
      <c r="T20" s="301">
        <f>+'18'!P35</f>
        <v>392.02644813559323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910.03823749999992</v>
      </c>
      <c r="R21" s="299">
        <v>19</v>
      </c>
      <c r="S21" s="300" t="str">
        <f>+'19'!A6:A6</f>
        <v>Askari Store</v>
      </c>
      <c r="T21" s="301">
        <f>+'19'!P35</f>
        <v>392.02644813559323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23010.966862499998</v>
      </c>
      <c r="R22" s="299">
        <v>20</v>
      </c>
      <c r="S22" s="300" t="str">
        <f>+'20'!A6:A6</f>
        <v>Al Raya Store</v>
      </c>
      <c r="T22" s="301">
        <f>+'20'!P35</f>
        <v>392.02644813559323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4914.1525423728817</v>
      </c>
      <c r="R23" s="299">
        <v>21</v>
      </c>
      <c r="S23" s="300" t="str">
        <f>+'21'!A6:A6</f>
        <v>Waqas Store</v>
      </c>
      <c r="T23" s="301">
        <f>+'21'!P35</f>
        <v>392.02644813559323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27925.119404872879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139.62559702436442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28064.745001897245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28064.745001897216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B21" sqref="B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232.44800000000001</v>
      </c>
      <c r="K25" s="275">
        <f t="shared" si="10"/>
        <v>101.69600000000001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9" workbookViewId="0">
      <selection activeCell="P21" sqref="P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38</v>
      </c>
      <c r="I20" s="236">
        <f t="shared" si="0"/>
        <v>2760.32</v>
      </c>
      <c r="J20" s="272">
        <f t="shared" si="1"/>
        <v>220.82560000000001</v>
      </c>
      <c r="K20" s="128">
        <f t="shared" si="1"/>
        <v>96.611200000000011</v>
      </c>
      <c r="L20" s="119">
        <f t="shared" si="1"/>
        <v>0</v>
      </c>
      <c r="M20" s="230">
        <f t="shared" si="2"/>
        <v>2442.8832000000002</v>
      </c>
      <c r="N20" s="277">
        <f t="shared" si="3"/>
        <v>521.69491525423734</v>
      </c>
      <c r="O20" s="239">
        <f t="shared" si="4"/>
        <v>14.822890576271188</v>
      </c>
      <c r="P20" s="119">
        <f t="shared" si="5"/>
        <v>2979.4010058305089</v>
      </c>
      <c r="Q20" s="319">
        <v>2</v>
      </c>
      <c r="R20">
        <f>P20/21</f>
        <v>141.87623837288137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459.08480000000003</v>
      </c>
      <c r="K21" s="128">
        <f t="shared" si="1"/>
        <v>200.84960000000004</v>
      </c>
      <c r="L21" s="119">
        <f t="shared" si="1"/>
        <v>0</v>
      </c>
      <c r="M21" s="230">
        <f t="shared" si="2"/>
        <v>5078.6256000000003</v>
      </c>
      <c r="N21" s="277">
        <f t="shared" si="3"/>
        <v>1084.5762711864406</v>
      </c>
      <c r="O21" s="239">
        <f t="shared" si="4"/>
        <v>30.816009355932206</v>
      </c>
      <c r="P21" s="119">
        <f t="shared" si="5"/>
        <v>6194.017880542373</v>
      </c>
      <c r="Q21" s="319">
        <v>1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157</v>
      </c>
      <c r="I25" s="114">
        <f t="shared" si="7"/>
        <v>11404.48</v>
      </c>
      <c r="J25" s="274">
        <f>SUM(J16:J24)</f>
        <v>912.35840000000007</v>
      </c>
      <c r="K25" s="275">
        <f t="shared" si="7"/>
        <v>399.15680000000009</v>
      </c>
      <c r="L25" s="276">
        <f t="shared" si="7"/>
        <v>0</v>
      </c>
      <c r="M25" s="232">
        <f t="shared" si="7"/>
        <v>10092.964800000002</v>
      </c>
      <c r="N25" s="233">
        <f>SUM(N16:N24)</f>
        <v>2155.4237288135591</v>
      </c>
      <c r="O25" s="101">
        <f>SUM(O16:O24)</f>
        <v>61.241942644067805</v>
      </c>
      <c r="P25" s="234">
        <f>SUM(P16:P24)</f>
        <v>12309.630471457627</v>
      </c>
      <c r="Q25" s="239">
        <f>SUM(Q16:Q24)</f>
        <v>3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11404.48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912.35840000000007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399.15680000000009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10092.964799999998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2155.4237288135591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12248.388528813557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61.241942644067784</v>
      </c>
    </row>
    <row r="35" spans="2:16" ht="15.75" customHeight="1" thickBot="1" x14ac:dyDescent="0.4">
      <c r="N35" s="345" t="s">
        <v>88</v>
      </c>
      <c r="O35" s="346"/>
      <c r="P35" s="297">
        <f>+P33+P34</f>
        <v>12309.630471457625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9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9</v>
      </c>
      <c r="I17" s="236">
        <f t="shared" ref="I17:I23" si="0">(G17*D17)*F17+H17*F17</f>
        <v>472.16249999999997</v>
      </c>
      <c r="J17" s="272">
        <f t="shared" ref="J17:L24" si="1">$I17*S17</f>
        <v>37.772999999999996</v>
      </c>
      <c r="K17" s="128">
        <f>$I17*T17</f>
        <v>16.5256875</v>
      </c>
      <c r="L17" s="119">
        <f>$I17*U17</f>
        <v>0</v>
      </c>
      <c r="M17" s="230">
        <f t="shared" ref="M17:M24" si="2">I17-SUM(J17:L17)</f>
        <v>417.86381249999999</v>
      </c>
      <c r="N17" s="277">
        <f t="shared" ref="N17:N24" si="3">+(G17*D17+H17)*V17</f>
        <v>89.23728813559319</v>
      </c>
      <c r="O17" s="239">
        <f t="shared" ref="O17:O24" si="4">(N17+M17)*$O$15</f>
        <v>2.5355055031779661</v>
      </c>
      <c r="P17" s="119">
        <f t="shared" ref="P17:P24" si="5">M17+N17+O17</f>
        <v>509.63660613877113</v>
      </c>
      <c r="Q17" s="319">
        <v>1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30</v>
      </c>
      <c r="I21" s="236">
        <f t="shared" si="0"/>
        <v>2179.1999999999998</v>
      </c>
      <c r="J21" s="272">
        <f t="shared" si="1"/>
        <v>174.33599999999998</v>
      </c>
      <c r="K21" s="128">
        <f t="shared" si="1"/>
        <v>76.272000000000006</v>
      </c>
      <c r="L21" s="119">
        <f t="shared" si="1"/>
        <v>0</v>
      </c>
      <c r="M21" s="230">
        <f t="shared" si="2"/>
        <v>1928.5919999999999</v>
      </c>
      <c r="N21" s="277">
        <f t="shared" si="3"/>
        <v>411.86440677966107</v>
      </c>
      <c r="O21" s="239">
        <f t="shared" si="4"/>
        <v>11.702282033898305</v>
      </c>
      <c r="P21" s="119">
        <f t="shared" si="5"/>
        <v>2352.1586888135594</v>
      </c>
      <c r="Q21" s="319">
        <v>10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79</v>
      </c>
      <c r="I25" s="114">
        <f t="shared" si="7"/>
        <v>5153.4124999999995</v>
      </c>
      <c r="J25" s="274">
        <f>SUM(J16:J24)</f>
        <v>412.27300000000002</v>
      </c>
      <c r="K25" s="275">
        <f t="shared" si="7"/>
        <v>180.3694375</v>
      </c>
      <c r="L25" s="276">
        <f t="shared" si="7"/>
        <v>0</v>
      </c>
      <c r="M25" s="232">
        <f t="shared" si="7"/>
        <v>4560.7700624999998</v>
      </c>
      <c r="N25" s="233">
        <f>SUM(N16:N24)</f>
        <v>973.98305084745766</v>
      </c>
      <c r="O25" s="101">
        <f>SUM(O16:O24)</f>
        <v>27.673765566737288</v>
      </c>
      <c r="P25" s="234">
        <f>SUM(P16:P24)</f>
        <v>5562.4268789141952</v>
      </c>
      <c r="Q25" s="239">
        <f>SUM(Q16:Q24)</f>
        <v>11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5153.4124999999995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412.27300000000002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180.3694375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4560.7700624999998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973.98305084745766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5534.7531133474577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27.673765566737288</v>
      </c>
    </row>
    <row r="35" spans="2:16" ht="15.75" customHeight="1" thickBot="1" x14ac:dyDescent="0.4">
      <c r="N35" s="345" t="s">
        <v>88</v>
      </c>
      <c r="O35" s="346"/>
      <c r="P35" s="297">
        <f>+P33+P34</f>
        <v>5562.4268789141952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529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531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533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8.75" customHeight="1" x14ac:dyDescent="0.4">
      <c r="A6" s="399" t="s">
        <v>534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535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4" workbookViewId="0">
      <selection activeCell="G9" sqref="G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19" sqref="H1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26953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Salman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46290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46289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2026-09-24T08:58:55Z</dcterms:modified>
</cp:coreProperties>
</file>