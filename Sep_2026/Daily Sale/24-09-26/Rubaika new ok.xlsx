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38E89F6-8A6E-40AB-93C9-D238C20C7B2D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16" i="66"/>
  <c r="M21" i="53"/>
  <c r="O21" i="53" s="1"/>
  <c r="P21" i="53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<sst xmlns="http://schemas.openxmlformats.org/spreadsheetml/2006/main" count="3918" uniqueCount="516">
  <si>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</si>
  <si>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</si>
  <si>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</si>
  <si>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</si>
  <si>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</si>
  <si>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</si>
  <si>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</si>
  <si>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</si>
  <si>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</si>
  <si>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</si>
  <si>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</si>
  <si>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</si>
  <si>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</si>
  <si>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</si>
  <si>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</si>
  <si>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</si>
  <si>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</si>
  <si>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</si>
  <si>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</si>
  <si>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</si>
  <si>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</si>
  <si>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</si>
  <si>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</si>
  <si>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</si>
  <si>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</si>
  <si>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</si>
  <si>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</si>
  <si>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</si>
  <si>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</si>
  <si>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</si>
  <si>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</si>
  <si>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</si>
  <si>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</si>
  <si>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</si>
  <si>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</si>
  <si>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</si>
  <si>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</si>
  <si>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</si>
  <si>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</si>
  <si>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</si>
  <si>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</si>
  <si>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</si>
  <si>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</si>
  <si>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</si>
  <si>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</si>
  <si>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</si>
  <si>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</si>
  <si>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</si>
  <si>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</si>
  <si>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</si>
  <si>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</si>
  <si>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</si>
  <si>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</si>
  <si>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</si>
  <si>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</si>
  <si>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</si>
  <si>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</si>
  <si>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</si>
  <si>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</si>
  <si>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</si>
  <si>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</si>
  <si>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</si>
  <si>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</si>
  <si>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</si>
  <si>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</si>
  <si>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</si>
  <si>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</si>
  <si>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</si>
  <si>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</si>
  <si>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</si>
  <si>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</si>
  <si>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</si>
  <si>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</si>
  <si>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</si>
  <si>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</si>
  <si>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</si>
  <si>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</si>
  <si>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</si>
  <si>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</si>
  <si>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</si>
  <si>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</si>
  <si>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</si>
  <si>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</si>
  <si>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</si>
  <si>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</si>
  <si>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</si>
  <si>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</si>
  <si>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</si>
  <si>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</si>
  <si>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</si>
  <si>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</si>
  <si>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</si>
  <si>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</si>
  <si>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</si>
  <si>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</si>
  <si>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</si>
  <si>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</si>
  <si>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</si>
  <si>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</si>
  <si>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</si>
  <si>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</si>
  <si>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</si>
  <si>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</si>
  <si>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</si>
  <si>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</si>
  <si>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</si>
  <si>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</si>
  <si>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</si>
  <si>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</si>
  <si>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</si>
  <si>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</si>
  <si>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</si>
  <si>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</si>
  <si>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</si>
  <si>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</si>
  <si>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</si>
  <si>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</si>
  <si>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</si>
  <si>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</si>
  <si>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</si>
  <si>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</si>
  <si>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</si>
  <si>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</si>
  <si>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</si>
  <si>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</si>
  <si>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</si>
  <si>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</si>
  <si>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</si>
  <si>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</si>
  <si>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</si>
  <si>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</si>
  <si>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</si>
  <si>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</si>
  <si>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</si>
  <si>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</si>
  <si>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</si>
  <si>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</si>
  <si>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</si>
  <si>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</si>
  <si>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</si>
  <si>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</si>
  <si>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</si>
  <si>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</si>
  <si>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</si>
  <si>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</si>
  <si>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</si>
  <si>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</si>
  <si>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</si>
  <si>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</si>
  <si>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</si>
  <si>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</si>
  <si>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</si>
  <si>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</si>
  <si>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</si>
  <si>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</si>
  <si>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</si>
  <si>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</si>
  <si>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</si>
  <si>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</si>
  <si>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</si>
  <si>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</si>
  <si>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</si>
  <si>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</si>
  <si>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</si>
  <si>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</si>
  <si>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</si>
  <si>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</si>
  <si>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</si>
  <si>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</si>
  <si>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</si>
  <si>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</si>
  <si>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</si>
  <si>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</si>
  <si>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</si>
  <si>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</si>
  <si>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</si>
  <si>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</si>
  <si>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</si>
  <si>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</si>
  <si>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</si>
  <si>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</si>
  <si>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</si>
  <si>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</si>
  <si>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</si>
  <si>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</si>
  <si>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</si>
  <si>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</si>
  <si>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</si>
  <si>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</si>
  <si>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</si>
  <si>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</si>
  <si>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</si>
  <si>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</si>
  <si>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</si>
  <si>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</si>
  <si>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</si>
  <si>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</si>
  <si>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</si>
  <si>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</si>
  <si>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</si>
  <si>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</si>
  <si>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</si>
  <si>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</si>
  <si>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</si>
  <si>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</si>
  <si>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</si>
  <si>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</si>
  <si>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</si>
  <si>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</si>
  <si>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</si>
  <si>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</si>
  <si>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</si>
  <si>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</si>
  <si>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</si>
  <si>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</si>
  <si>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</si>
  <si>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</si>
  <si>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</si>
  <si>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</si>
  <si>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</si>
  <si>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</si>
  <si>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</si>
  <si>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</si>
  <si>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</si>
  <si>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</si>
  <si>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</si>
  <si>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</si>
  <si>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</si>
  <si>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</si>
  <si>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</si>
  <si>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</si>
  <si>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</si>
  <si>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</si>
  <si>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</si>
  <si>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</si>
  <si>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</si>
  <si>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</si>
  <si>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</si>
  <si>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</si>
  <si>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</si>
  <si>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</si>
  <si>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</si>
  <si>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</si>
  <si>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</si>
  <si>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</si>
  <si>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</si>
  <si>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</si>
  <si>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</si>
  <si>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</si>
  <si>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</si>
  <si>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</si>
  <si>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</si>
  <si>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</si>
  <si>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</si>
  <si>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</si>
  <si>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</si>
  <si>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</si>
  <si>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</si>
  <si>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</si>
  <si>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</si>
  <si>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</si>
  <si>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</si>
  <si>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</si>
  <si>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</si>
  <si>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</si>
  <si>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</si>
  <si>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</si>
  <si>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</si>
  <si>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</si>
  <si>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</si>
  <si>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</si>
  <si>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</si>
  <si>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</si>
  <si>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</si>
  <si>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</si>
  <si>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</si>
  <si>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</si>
  <si>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</si>
  <si>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</si>
  <si>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</si>
  <si>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</si>
  <si>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</si>
  <si>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</si>
  <si>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</si>
  <si>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</si>
  <si>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</si>
  <si>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</si>
  <si>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</si>
  <si>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</si>
  <si>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</si>
  <si>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</si>
  <si>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</si>
  <si>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</si>
  <si>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</si>
  <si>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</si>
  <si>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</si>
  <si>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</si>
  <si>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</si>
  <si>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</si>
  <si>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</si>
  <si>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</si>
  <si>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</si>
  <si>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</si>
  <si>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</si>
  <si>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</si>
  <si>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</si>
  <si>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</si>
  <si>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</si>
  <si>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</si>
  <si>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</si>
  <si>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</si>
  <si>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</si>
  <si>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</si>
  <si>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</si>
  <si>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</si>
  <si>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</si>
  <si>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</si>
  <si>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</si>
  <si>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</si>
  <si>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</si>
  <si>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</si>
  <si>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</si>
  <si>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</si>
  <si>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</si>
  <si>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</si>
  <si>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</si>
  <si>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</si>
  <si>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</si>
  <si>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</si>
  <si>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</si>
  <si>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</si>
  <si>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</si>
  <si>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</si>
  <si>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</si>
  <si>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</si>
  <si>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</si>
  <si>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</si>
  <si>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</si>
  <si>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</si>
  <si>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</si>
  <si>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</si>
  <si>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</si>
  <si>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</si>
  <si>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</si>
  <si>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</si>
  <si>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</si>
  <si>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</si>
  <si>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</si>
  <si>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</si>
  <si>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</si>
  <si>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</si>
  <si>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</si>
  <si>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</si>
  <si>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</si>
  <si>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</si>
  <si>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</si>
  <si>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</si>
  <si>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</si>
  <si>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</si>
  <si>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</si>
  <si>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</si>
  <si>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</si>
  <si>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</si>
  <si>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</si>
  <si>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</si>
  <si>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</si>
  <si>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</si>
  <si>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</si>
  <si>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</si>
  <si>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</si>
  <si>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</si>
  <si>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</si>
  <si>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</si>
  <si>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</si>
  <si>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</si>
  <si>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</si>
  <si>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</si>
  <si>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</si>
  <si>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</si>
  <si>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</si>
  <si>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</si>
  <si>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</si>
  <si>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</si>
  <si>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</si>
  <si>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</si>
  <si>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</si>
  <si>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</si>
  <si>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</si>
  <si>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</si>
  <si>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</si>
  <si>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</si>
  <si>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</si>
  <si>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</si>
  <si>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</si>
  <si>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</si>
  <si>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</si>
  <si>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</si>
  <si>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</si>
  <si>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</si>
  <si>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</si>
  <si>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</si>
  <si>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</si>
  <si>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</si>
  <si>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</si>
  <si>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</si>
  <si>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</si>
  <si>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</si>
  <si>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</si>
  <si>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</si>
  <si>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</si>
  <si>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</si>
  <si>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</si>
  <si>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</si>
  <si>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</si>
  <si>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</si>
  <si>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</si>
  <si>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</si>
  <si>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</si>
  <si>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</si>
  <si>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</si>
  <si>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</si>
  <si>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</si>
  <si>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</si>
  <si>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</si>
  <si>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</si>
  <si>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</si>
  <si>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</si>
  <si>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</si>
  <si>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</si>
  <si>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</si>
  <si>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</si>
  <si>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</si>
  <si>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</si>
  <si>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</si>
  <si>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</si>
  <si>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</si>
  <si>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</si>
  <si>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</si>
  <si>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</si>
  <si>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</si>
  <si>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</si>
  <si>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</si>
  <si>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</si>
  <si>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</si>
  <si>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</si>
  <si>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</si>
  <si>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</si>
  <si>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</si>
  <si>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</si>
  <si>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</si>
  <si>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</si>
  <si>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</si>
  <si>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</si>
  <si>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</si>
  <si>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</si>
  <si>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</si>
  <si>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</si>
  <si>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</si>
  <si>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</si>
  <si>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</si>
  <si>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</si>
  <si>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</si>
  <si>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</si>
  <si>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</si>
  <si>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</si>
  <si>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</si>
  <si>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</si>
  <si>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</si>
  <si>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</si>
  <si>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</si>
  <si>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</si>
  <si>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</si>
  <si>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</si>
  <si>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</si>
  <si>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</si>
  <si>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</si>
  <si>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</si>
  <si>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</si>
  <si>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</si>
  <si>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</si>
  <si>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</si>
  <si>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</si>
  <si>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</si>
  <si>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</si>
  <si>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</si>
  <si>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</si>
  <si>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</si>
  <si>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</si>
  <si>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</si>
  <si>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</si>
  <si>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</si>
  <si>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</si>
  <si>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</si>
  <si>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</si>
  <si>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</si>
  <si>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</si>
  <si>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</si>
  <si>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</si>
  <si>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</si>
  <si>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</si>
  <si>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</si>
  <si>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</si>
  <si>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</si>
  <si>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</si>
  <si>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</si>
  <si>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</si>
  <si>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</si>
  <si>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</si>
  <si>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</si>
  <si>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</si>
  <si>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</si>
  <si>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</si>
  <si>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Booker</t>
  </si>
  <si>
    <t xml:space="preserve">Ms Rubaika Cash &amp; Carry </t>
  </si>
  <si>
    <t xml:space="preserve">Address: Velencia Town </t>
  </si>
  <si>
    <t>Invoice No # :1245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</si>
</sst>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9" fontId="18" fillId="0" borderId="48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I1" sqref="I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512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46289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Ms Rubaika Cash &amp; Carry </v>
      </c>
      <c r="T3" s="301">
        <f>+'1'!P35</f>
        <v>29581.212814703391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Ms Rubaika Cash &amp; Carry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Ms Rubaika Cash &amp; Carry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Ms Rubaika Cash &amp; Carry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419.70000000000005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3630.4049999999997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22.118126694915251</v>
      </c>
      <c r="P7" s="310">
        <f>M7+N7+O7</f>
        <v>4445.7434656779651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Ms Rubaika Cash &amp; Carry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419.70000000000005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3630.4049999999997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22.118126694915251</v>
      </c>
      <c r="P8" s="311">
        <f t="shared" ref="P8:P15" si="2">M8+N8+O8</f>
        <v>4445.7434656779651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Ms Rubaika Cash &amp; Carry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209.85000000000002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1815.2024999999999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11.059063347457625</v>
      </c>
      <c r="P9" s="311">
        <f t="shared" si="2"/>
        <v>2222.8717328389826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Ms Rubaika Cash &amp; Carry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581.12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5026.6880000000001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30.624965423728813</v>
      </c>
      <c r="P10" s="311">
        <f t="shared" si="2"/>
        <v>6155.6180501694917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 xml:space="preserve">Ms Rubaika Cash &amp; Carry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581.12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5026.6880000000001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30.624965423728813</v>
      </c>
      <c r="P11" s="311">
        <f t="shared" si="2"/>
        <v>6155.6180501694917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Ms Rubaika Cash &amp; Carry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581.12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5026.6880000000001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30.624965423728813</v>
      </c>
      <c r="P12" s="311">
        <f t="shared" si="2"/>
        <v>6155.6180501694917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 xml:space="preserve">Ms Rubaika Cash &amp; Carry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 xml:space="preserve">Ms Rubaika Cash &amp; Carry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 xml:space="preserve">Ms Rubaika Cash &amp; Carry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Ms Rubaika Cash &amp; Carry 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11</v>
      </c>
      <c r="H16" s="113">
        <f t="shared" ref="H16:M16" si="3">SUM(H7:H15)</f>
        <v>440</v>
      </c>
      <c r="I16" s="114">
        <f t="shared" si="3"/>
        <v>27926.100000000002</v>
      </c>
      <c r="J16" s="274">
        <f>SUM(J7:J15)</f>
        <v>2792.6099999999997</v>
      </c>
      <c r="K16" s="275">
        <f t="shared" si="3"/>
        <v>977.41350000000011</v>
      </c>
      <c r="L16" s="276">
        <f t="shared" si="3"/>
        <v>0</v>
      </c>
      <c r="M16" s="232">
        <f t="shared" si="3"/>
        <v>24156.076500000003</v>
      </c>
      <c r="N16" s="233">
        <f>SUM(N7:N15)</f>
        <v>5277.966101694914</v>
      </c>
      <c r="O16" s="101">
        <f>SUM(O7:O15)</f>
        <v>147.17021300847458</v>
      </c>
      <c r="P16" s="113">
        <f>SUM(P7:P15)</f>
        <v>29581.212814703387</v>
      </c>
      <c r="Q16" s="128">
        <f>SUM(Q7:Q15)</f>
        <v>0</v>
      </c>
      <c r="R16" s="313">
        <v>14</v>
      </c>
      <c r="S16" s="315" t="str">
        <f>+'14'!A6:A6</f>
        <v xml:space="preserve">Ms Rubaika Cash &amp; Carry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Ms Rubaika Cash &amp; Carry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Ms Rubaika Cash &amp; Carry 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27926.100000000002</v>
      </c>
      <c r="R19" s="299">
        <v>17</v>
      </c>
      <c r="S19" s="300" t="str">
        <f>+'17'!A6:A6</f>
        <v xml:space="preserve">Ms Rubaika Cash &amp; Carry 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2792.6099999999997</v>
      </c>
      <c r="R20" s="299">
        <v>18</v>
      </c>
      <c r="S20" s="300" t="str">
        <f>+'18'!A6:A6</f>
        <v xml:space="preserve">Ms Rubaika Cash &amp; Carry 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977.41350000000011</v>
      </c>
      <c r="R21" s="299">
        <v>19</v>
      </c>
      <c r="S21" s="300" t="str">
        <f>+'19'!A6:A6</f>
        <v xml:space="preserve">Ms Rubaika Cash &amp; Carry 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24156.076500000003</v>
      </c>
      <c r="R22" s="299">
        <v>20</v>
      </c>
      <c r="S22" s="300" t="str">
        <f>+'20'!A6:A6</f>
        <v xml:space="preserve">Ms Rubaika Cash &amp; Carry 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5277.966101694914</v>
      </c>
      <c r="R23" s="299">
        <v>21</v>
      </c>
      <c r="S23" s="300" t="str">
        <f>+'21'!A6:A6</f>
        <v xml:space="preserve">Ms Rubaika Cash &amp; Carry 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29434.042601694917</v>
      </c>
      <c r="R24" s="299">
        <v>22</v>
      </c>
      <c r="S24" s="300" t="str">
        <f>+'22'!A6:A6</f>
        <v xml:space="preserve">Ms Rubaika Cash &amp; Carry 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147.17021300847458</v>
      </c>
      <c r="R25" s="299">
        <v>23</v>
      </c>
      <c r="S25" s="300" t="str">
        <f>+'23'!A6:A6</f>
        <v xml:space="preserve">Ms Rubaika Cash &amp; Carry 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29581.212814703391</v>
      </c>
      <c r="R26" s="299">
        <v>24</v>
      </c>
      <c r="S26" s="300" t="str">
        <f>+'24'!A6:A6</f>
        <v xml:space="preserve">Ms Rubaika Cash &amp; Carry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 xml:space="preserve">Ms Rubaika Cash &amp; Carry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Ms Rubaika Cash &amp; Carry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Ms Rubaika Cash &amp; Carry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Ms Rubaika Cash &amp; Carry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Ms Rubaika Cash &amp; Carry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Ms Rubaika Cash &amp; Carry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29581.212814703391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20" workbookViewId="0">
      <selection activeCell="R30" sqref="R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419.70000000000005</v>
      </c>
      <c r="K16" s="127">
        <f>$I16*T16</f>
        <v>146.89500000000001</v>
      </c>
      <c r="L16" s="118">
        <f>$I16*U16</f>
        <v>0</v>
      </c>
      <c r="M16" s="229">
        <f>I16-SUM(J16:L16)</f>
        <v>3630.4049999999997</v>
      </c>
      <c r="N16" s="248">
        <f>+(G16*D16+H16)*V16</f>
        <v>793.22033898305051</v>
      </c>
      <c r="O16" s="238">
        <f>(N16+M16)*$O$15</f>
        <v>22.118126694915251</v>
      </c>
      <c r="P16" s="118">
        <f>M16+N16+O16</f>
        <v>4445.7434656779651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419.70000000000005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3630.4049999999997</v>
      </c>
      <c r="N17" s="277">
        <f t="shared" ref="N17:N24" si="3">+(G17*D17+H17)*V17</f>
        <v>793.22033898305051</v>
      </c>
      <c r="O17" s="239">
        <f t="shared" ref="O17:O24" si="4">(N17+M17)*$O$15</f>
        <v>22.118126694915251</v>
      </c>
      <c r="P17" s="119">
        <f t="shared" ref="P17:P24" si="5">M17+N17+O17</f>
        <v>4445.7434656779651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209.85000000000002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1815.2024999999999</v>
      </c>
      <c r="N18" s="277">
        <f t="shared" si="3"/>
        <v>396.61016949152526</v>
      </c>
      <c r="O18" s="239">
        <f t="shared" si="4"/>
        <v>11.059063347457625</v>
      </c>
      <c r="P18" s="119">
        <f t="shared" si="5"/>
        <v>2222.8717328389826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581.12</v>
      </c>
      <c r="K19" s="128">
        <f t="shared" si="1"/>
        <v>203.39200000000002</v>
      </c>
      <c r="L19" s="119">
        <f t="shared" si="1"/>
        <v>0</v>
      </c>
      <c r="M19" s="230">
        <f t="shared" si="2"/>
        <v>5026.6880000000001</v>
      </c>
      <c r="N19" s="277">
        <f t="shared" si="3"/>
        <v>1098.3050847457628</v>
      </c>
      <c r="O19" s="239">
        <f t="shared" si="4"/>
        <v>30.624965423728813</v>
      </c>
      <c r="P19" s="119">
        <f t="shared" si="5"/>
        <v>6155.6180501694917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581.12</v>
      </c>
      <c r="K20" s="128">
        <f t="shared" si="1"/>
        <v>203.39200000000002</v>
      </c>
      <c r="L20" s="119">
        <f t="shared" si="1"/>
        <v>0</v>
      </c>
      <c r="M20" s="230">
        <f t="shared" si="2"/>
        <v>5026.6880000000001</v>
      </c>
      <c r="N20" s="277">
        <f t="shared" si="3"/>
        <v>1098.3050847457628</v>
      </c>
      <c r="O20" s="239">
        <f t="shared" si="4"/>
        <v>30.624965423728813</v>
      </c>
      <c r="P20" s="119">
        <f t="shared" si="5"/>
        <v>6155.6180501694917</v>
      </c>
      <c r="Q20" s="319"/>
      <c r="R20">
        <f>P20/21</f>
        <v>293.12466905569011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119">
        <f t="shared" si="5"/>
        <v>6155.6180501694917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440</v>
      </c>
      <c r="I25" s="114">
        <f t="shared" ref="I25:M25" si="10">SUM(I16:I24)</f>
        <v>27926.100000000002</v>
      </c>
      <c r="J25" s="274">
        <f>SUM(J16:J24)</f>
        <v>2792.6099999999997</v>
      </c>
      <c r="K25" s="275">
        <f t="shared" si="10"/>
        <v>977.41350000000011</v>
      </c>
      <c r="L25" s="276">
        <f t="shared" si="10"/>
        <v>0</v>
      </c>
      <c r="M25" s="232">
        <f t="shared" si="10"/>
        <v>24156.076500000003</v>
      </c>
      <c r="N25" s="233">
        <f>SUM(N16:N24)</f>
        <v>5277.966101694914</v>
      </c>
      <c r="O25" s="101">
        <f>SUM(O16:O24)</f>
        <v>147.17021300847458</v>
      </c>
      <c r="P25" s="234">
        <f>SUM(P16:P24)</f>
        <v>29581.212814703387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27926.100000000002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2792.6099999999997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977.41350000000011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24156.076500000003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5277.966101694914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29434.042601694917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147.17021300847458</v>
      </c>
    </row>
    <row r="35" spans="2:16" ht="15.75" customHeight="1" thickBot="1" x14ac:dyDescent="0.4">
      <c r="N35" s="374" t="s">
        <v>88</v>
      </c>
      <c r="O35" s="375"/>
      <c r="P35" s="297">
        <f>+P33+P34</f>
        <v>29581.212814703391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46289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2026-09-24T04:40:47Z</dcterms:modified>
</cp:coreProperties>
</file>