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215C782-9B64-4A30-A72A-A5D1658EFF6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<sst xmlns="http://schemas.openxmlformats.org/spreadsheetml/2006/main" count="3977" uniqueCount="517">
  <si>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</si>
  <si>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</si>
  <si>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</si>
  <si>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</si>
  <si>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</si>
  <si>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</si>
  <si>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</si>
  <si>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</si>
  <si>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</si>
  <si>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</si>
  <si>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</si>
  <si>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</si>
  <si>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</si>
  <si>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</si>
  <si>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</si>
  <si>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</si>
  <si>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</si>
  <si>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</si>
  <si>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</si>
  <si>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</si>
  <si>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</si>
  <si>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</si>
  <si>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</si>
  <si>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</si>
  <si>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</si>
  <si>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</si>
  <si>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</si>
  <si>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</si>
  <si>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</si>
  <si>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</si>
  <si>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</si>
  <si>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</si>
  <si>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</si>
  <si>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</si>
  <si>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</si>
  <si>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</si>
  <si>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</si>
  <si>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</si>
  <si>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</si>
  <si>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</si>
  <si>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</si>
  <si>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</si>
  <si>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</si>
  <si>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</si>
  <si>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</si>
  <si>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</si>
  <si>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</si>
  <si>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</si>
  <si>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</si>
  <si>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</si>
  <si>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</si>
  <si>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</si>
  <si>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</si>
  <si>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</si>
  <si>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</si>
  <si>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</si>
  <si>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</si>
  <si>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</si>
  <si>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</si>
  <si>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</si>
  <si>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</si>
  <si>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</si>
  <si>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</si>
  <si>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</si>
  <si>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</si>
  <si>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</si>
  <si>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</si>
  <si>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</si>
  <si>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</si>
  <si>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</si>
  <si>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</si>
  <si>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</si>
  <si>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</si>
  <si>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</si>
  <si>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</si>
  <si>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</si>
  <si>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</si>
  <si>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</si>
  <si>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</si>
  <si>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</si>
  <si>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</si>
  <si>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</si>
  <si>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</si>
  <si>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</si>
  <si>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</si>
  <si>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</si>
  <si>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</si>
  <si>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</si>
  <si>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</si>
  <si>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</si>
  <si>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</si>
  <si>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</si>
  <si>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</si>
  <si>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</si>
  <si>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</si>
  <si>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</si>
  <si>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</si>
  <si>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</si>
  <si>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</si>
  <si>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</si>
  <si>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</si>
  <si>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</si>
  <si>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</si>
  <si>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</si>
  <si>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</si>
  <si>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</si>
  <si>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</si>
  <si>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</si>
  <si>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</si>
  <si>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</si>
  <si>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</si>
  <si>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</si>
  <si>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</si>
  <si>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</si>
  <si>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</si>
  <si>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</si>
  <si>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</si>
  <si>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</si>
  <si>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</si>
  <si>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</si>
  <si>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</si>
  <si>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</si>
  <si>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</si>
  <si>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</si>
  <si>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</si>
  <si>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</si>
  <si>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</si>
  <si>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</si>
  <si>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</si>
  <si>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</si>
  <si>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</si>
  <si>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</si>
  <si>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</si>
  <si>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</si>
  <si>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</si>
  <si>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</si>
  <si>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</si>
  <si>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</si>
  <si>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</si>
  <si>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</si>
  <si>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</si>
  <si>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</si>
  <si>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</si>
  <si>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</si>
  <si>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</si>
  <si>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</si>
  <si>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</si>
  <si>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</si>
  <si>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</si>
  <si>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</si>
  <si>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</si>
  <si>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</si>
  <si>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</si>
  <si>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</si>
  <si>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</si>
  <si>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</si>
  <si>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</si>
  <si>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</si>
  <si>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</si>
  <si>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</si>
  <si>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</si>
  <si>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</si>
  <si>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</si>
  <si>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</si>
  <si>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</si>
  <si>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</si>
  <si>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</si>
  <si>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</si>
  <si>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</si>
  <si>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</si>
  <si>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</si>
  <si>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</si>
  <si>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</si>
  <si>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</si>
  <si>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</si>
  <si>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</si>
  <si>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</si>
  <si>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</si>
  <si>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</si>
  <si>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</si>
  <si>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</si>
  <si>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</si>
  <si>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</si>
  <si>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</si>
  <si>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</si>
  <si>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</si>
  <si>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</si>
  <si>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</si>
  <si>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</si>
  <si>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</si>
  <si>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</si>
  <si>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</si>
  <si>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</si>
  <si>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</si>
  <si>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</si>
  <si>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</si>
  <si>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</si>
  <si>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</si>
  <si>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</si>
  <si>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</si>
  <si>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</si>
  <si>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</si>
  <si>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</si>
  <si>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</si>
  <si>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</si>
  <si>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</si>
  <si>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</si>
  <si>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</si>
  <si>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</si>
  <si>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</si>
  <si>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</si>
  <si>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</si>
  <si>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</si>
  <si>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</si>
  <si>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</si>
  <si>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</si>
  <si>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</si>
  <si>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</si>
  <si>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</si>
  <si>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</si>
  <si>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</si>
  <si>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</si>
  <si>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</si>
  <si>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</si>
  <si>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</si>
  <si>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</si>
  <si>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</si>
  <si>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</si>
  <si>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</si>
  <si>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</si>
  <si>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</si>
  <si>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</si>
  <si>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</si>
  <si>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</si>
  <si>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</si>
  <si>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</si>
  <si>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</si>
  <si>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</si>
  <si>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</si>
  <si>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</si>
  <si>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</si>
  <si>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</si>
  <si>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</si>
  <si>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</si>
  <si>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</si>
  <si>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</si>
  <si>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</si>
  <si>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</si>
  <si>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</si>
  <si>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</si>
  <si>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</si>
  <si>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</si>
  <si>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</si>
  <si>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</si>
  <si>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</si>
  <si>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</si>
  <si>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</si>
  <si>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</si>
  <si>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</si>
  <si>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</si>
  <si>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</si>
  <si>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</si>
  <si>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</si>
  <si>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</si>
  <si>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</si>
  <si>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</si>
  <si>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</si>
  <si>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</si>
  <si>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</si>
  <si>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</si>
  <si>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</si>
  <si>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</si>
  <si>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</si>
  <si>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</si>
  <si>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</si>
  <si>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</si>
  <si>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</si>
  <si>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</si>
  <si>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</si>
  <si>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</si>
  <si>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</si>
  <si>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</si>
  <si>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</si>
  <si>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</si>
  <si>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</si>
  <si>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</si>
  <si>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</si>
  <si>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</si>
  <si>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</si>
  <si>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</si>
  <si>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</si>
  <si>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</si>
  <si>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</si>
  <si>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</si>
  <si>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</si>
  <si>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</si>
  <si>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</si>
  <si>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</si>
  <si>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</si>
  <si>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</si>
  <si>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</si>
  <si>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</si>
  <si>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</si>
  <si>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</si>
  <si>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</si>
  <si>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</si>
  <si>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</si>
  <si>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</si>
  <si>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</si>
  <si>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</si>
  <si>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</si>
  <si>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</si>
  <si>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</si>
  <si>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</si>
  <si>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</si>
  <si>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</si>
  <si>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</si>
  <si>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</si>
  <si>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</si>
  <si>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</si>
  <si>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</si>
  <si>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</si>
  <si>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</si>
  <si>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</si>
  <si>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</si>
  <si>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</si>
  <si>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</si>
  <si>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</si>
  <si>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</si>
  <si>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</si>
  <si>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</si>
  <si>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</si>
  <si>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</si>
  <si>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</si>
  <si>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</si>
  <si>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</si>
  <si>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</si>
  <si>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</si>
  <si>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</si>
  <si>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</si>
  <si>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</si>
  <si>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</si>
  <si>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</si>
  <si>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</si>
  <si>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</si>
  <si>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</si>
  <si>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</si>
  <si>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</si>
  <si>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</si>
  <si>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</si>
  <si>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</si>
  <si>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</si>
  <si>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</si>
  <si>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</si>
  <si>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</si>
  <si>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</si>
  <si>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</si>
  <si>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</si>
  <si>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</si>
  <si>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</si>
  <si>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</si>
  <si>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</si>
  <si>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</si>
  <si>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</si>
  <si>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</si>
  <si>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</si>
  <si>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</si>
  <si>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</si>
  <si>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</si>
  <si>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</si>
  <si>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</si>
  <si>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</si>
  <si>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</si>
  <si>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</si>
  <si>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</si>
  <si>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</si>
  <si>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</si>
  <si>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</si>
  <si>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</si>
  <si>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</si>
  <si>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</si>
  <si>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</si>
  <si>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</si>
  <si>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</si>
  <si>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</si>
  <si>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</si>
  <si>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</si>
  <si>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</si>
  <si>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</si>
  <si>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</si>
  <si>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</si>
  <si>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</si>
  <si>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</si>
  <si>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</si>
  <si>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</si>
  <si>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</si>
  <si>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</si>
  <si>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</si>
  <si>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</si>
  <si>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</si>
  <si>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</si>
  <si>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</si>
  <si>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</si>
  <si>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</si>
  <si>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</si>
  <si>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</si>
  <si>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</si>
  <si>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</si>
  <si>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</si>
  <si>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</si>
  <si>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</si>
  <si>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</si>
  <si>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</si>
  <si>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</si>
  <si>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</si>
  <si>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</si>
  <si>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</si>
  <si>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</si>
  <si>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</si>
  <si>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</si>
  <si>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</si>
  <si>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</si>
  <si>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</si>
  <si>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</si>
  <si>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</si>
  <si>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</si>
  <si>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</si>
  <si>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</si>
  <si>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</si>
  <si>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</si>
  <si>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</si>
  <si>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</si>
  <si>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</si>
  <si>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</si>
  <si>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</si>
  <si>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</si>
  <si>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</si>
  <si>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</si>
  <si>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</si>
  <si>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</si>
  <si>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</si>
  <si>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</si>
  <si>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</si>
  <si>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</si>
  <si>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</si>
  <si>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</si>
  <si>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</si>
  <si>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</si>
  <si>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</si>
  <si>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</si>
  <si>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</si>
  <si>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</si>
  <si>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</si>
  <si>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</si>
  <si>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</si>
  <si>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</si>
  <si>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</si>
  <si>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</si>
  <si>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</si>
  <si>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</si>
  <si>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</si>
  <si>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</si>
  <si>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</si>
  <si>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</si>
  <si>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</si>
  <si>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</si>
  <si>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</si>
  <si>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</si>
  <si>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</si>
  <si>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</si>
  <si>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</si>
  <si>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</si>
  <si>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</si>
  <si>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</si>
  <si>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</si>
  <si>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</si>
  <si>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</si>
  <si>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</si>
  <si>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</si>
  <si>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</si>
  <si>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</si>
  <si>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</si>
  <si>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</si>
  <si>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</si>
  <si>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</si>
  <si>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</si>
  <si>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</si>
  <si>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</si>
  <si>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</si>
  <si>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</si>
  <si>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</si>
  <si>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</si>
  <si>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</si>
  <si>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</si>
  <si>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</si>
  <si>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</si>
  <si>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</si>
  <si>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</si>
  <si>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</si>
  <si>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</si>
  <si>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</si>
  <si>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</si>
  <si>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</si>
  <si>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</si>
  <si>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</si>
  <si>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</si>
  <si>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</si>
  <si>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</si>
  <si>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</si>
  <si>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</si>
  <si>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</si>
  <si>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</si>
  <si>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</si>
  <si>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</si>
  <si>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</si>
  <si>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</si>
  <si>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:65161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</si>
</sst>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515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46288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Zubaida Associate</v>
      </c>
      <c r="T3" s="301">
        <f>+'1'!P35</f>
        <v>109671.76865593219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400</v>
      </c>
      <c r="I9" s="236">
        <f t="shared" si="0"/>
        <v>20985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3777.2999999999997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17207.7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3966.1016949152527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105.86900847457626</v>
      </c>
      <c r="P9" s="311">
        <f t="shared" si="2"/>
        <v>21279.670703389827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10460.16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47651.839999999997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293.1744542372881</v>
      </c>
      <c r="P11" s="311">
        <f t="shared" si="2"/>
        <v>58928.065301694915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5230.08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23825.919999999998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146.58722711864405</v>
      </c>
      <c r="P12" s="311">
        <f t="shared" si="2"/>
        <v>29464.032650847457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40</v>
      </c>
      <c r="H16" s="113">
        <f t="shared" ref="H16:M16" si="3">SUM(H7:H15)</f>
        <v>1600</v>
      </c>
      <c r="I16" s="114">
        <f t="shared" si="3"/>
        <v>108153</v>
      </c>
      <c r="J16" s="274">
        <f>SUM(J7:J15)</f>
        <v>19467.54</v>
      </c>
      <c r="K16" s="275">
        <f t="shared" si="3"/>
        <v>0</v>
      </c>
      <c r="L16" s="276">
        <f t="shared" si="3"/>
        <v>0</v>
      </c>
      <c r="M16" s="232">
        <f t="shared" si="3"/>
        <v>88685.459999999992</v>
      </c>
      <c r="N16" s="233">
        <f>SUM(N7:N15)</f>
        <v>20440.677966101692</v>
      </c>
      <c r="O16" s="101">
        <f>SUM(O7:O15)</f>
        <v>545.63068983050846</v>
      </c>
      <c r="P16" s="113">
        <f>SUM(P7:P15)</f>
        <v>109671.76865593219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108153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19467.54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88685.459999999992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20440.677966101692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109126.13796610168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545.63068983050846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109671.76865593219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109671.76865593219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9.26953125" customWidth="1"/>
    <col min="16" max="16" width="10.54296875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7.2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8" t="s">
        <v>507</v>
      </c>
      <c r="XFD14" t="s">
        <v>106</v>
      </c>
    </row>
    <row r="15" spans="1:22 16383:16384" ht="3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0.18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8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400</v>
      </c>
      <c r="I18" s="236">
        <f t="shared" ref="I18:I21" si="7">(G18*D18)*F18+H18*F18</f>
        <v>20985</v>
      </c>
      <c r="J18" s="272">
        <f t="shared" si="1"/>
        <v>3777.2999999999997</v>
      </c>
      <c r="K18" s="128">
        <f t="shared" si="1"/>
        <v>0</v>
      </c>
      <c r="L18" s="119">
        <f t="shared" si="1"/>
        <v>0</v>
      </c>
      <c r="M18" s="230">
        <f t="shared" si="2"/>
        <v>17207.7</v>
      </c>
      <c r="N18" s="277">
        <f t="shared" si="3"/>
        <v>3966.1016949152527</v>
      </c>
      <c r="O18" s="239">
        <f t="shared" si="4"/>
        <v>105.86900847457626</v>
      </c>
      <c r="P18" s="119">
        <f t="shared" si="5"/>
        <v>21279.670703389827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10460.16</v>
      </c>
      <c r="K20" s="128">
        <f t="shared" si="1"/>
        <v>0</v>
      </c>
      <c r="L20" s="119">
        <f t="shared" si="1"/>
        <v>0</v>
      </c>
      <c r="M20" s="230">
        <f t="shared" si="2"/>
        <v>47651.839999999997</v>
      </c>
      <c r="N20" s="277">
        <f t="shared" si="3"/>
        <v>10983.050847457627</v>
      </c>
      <c r="O20" s="239">
        <f t="shared" si="4"/>
        <v>293.1744542372881</v>
      </c>
      <c r="P20" s="119">
        <f t="shared" si="5"/>
        <v>58928.065301694915</v>
      </c>
      <c r="Q20" s="321"/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5230.08</v>
      </c>
      <c r="K21" s="128">
        <f t="shared" si="1"/>
        <v>0</v>
      </c>
      <c r="L21" s="119">
        <f t="shared" si="1"/>
        <v>0</v>
      </c>
      <c r="M21" s="230">
        <f t="shared" si="2"/>
        <v>23825.919999999998</v>
      </c>
      <c r="N21" s="277">
        <f t="shared" si="3"/>
        <v>5491.5254237288136</v>
      </c>
      <c r="O21" s="239">
        <f t="shared" si="4"/>
        <v>146.58722711864405</v>
      </c>
      <c r="P21" s="119">
        <f t="shared" si="5"/>
        <v>29464.032650847457</v>
      </c>
      <c r="Q21" s="321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1600</v>
      </c>
      <c r="I25" s="114">
        <f t="shared" ref="I25:M25" si="10">SUM(I16:I24)</f>
        <v>108153</v>
      </c>
      <c r="J25" s="274">
        <f>SUM(J16:J24)</f>
        <v>19467.54</v>
      </c>
      <c r="K25" s="275">
        <f t="shared" si="10"/>
        <v>0</v>
      </c>
      <c r="L25" s="276">
        <f t="shared" si="10"/>
        <v>0</v>
      </c>
      <c r="M25" s="232">
        <f t="shared" si="10"/>
        <v>88685.459999999992</v>
      </c>
      <c r="N25" s="233">
        <f>SUM(N16:N24)</f>
        <v>20440.677966101692</v>
      </c>
      <c r="O25" s="101">
        <f>SUM(O16:O24)</f>
        <v>545.63068983050846</v>
      </c>
      <c r="P25" s="234">
        <f>SUM(P16:P24)</f>
        <v>109671.76865593219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108153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19467.54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88685.459999999992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20440.677966101692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109126.13796610168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545.63068983050846</v>
      </c>
    </row>
    <row r="35" spans="2:16" ht="15.75" customHeight="1" thickBot="1" x14ac:dyDescent="0.4">
      <c r="N35" s="375" t="s">
        <v>88</v>
      </c>
      <c r="O35" s="376"/>
      <c r="P35" s="297">
        <f>+P33+P34</f>
        <v>109671.76865593219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46289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46288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2026-09-23T11:42:36Z</dcterms:modified>
</cp:coreProperties>
</file>