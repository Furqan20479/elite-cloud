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FD6FCDB-1C3E-479D-AB35-8B0D28F01EA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<sst xmlns="http://schemas.openxmlformats.org/spreadsheetml/2006/main" count="3948" uniqueCount="524">
  <si>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</si>
  <si>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</si>
  <si>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</si>
  <si>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</si>
  <si>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</si>
  <si>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</si>
  <si>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</si>
  <si>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</si>
  <si>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</si>
  <si>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</si>
  <si>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</si>
  <si>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</si>
  <si>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</si>
  <si>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</si>
  <si>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</si>
  <si>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</si>
  <si>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</si>
  <si>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</si>
  <si>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</si>
  <si>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</si>
  <si>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</si>
  <si>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</si>
  <si>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</si>
  <si>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</si>
  <si>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</si>
  <si>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</si>
  <si>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</si>
  <si>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</si>
  <si>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</si>
  <si>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</si>
  <si>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</si>
  <si>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</si>
  <si>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</si>
  <si>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</si>
  <si>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</si>
  <si>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</si>
  <si>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</si>
  <si>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</si>
  <si>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</si>
  <si>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</si>
  <si>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</si>
  <si>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</si>
  <si>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</si>
  <si>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</si>
  <si>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</si>
  <si>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</si>
  <si>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</si>
  <si>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</si>
  <si>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</si>
  <si>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</si>
  <si>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</si>
  <si>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</si>
  <si>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</si>
  <si>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</si>
  <si>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</si>
  <si>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</si>
  <si>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</si>
  <si>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</si>
  <si>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</si>
  <si>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</si>
  <si>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</si>
  <si>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</si>
  <si>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</si>
  <si>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</si>
  <si>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</si>
  <si>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</si>
  <si>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</si>
  <si>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</si>
  <si>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</si>
  <si>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</si>
  <si>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</si>
  <si>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</si>
  <si>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</si>
  <si>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</si>
  <si>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</si>
  <si>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</si>
  <si>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</si>
  <si>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</si>
  <si>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</si>
  <si>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</si>
  <si>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</si>
  <si>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</si>
  <si>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</si>
  <si>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</si>
  <si>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</si>
  <si>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</si>
  <si>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</si>
  <si>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</si>
  <si>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</si>
  <si>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</si>
  <si>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</si>
  <si>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</si>
  <si>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</si>
  <si>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</si>
  <si>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</si>
  <si>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</si>
  <si>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</si>
  <si>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</si>
  <si>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</si>
  <si>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</si>
  <si>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</si>
  <si>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</si>
  <si>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</si>
  <si>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</si>
  <si>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</si>
  <si>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</si>
  <si>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</si>
  <si>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</si>
  <si>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</si>
  <si>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</si>
  <si>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</si>
  <si>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</si>
  <si>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</si>
  <si>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</si>
  <si>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</si>
  <si>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</si>
  <si>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</si>
  <si>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</si>
  <si>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</si>
  <si>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</si>
  <si>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</si>
  <si>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</si>
  <si>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</si>
  <si>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</si>
  <si>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</si>
  <si>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</si>
  <si>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</si>
  <si>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</si>
  <si>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</si>
  <si>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</si>
  <si>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</si>
  <si>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</si>
  <si>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</si>
  <si>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</si>
  <si>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</si>
  <si>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</si>
  <si>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</si>
  <si>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</si>
  <si>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</si>
  <si>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</si>
  <si>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</si>
  <si>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</si>
  <si>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</si>
  <si>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</si>
  <si>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</si>
  <si>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</si>
  <si>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</si>
  <si>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</si>
  <si>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</si>
  <si>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</si>
  <si>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</si>
  <si>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</si>
  <si>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</si>
  <si>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</si>
  <si>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</si>
  <si>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</si>
  <si>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</si>
  <si>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</si>
  <si>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</si>
  <si>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</si>
  <si>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</si>
  <si>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</si>
  <si>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</si>
  <si>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</si>
  <si>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</si>
  <si>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</si>
  <si>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</si>
  <si>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</si>
  <si>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</si>
  <si>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</si>
  <si>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</si>
  <si>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</si>
  <si>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</si>
  <si>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</si>
  <si>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</si>
  <si>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</si>
  <si>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</si>
  <si>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</si>
  <si>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</si>
  <si>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</si>
  <si>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</si>
  <si>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</si>
  <si>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</si>
  <si>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</si>
  <si>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</si>
  <si>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</si>
  <si>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</si>
  <si>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</si>
  <si>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</si>
  <si>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</si>
  <si>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</si>
  <si>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</si>
  <si>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</si>
  <si>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</si>
  <si>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</si>
  <si>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</si>
  <si>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</si>
  <si>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</si>
  <si>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</si>
  <si>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</si>
  <si>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</si>
  <si>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</si>
  <si>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</si>
  <si>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</si>
  <si>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</si>
  <si>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</si>
  <si>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</si>
  <si>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</si>
  <si>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</si>
  <si>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</si>
  <si>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</si>
  <si>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</si>
  <si>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</si>
  <si>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</si>
  <si>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</si>
  <si>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</si>
  <si>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</si>
  <si>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</si>
  <si>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</si>
  <si>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</si>
  <si>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</si>
  <si>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</si>
  <si>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</si>
  <si>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</si>
  <si>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</si>
  <si>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</si>
  <si>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</si>
  <si>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</si>
  <si>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</si>
  <si>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</si>
  <si>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</si>
  <si>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</si>
  <si>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</si>
  <si>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</si>
  <si>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</si>
  <si>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</si>
  <si>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</si>
  <si>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</si>
  <si>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</si>
  <si>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</si>
  <si>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</si>
  <si>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</si>
  <si>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</si>
  <si>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</si>
  <si>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</si>
  <si>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</si>
  <si>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</si>
  <si>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</si>
  <si>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</si>
  <si>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</si>
  <si>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</si>
  <si>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</si>
  <si>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</si>
  <si>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</si>
  <si>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</si>
  <si>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</si>
  <si>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</si>
  <si>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</si>
  <si>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</si>
  <si>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</si>
  <si>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</si>
  <si>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</si>
  <si>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</si>
  <si>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</si>
  <si>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</si>
  <si>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</si>
  <si>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</si>
  <si>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</si>
  <si>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</si>
  <si>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</si>
  <si>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</si>
  <si>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</si>
  <si>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</si>
  <si>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</si>
  <si>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</si>
  <si>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</si>
  <si>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</si>
  <si>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</si>
  <si>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</si>
  <si>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</si>
  <si>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</si>
  <si>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</si>
  <si>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</si>
  <si>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</si>
  <si>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</si>
  <si>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</si>
  <si>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</si>
  <si>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</si>
  <si>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</si>
  <si>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</si>
  <si>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</si>
  <si>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</si>
  <si>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</si>
  <si>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</si>
  <si>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</si>
  <si>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</si>
  <si>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</si>
  <si>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</si>
  <si>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</si>
  <si>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</si>
  <si>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</si>
  <si>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</si>
  <si>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</si>
  <si>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</si>
  <si>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</si>
  <si>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</si>
  <si>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</si>
  <si>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</si>
  <si>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</si>
  <si>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</si>
  <si>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</si>
  <si>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</si>
  <si>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</si>
  <si>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</si>
  <si>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</si>
  <si>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</si>
  <si>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</si>
  <si>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</si>
  <si>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</si>
  <si>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</si>
  <si>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</si>
  <si>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</si>
  <si>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</si>
  <si>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</si>
  <si>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</si>
  <si>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</si>
  <si>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</si>
  <si>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</si>
  <si>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</si>
  <si>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</si>
  <si>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</si>
  <si>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</si>
  <si>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</si>
  <si>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</si>
  <si>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</si>
  <si>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</si>
  <si>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</si>
  <si>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</si>
  <si>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</si>
  <si>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</si>
  <si>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</si>
  <si>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</si>
  <si>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</si>
  <si>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</si>
  <si>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</si>
  <si>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</si>
  <si>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</si>
  <si>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</si>
  <si>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</si>
  <si>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</si>
  <si>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</si>
  <si>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</si>
  <si>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</si>
  <si>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</si>
  <si>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</si>
  <si>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</si>
  <si>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</si>
  <si>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</si>
  <si>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</si>
  <si>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</si>
  <si>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</si>
  <si>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</si>
  <si>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</si>
  <si>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</si>
  <si>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</si>
  <si>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</si>
  <si>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</si>
  <si>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</si>
  <si>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</si>
  <si>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</si>
  <si>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</si>
  <si>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</si>
  <si>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</si>
  <si>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</si>
  <si>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</si>
  <si>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</si>
  <si>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</si>
  <si>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</si>
  <si>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</si>
  <si>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</si>
  <si>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</si>
  <si>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</si>
  <si>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</si>
  <si>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</si>
  <si>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</si>
  <si>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</si>
  <si>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</si>
  <si>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</si>
  <si>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</si>
  <si>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</si>
  <si>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</si>
  <si>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</si>
  <si>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</si>
  <si>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</si>
  <si>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</si>
  <si>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</si>
  <si>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</si>
  <si>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</si>
  <si>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</si>
  <si>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</si>
  <si>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</si>
  <si>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</si>
  <si>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</si>
  <si>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</si>
  <si>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</si>
  <si>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</si>
  <si>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</si>
  <si>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</si>
  <si>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</si>
  <si>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</si>
  <si>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</si>
  <si>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</si>
  <si>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</si>
  <si>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</si>
  <si>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</si>
  <si>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</si>
  <si>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</si>
  <si>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</si>
  <si>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</si>
  <si>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</si>
  <si>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</si>
  <si>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</si>
  <si>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</si>
  <si>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</si>
  <si>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</si>
  <si>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</si>
  <si>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</si>
  <si>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</si>
  <si>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</si>
  <si>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</si>
  <si>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</si>
  <si>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</si>
  <si>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</si>
  <si>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</si>
  <si>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</si>
  <si>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</si>
  <si>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</si>
  <si>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</si>
  <si>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</si>
  <si>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</si>
  <si>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</si>
  <si>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</si>
  <si>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</si>
  <si>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</si>
  <si>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</si>
  <si>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</si>
  <si>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</si>
  <si>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</si>
  <si>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</si>
  <si>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</si>
  <si>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</si>
  <si>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</si>
  <si>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</si>
  <si>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</si>
  <si>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</si>
  <si>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</si>
  <si>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</si>
  <si>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</si>
  <si>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</si>
  <si>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</si>
  <si>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</si>
  <si>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</si>
  <si>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</si>
  <si>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</si>
  <si>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</si>
  <si>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</si>
  <si>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</si>
  <si>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</si>
  <si>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</si>
  <si>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</si>
  <si>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</si>
  <si>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</si>
  <si>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</si>
  <si>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</si>
  <si>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</si>
  <si>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</si>
  <si>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</si>
  <si>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</si>
  <si>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</si>
  <si>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</si>
  <si>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</si>
  <si>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</si>
  <si>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</si>
  <si>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</si>
  <si>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</si>
  <si>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</si>
  <si>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</si>
  <si>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</si>
  <si>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</si>
  <si>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</si>
  <si>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</si>
  <si>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</si>
  <si>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</si>
  <si>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</si>
  <si>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</si>
  <si>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</si>
  <si>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</si>
  <si>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</si>
  <si>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</si>
  <si>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</si>
  <si>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</si>
  <si>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</si>
  <si>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</si>
  <si>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</si>
  <si>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</si>
  <si>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</si>
  <si>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</si>
  <si>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</si>
  <si>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</si>
  <si>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</si>
  <si>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</si>
  <si>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</si>
  <si>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</si>
  <si>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</si>
  <si>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</si>
  <si>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Mughal Store</t>
  </si>
  <si>
    <t>Address: Seven Street Bazar</t>
  </si>
  <si>
    <t>Shere Rubani Store</t>
  </si>
  <si>
    <t xml:space="preserve">Address: Seven Street </t>
  </si>
  <si>
    <t>Bholla Store</t>
  </si>
  <si>
    <t>Address: Shifah Hospital Street Seven</t>
  </si>
  <si>
    <t>Dogger Store</t>
  </si>
  <si>
    <t xml:space="preserve">Harmain Mart </t>
  </si>
  <si>
    <t xml:space="preserve">Raheem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</si>
</sst>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1" sqref="U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Mughal Store</v>
      </c>
      <c r="T3" s="301">
        <f>+'1'!P35</f>
        <v>1359.0309497033895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Shere Rubani Store</v>
      </c>
      <c r="T4" s="301">
        <f>+'2'!P35</f>
        <v>2722.4105840180086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Bholla Store</v>
      </c>
      <c r="T5" s="301">
        <f>+'3'!P35</f>
        <v>1411.2952132881355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Dogger Store</v>
      </c>
      <c r="T6" s="301">
        <f>+'4'!P35</f>
        <v>1960.136687802966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Harmain Mart 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37</v>
      </c>
      <c r="I8" s="236">
        <f t="shared" ref="I8:I14" si="0">(G8*D8)*F8+H8*F8</f>
        <v>1941.1125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155.28899999999999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67.938937500000009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1717.8845624999999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366.86440677966084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10.423744846398304</v>
      </c>
      <c r="P8" s="311">
        <f t="shared" ref="P8:P15" si="2">M8+N8+O8</f>
        <v>2095.172714126059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Raheem Mart </v>
      </c>
      <c r="T8" s="301">
        <f>+'6'!P35</f>
        <v>2299.8944252288134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36</v>
      </c>
      <c r="I9" s="236">
        <f t="shared" si="0"/>
        <v>1888.6499999999999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151.09199999999998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66.10275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1671.45525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356.94915254237276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10.142022012711863</v>
      </c>
      <c r="P9" s="311">
        <f t="shared" si="2"/>
        <v>2038.5464245550845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2571.4559999999997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37</v>
      </c>
      <c r="I11" s="236">
        <f t="shared" si="0"/>
        <v>2687.68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215.01440000000002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94.06880000000001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2378.5967999999998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507.96610169491532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14.432814508474577</v>
      </c>
      <c r="P11" s="311">
        <f t="shared" si="2"/>
        <v>2900.9957162033897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642.86399999999992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784.05289627118634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4.3</v>
      </c>
      <c r="H16" s="113">
        <f t="shared" ref="H16:M16" si="3">SUM(H7:H15)</f>
        <v>172</v>
      </c>
      <c r="I16" s="114">
        <f t="shared" si="3"/>
        <v>10778.9925</v>
      </c>
      <c r="J16" s="274">
        <f>SUM(J7:J15)</f>
        <v>862.31939999999997</v>
      </c>
      <c r="K16" s="275">
        <f t="shared" si="3"/>
        <v>377.26473750000002</v>
      </c>
      <c r="L16" s="276">
        <f t="shared" si="3"/>
        <v>0</v>
      </c>
      <c r="M16" s="232">
        <f t="shared" si="3"/>
        <v>9539.4083624999985</v>
      </c>
      <c r="N16" s="233">
        <f>SUM(N7:N15)</f>
        <v>2037.2033898305083</v>
      </c>
      <c r="O16" s="101">
        <f>SUM(O7:O15)</f>
        <v>57.883058761652549</v>
      </c>
      <c r="P16" s="113">
        <f>SUM(P7:P15)</f>
        <v>11634.49481109216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10778.9925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862.31939999999997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377.26473750000002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9539.4083625000003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2037.2033898305083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11576.611752330509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57.883058761652549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11634.494811092161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11634.49481109216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1259.0999999999999</v>
      </c>
      <c r="J25" s="274">
        <f>SUM(J16:J24)</f>
        <v>100.72799999999999</v>
      </c>
      <c r="K25" s="275">
        <f t="shared" si="10"/>
        <v>44.0685</v>
      </c>
      <c r="L25" s="276">
        <f t="shared" si="10"/>
        <v>0</v>
      </c>
      <c r="M25" s="232">
        <f t="shared" si="10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</v>
      </c>
      <c r="I17" s="236">
        <f t="shared" ref="I17:I23" si="0">(G17*D17)*F17+H17*F17</f>
        <v>367.23750000000001</v>
      </c>
      <c r="J17" s="272">
        <f t="shared" ref="J17:L24" si="1">$I17*S17</f>
        <v>29.379000000000001</v>
      </c>
      <c r="K17" s="128">
        <f>$I17*T17</f>
        <v>12.853312500000001</v>
      </c>
      <c r="L17" s="119">
        <f>$I17*U17</f>
        <v>0</v>
      </c>
      <c r="M17" s="230">
        <f t="shared" ref="M17:M24" si="2">I17-SUM(J17:L17)</f>
        <v>325.00518750000003</v>
      </c>
      <c r="N17" s="277">
        <f t="shared" ref="N17:N24" si="3">+(G17*D17+H17)*V17</f>
        <v>69.406779661016913</v>
      </c>
      <c r="O17" s="239">
        <f t="shared" ref="O17:O24" si="4">(N17+M17)*$O$15</f>
        <v>1.9720598358050847</v>
      </c>
      <c r="P17" s="119">
        <f t="shared" ref="P17:P24" si="5">M17+N17+O17</f>
        <v>396.38402699682206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2522.2275</v>
      </c>
      <c r="J25" s="274">
        <f>SUM(J16:J24)</f>
        <v>201.77819999999997</v>
      </c>
      <c r="K25" s="275">
        <f t="shared" si="7"/>
        <v>88.277962500000001</v>
      </c>
      <c r="L25" s="276">
        <f t="shared" si="7"/>
        <v>0</v>
      </c>
      <c r="M25" s="232">
        <f t="shared" si="7"/>
        <v>2232.1713374999999</v>
      </c>
      <c r="N25" s="233">
        <f>SUM(N16:N24)</f>
        <v>476.69491525423723</v>
      </c>
      <c r="O25" s="101">
        <f>SUM(O16:O24)</f>
        <v>13.544331263771186</v>
      </c>
      <c r="P25" s="234">
        <f>SUM(P16:P24)</f>
        <v>2722.4105840180082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2522.2275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201.77819999999997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88.277962500000001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2232.1713375000004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476.69491525423723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2708.8662527542374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13.544331263771188</v>
      </c>
    </row>
    <row r="35" spans="2:16" ht="15.75" customHeight="1" thickBot="1" x14ac:dyDescent="0.4">
      <c r="N35" s="374" t="s">
        <v>88</v>
      </c>
      <c r="O35" s="375"/>
      <c r="P35" s="297">
        <f>+P33+P34</f>
        <v>2722.4105840180086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1816.0049999999999</v>
      </c>
      <c r="J25" s="274">
        <f>SUM(J16:J24)</f>
        <v>145.28039999999999</v>
      </c>
      <c r="K25" s="275">
        <f t="shared" si="7"/>
        <v>63.560175000000008</v>
      </c>
      <c r="L25" s="276">
        <f t="shared" si="7"/>
        <v>0</v>
      </c>
      <c r="M25" s="232">
        <f t="shared" si="7"/>
        <v>1607.1644250000002</v>
      </c>
      <c r="N25" s="233">
        <f>SUM(N16:N24)</f>
        <v>343.22033898305079</v>
      </c>
      <c r="O25" s="101">
        <f>SUM(O16:O24)</f>
        <v>9.7519238199152536</v>
      </c>
      <c r="P25" s="234">
        <f>SUM(P16:P24)</f>
        <v>1960.136687802966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1816.0049999999999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145.28039999999999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63.560175000000008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1607.1644249999999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343.22033898305079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1950.3847639830508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9.7519238199152536</v>
      </c>
    </row>
    <row r="35" spans="2:16" ht="15.75" customHeight="1" thickBot="1" x14ac:dyDescent="0.4">
      <c r="N35" s="374" t="s">
        <v>88</v>
      </c>
      <c r="O35" s="375"/>
      <c r="P35" s="297">
        <f>+P33+P34</f>
        <v>1960.136687802966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2130.7799999999997</v>
      </c>
      <c r="J25" s="274">
        <f>SUM(J16:J24)</f>
        <v>170.4624</v>
      </c>
      <c r="K25" s="275">
        <f t="shared" si="7"/>
        <v>74.577300000000008</v>
      </c>
      <c r="L25" s="276">
        <f t="shared" si="7"/>
        <v>0</v>
      </c>
      <c r="M25" s="232">
        <f t="shared" si="7"/>
        <v>1885.7402999999999</v>
      </c>
      <c r="N25" s="233">
        <f>SUM(N16:N24)</f>
        <v>402.71186440677957</v>
      </c>
      <c r="O25" s="101">
        <f>SUM(O16:O24)</f>
        <v>11.442260822033898</v>
      </c>
      <c r="P25" s="234">
        <f>SUM(P16:P24)</f>
        <v>2299.8944252288134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2130.7799999999997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170.4624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74.577300000000008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1885.7402999999999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402.71186440677957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2288.4521644067795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11.442260822033898</v>
      </c>
    </row>
    <row r="35" spans="2:16" ht="15.75" customHeight="1" thickBot="1" x14ac:dyDescent="0.4">
      <c r="N35" s="374" t="s">
        <v>88</v>
      </c>
      <c r="O35" s="375"/>
      <c r="P35" s="297">
        <f>+P33+P34</f>
        <v>2299.8944252288134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2026-09-23T11:48:35Z</dcterms:modified>
</cp:coreProperties>
</file>