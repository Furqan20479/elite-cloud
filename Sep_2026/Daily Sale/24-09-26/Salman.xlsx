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CFD571C-09A1-4586-8C3D-64517E9A2B3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<sst xmlns="http://schemas.openxmlformats.org/spreadsheetml/2006/main" count="3948" uniqueCount="536">
  <si>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</si>
  <si>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</si>
  <si>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</si>
  <si>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</si>
  <si>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</si>
  <si>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</si>
  <si>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</si>
  <si>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</si>
  <si>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</si>
  <si>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</si>
  <si>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</si>
  <si>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</si>
  <si>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</si>
  <si>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</si>
  <si>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</si>
  <si>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</si>
  <si>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</si>
  <si>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</si>
  <si>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</si>
  <si>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</si>
  <si>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</si>
  <si>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</si>
  <si>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</si>
  <si>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</si>
  <si>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</si>
  <si>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</si>
  <si>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</si>
  <si>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</si>
  <si>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</si>
  <si>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</si>
  <si>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</si>
  <si>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</si>
  <si>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</si>
  <si>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</si>
  <si>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</si>
  <si>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</si>
  <si>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</si>
  <si>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</si>
  <si>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</si>
  <si>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</si>
  <si>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</si>
  <si>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</si>
  <si>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</si>
  <si>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</si>
  <si>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</si>
  <si>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</si>
  <si>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</si>
  <si>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</si>
  <si>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</si>
  <si>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</si>
  <si>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</si>
  <si>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</si>
  <si>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</si>
  <si>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</si>
  <si>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</si>
  <si>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</si>
  <si>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</si>
  <si>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</si>
  <si>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</si>
  <si>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</si>
  <si>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</si>
  <si>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</si>
  <si>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</si>
  <si>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</si>
  <si>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</si>
  <si>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</si>
  <si>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</si>
  <si>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</si>
  <si>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</si>
  <si>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</si>
  <si>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</si>
  <si>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</si>
  <si>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</si>
  <si>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</si>
  <si>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</si>
  <si>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</si>
  <si>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</si>
  <si>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</si>
  <si>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</si>
  <si>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</si>
  <si>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</si>
  <si>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</si>
  <si>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</si>
  <si>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</si>
  <si>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</si>
  <si>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</si>
  <si>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</si>
  <si>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</si>
  <si>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</si>
  <si>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</si>
  <si>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</si>
  <si>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</si>
  <si>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</si>
  <si>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</si>
  <si>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</si>
  <si>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</si>
  <si>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</si>
  <si>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</si>
  <si>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</si>
  <si>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</si>
  <si>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</si>
  <si>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</si>
  <si>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</si>
  <si>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</si>
  <si>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</si>
  <si>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</si>
  <si>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</si>
  <si>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</si>
  <si>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</si>
  <si>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</si>
  <si>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</si>
  <si>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</si>
  <si>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</si>
  <si>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</si>
  <si>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</si>
  <si>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</si>
  <si>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</si>
  <si>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</si>
  <si>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</si>
  <si>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</si>
  <si>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</si>
  <si>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</si>
  <si>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</si>
  <si>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</si>
  <si>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</si>
  <si>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</si>
  <si>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</si>
  <si>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</si>
  <si>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</si>
  <si>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</si>
  <si>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</si>
  <si>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</si>
  <si>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</si>
  <si>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</si>
  <si>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</si>
  <si>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</si>
  <si>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</si>
  <si>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</si>
  <si>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</si>
  <si>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</si>
  <si>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</si>
  <si>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</si>
  <si>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</si>
  <si>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</si>
  <si>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</si>
  <si>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</si>
  <si>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</si>
  <si>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</si>
  <si>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</si>
  <si>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</si>
  <si>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</si>
  <si>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</si>
  <si>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</si>
  <si>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</si>
  <si>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</si>
  <si>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</si>
  <si>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</si>
  <si>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</si>
  <si>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</si>
  <si>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</si>
  <si>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</si>
  <si>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</si>
  <si>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</si>
  <si>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</si>
  <si>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</si>
  <si>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</si>
  <si>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</si>
  <si>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</si>
  <si>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</si>
  <si>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</si>
  <si>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</si>
  <si>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</si>
  <si>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</si>
  <si>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</si>
  <si>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</si>
  <si>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</si>
  <si>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</si>
  <si>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</si>
  <si>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</si>
  <si>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</si>
  <si>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</si>
  <si>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</si>
  <si>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</si>
  <si>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</si>
  <si>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</si>
  <si>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</si>
  <si>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</si>
  <si>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</si>
  <si>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</si>
  <si>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</si>
  <si>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</si>
  <si>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</si>
  <si>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</si>
  <si>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</si>
  <si>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</si>
  <si>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</si>
  <si>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</si>
  <si>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</si>
  <si>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</si>
  <si>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</si>
  <si>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</si>
  <si>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</si>
  <si>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</si>
  <si>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</si>
  <si>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</si>
  <si>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</si>
  <si>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</si>
  <si>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</si>
  <si>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</si>
  <si>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</si>
  <si>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</si>
  <si>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</si>
  <si>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</si>
  <si>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</si>
  <si>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</si>
  <si>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</si>
  <si>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</si>
  <si>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</si>
  <si>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</si>
  <si>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</si>
  <si>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</si>
  <si>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</si>
  <si>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</si>
  <si>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</si>
  <si>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</si>
  <si>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</si>
  <si>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</si>
  <si>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</si>
  <si>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</si>
  <si>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</si>
  <si>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</si>
  <si>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</si>
  <si>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</si>
  <si>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</si>
  <si>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</si>
  <si>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</si>
  <si>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</si>
  <si>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</si>
  <si>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</si>
  <si>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</si>
  <si>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</si>
  <si>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</si>
  <si>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</si>
  <si>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</si>
  <si>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</si>
  <si>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</si>
  <si>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</si>
  <si>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</si>
  <si>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</si>
  <si>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</si>
  <si>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</si>
  <si>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</si>
  <si>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</si>
  <si>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</si>
  <si>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</si>
  <si>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</si>
  <si>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</si>
  <si>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</si>
  <si>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</si>
  <si>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</si>
  <si>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</si>
  <si>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</si>
  <si>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</si>
  <si>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</si>
  <si>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</si>
  <si>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</si>
  <si>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</si>
  <si>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</si>
  <si>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</si>
  <si>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</si>
  <si>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</si>
  <si>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</si>
  <si>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</si>
  <si>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</si>
  <si>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</si>
  <si>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</si>
  <si>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</si>
  <si>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</si>
  <si>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</si>
  <si>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</si>
  <si>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</si>
  <si>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</si>
  <si>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</si>
  <si>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</si>
  <si>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</si>
  <si>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</si>
  <si>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</si>
  <si>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</si>
  <si>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</si>
  <si>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</si>
  <si>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</si>
  <si>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</si>
  <si>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</si>
  <si>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</si>
  <si>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</si>
  <si>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</si>
  <si>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</si>
  <si>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</si>
  <si>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</si>
  <si>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</si>
  <si>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</si>
  <si>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</si>
  <si>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</si>
  <si>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</si>
  <si>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</si>
  <si>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</si>
  <si>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</si>
  <si>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</si>
  <si>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</si>
  <si>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</si>
  <si>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</si>
  <si>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</si>
  <si>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</si>
  <si>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</si>
  <si>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</si>
  <si>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</si>
  <si>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</si>
  <si>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</si>
  <si>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</si>
  <si>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</si>
  <si>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</si>
  <si>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</si>
  <si>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</si>
  <si>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</si>
  <si>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</si>
  <si>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</si>
  <si>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</si>
  <si>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</si>
  <si>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</si>
  <si>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</si>
  <si>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</si>
  <si>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</si>
  <si>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</si>
  <si>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</si>
  <si>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</si>
  <si>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</si>
  <si>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</si>
  <si>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</si>
  <si>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</si>
  <si>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</si>
  <si>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</si>
  <si>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</si>
  <si>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</si>
  <si>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</si>
  <si>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</si>
  <si>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</si>
  <si>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</si>
  <si>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</si>
  <si>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</si>
  <si>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</si>
  <si>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</si>
  <si>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</si>
  <si>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</si>
  <si>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</si>
  <si>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</si>
  <si>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</si>
  <si>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</si>
  <si>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</si>
  <si>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</si>
  <si>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</si>
  <si>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</si>
  <si>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</si>
  <si>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</si>
  <si>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</si>
  <si>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</si>
  <si>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</si>
  <si>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</si>
  <si>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</si>
  <si>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</si>
  <si>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</si>
  <si>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</si>
  <si>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</si>
  <si>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</si>
  <si>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</si>
  <si>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</si>
  <si>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</si>
  <si>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</si>
  <si>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</si>
  <si>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</si>
  <si>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</si>
  <si>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</si>
  <si>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</si>
  <si>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</si>
  <si>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</si>
  <si>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</si>
  <si>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</si>
  <si>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</si>
  <si>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</si>
  <si>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</si>
  <si>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</si>
  <si>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</si>
  <si>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</si>
  <si>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</si>
  <si>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</si>
  <si>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</si>
  <si>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</si>
  <si>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</si>
  <si>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</si>
  <si>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</si>
  <si>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</si>
  <si>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</si>
  <si>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</si>
  <si>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</si>
  <si>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</si>
  <si>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</si>
  <si>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</si>
  <si>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</si>
  <si>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</si>
  <si>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</si>
  <si>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</si>
  <si>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</si>
  <si>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</si>
  <si>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</si>
  <si>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</si>
  <si>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</si>
  <si>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</si>
  <si>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</si>
  <si>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</si>
  <si>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</si>
  <si>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</si>
  <si>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</si>
  <si>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</si>
  <si>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</si>
  <si>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</si>
  <si>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</si>
  <si>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</si>
  <si>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</si>
  <si>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</si>
  <si>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</si>
  <si>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</si>
  <si>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</si>
  <si>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</si>
  <si>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</si>
  <si>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</si>
  <si>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</si>
  <si>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</si>
  <si>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</si>
  <si>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</si>
  <si>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</si>
  <si>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</si>
  <si>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</si>
  <si>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</si>
  <si>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</si>
  <si>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</si>
  <si>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</si>
  <si>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</si>
  <si>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</si>
  <si>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</si>
  <si>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</si>
  <si>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</si>
  <si>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</si>
  <si>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</si>
  <si>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</si>
  <si>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</si>
  <si>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</si>
  <si>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</si>
  <si>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</si>
  <si>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</si>
  <si>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</si>
  <si>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</si>
  <si>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</si>
  <si>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</si>
  <si>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</si>
  <si>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</si>
  <si>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</si>
  <si>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</si>
  <si>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</si>
  <si>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</si>
  <si>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</si>
  <si>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</si>
  <si>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</si>
  <si>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</si>
  <si>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</si>
  <si>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</si>
  <si>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</si>
  <si>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</si>
  <si>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</si>
  <si>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</si>
  <si>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</si>
  <si>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</si>
  <si>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</si>
  <si>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</si>
  <si>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</si>
  <si>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</si>
  <si>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</si>
  <si>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</si>
  <si>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</si>
  <si>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</si>
  <si>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</si>
  <si>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</si>
  <si>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</si>
  <si>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</si>
  <si>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</si>
  <si>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</si>
  <si>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</si>
  <si>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</si>
  <si>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</si>
  <si>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</si>
  <si>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</si>
  <si>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</si>
  <si>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</si>
  <si>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</si>
  <si>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</si>
  <si>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</si>
  <si>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</si>
  <si>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</si>
  <si>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</si>
  <si>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</si>
  <si>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</si>
  <si>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</si>
  <si>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</si>
  <si>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</si>
  <si>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</si>
  <si>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</si>
  <si>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Karam Store</t>
  </si>
  <si>
    <t xml:space="preserve">Address: Tajbagh </t>
  </si>
  <si>
    <t>Marwa Mart 2</t>
  </si>
  <si>
    <t>Ideal Cash carry</t>
  </si>
  <si>
    <t>Shahbaz Store</t>
  </si>
  <si>
    <t>Touseef Store</t>
  </si>
  <si>
    <t>Yasir Store</t>
  </si>
  <si>
    <t>Khattak Store</t>
  </si>
  <si>
    <t>Awan Store</t>
  </si>
  <si>
    <t>Madina Store</t>
  </si>
  <si>
    <t>Khan Store</t>
  </si>
  <si>
    <t>786 Store</t>
  </si>
  <si>
    <t>Shah GS</t>
  </si>
  <si>
    <t>United Store</t>
  </si>
  <si>
    <t>Sarwer Store</t>
  </si>
  <si>
    <t>Abid Store</t>
  </si>
  <si>
    <t>Usman Store</t>
  </si>
  <si>
    <t>Classic Store</t>
  </si>
  <si>
    <t>Nouman Store</t>
  </si>
  <si>
    <t>Askari Store</t>
  </si>
  <si>
    <t>Al Raya Store</t>
  </si>
  <si>
    <t>Waqas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</si>
</sst>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E35" sqref="E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Karam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Marwa Mart 2</v>
      </c>
      <c r="T4" s="301">
        <f>+'2'!P35</f>
        <v>12544.846340338983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Ideal Cash carry</v>
      </c>
      <c r="T5" s="301">
        <f>+'3'!P35</f>
        <v>6403.1060647563554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Shahbaz Store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Touseef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Yasir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Khattak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177.96799999999999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961.01694915254257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27.305324745762718</v>
      </c>
      <c r="P10" s="311">
        <f t="shared" si="2"/>
        <v>5488.3702738983066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Awan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Madina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1162.2400000000007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508.47999999999985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12857.279999999999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2745.7627118644077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78.015213559322063</v>
      </c>
      <c r="P12" s="311">
        <f t="shared" si="2"/>
        <v>15681.057925423729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Khan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786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Shah GS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United Store</v>
      </c>
      <c r="T15" s="301">
        <f>+'13'!P35</f>
        <v>392.02644813559323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9.5</v>
      </c>
      <c r="H16" s="113">
        <f t="shared" ref="H16:M16" si="3">SUM(H7:H15)</f>
        <v>380</v>
      </c>
      <c r="I16" s="114">
        <f t="shared" si="3"/>
        <v>26997.875</v>
      </c>
      <c r="J16" s="274">
        <f>SUM(J7:J15)</f>
        <v>2159.8300000000008</v>
      </c>
      <c r="K16" s="275">
        <f t="shared" si="3"/>
        <v>944.92562499999985</v>
      </c>
      <c r="L16" s="276">
        <f t="shared" si="3"/>
        <v>0</v>
      </c>
      <c r="M16" s="232">
        <f t="shared" si="3"/>
        <v>23893.119375000002</v>
      </c>
      <c r="N16" s="233">
        <f>SUM(N7:N15)</f>
        <v>5102.5423728813566</v>
      </c>
      <c r="O16" s="101">
        <f>SUM(O7:O15)</f>
        <v>144.97830873940683</v>
      </c>
      <c r="P16" s="113">
        <f>SUM(P7:P15)</f>
        <v>29140.640056620767</v>
      </c>
      <c r="Q16" s="128">
        <f>SUM(Q7:Q15)</f>
        <v>0</v>
      </c>
      <c r="R16" s="313">
        <v>14</v>
      </c>
      <c r="S16" s="315" t="str">
        <f>+'14'!A6:A6</f>
        <v>Sarwer Store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Abid Store</v>
      </c>
      <c r="T17" s="301">
        <f>+'15'!P35</f>
        <v>392.02644813559323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Usman Store</v>
      </c>
      <c r="T18" s="301">
        <f>+'16'!P35</f>
        <v>392.02644813559323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26997.875</v>
      </c>
      <c r="R19" s="299">
        <v>17</v>
      </c>
      <c r="S19" s="300" t="str">
        <f>+'17'!A6:A6</f>
        <v>Classic Store</v>
      </c>
      <c r="T19" s="301">
        <f>+'17'!P35</f>
        <v>392.02644813559323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2159.8300000000008</v>
      </c>
      <c r="R20" s="299">
        <v>18</v>
      </c>
      <c r="S20" s="300" t="str">
        <f>+'18'!A6:A6</f>
        <v>Nouman Store</v>
      </c>
      <c r="T20" s="301">
        <f>+'18'!P35</f>
        <v>392.02644813559323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944.92562499999985</v>
      </c>
      <c r="R21" s="299">
        <v>19</v>
      </c>
      <c r="S21" s="300" t="str">
        <f>+'19'!A6:A6</f>
        <v>Askari Store</v>
      </c>
      <c r="T21" s="301">
        <f>+'19'!P35</f>
        <v>392.02644813559323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23893.119374999998</v>
      </c>
      <c r="R22" s="299">
        <v>20</v>
      </c>
      <c r="S22" s="300" t="str">
        <f>+'20'!A6:A6</f>
        <v>Al Raya Store</v>
      </c>
      <c r="T22" s="301">
        <f>+'20'!P35</f>
        <v>392.02644813559323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5102.5423728813566</v>
      </c>
      <c r="R23" s="299">
        <v>21</v>
      </c>
      <c r="S23" s="300" t="str">
        <f>+'21'!A6:A6</f>
        <v>Waqas Store</v>
      </c>
      <c r="T23" s="301">
        <f>+'21'!P35</f>
        <v>392.02644813559323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28995.661747881357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144.97830873940683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29140.640056620763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29140.640056620734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11622.4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929.79200000000003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406.78400000000005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10285.824000000001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12482.434169491526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4" t="s">
        <v>88</v>
      </c>
      <c r="O35" s="375"/>
      <c r="P35" s="297">
        <f>+P33+P34</f>
        <v>12544.846340338983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90</v>
      </c>
      <c r="I25" s="114">
        <f t="shared" si="7"/>
        <v>5932.2749999999996</v>
      </c>
      <c r="J25" s="274">
        <f>SUM(J16:J24)</f>
        <v>474.58199999999999</v>
      </c>
      <c r="K25" s="275">
        <f t="shared" si="7"/>
        <v>207.62962500000003</v>
      </c>
      <c r="L25" s="276">
        <f t="shared" si="7"/>
        <v>0</v>
      </c>
      <c r="M25" s="232">
        <f t="shared" si="7"/>
        <v>5250.0633749999997</v>
      </c>
      <c r="N25" s="233">
        <f>SUM(N16:N24)</f>
        <v>1121.1864406779659</v>
      </c>
      <c r="O25" s="101">
        <f>SUM(O16:O24)</f>
        <v>31.856249078389833</v>
      </c>
      <c r="P25" s="234">
        <f>SUM(P16:P24)</f>
        <v>6403.1060647563554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5932.2749999999996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474.58199999999999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207.62962500000003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5250.0633749999997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1121.1864406779659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6371.2498156779657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31.85624907838983</v>
      </c>
    </row>
    <row r="35" spans="2:16" ht="15.75" customHeight="1" thickBot="1" x14ac:dyDescent="0.4">
      <c r="N35" s="374" t="s">
        <v>88</v>
      </c>
      <c r="O35" s="375"/>
      <c r="P35" s="297">
        <f>+P33+P34</f>
        <v>6403.1060647563554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4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B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B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B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B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B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B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B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B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2026-09-23T11:26:09Z</dcterms:modified>
</cp:coreProperties>
</file>