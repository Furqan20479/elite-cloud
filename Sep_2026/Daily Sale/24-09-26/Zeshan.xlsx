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4D2E63C-F09D-4B21-AFA1-2F56FD9548F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<sst xmlns="http://schemas.openxmlformats.org/spreadsheetml/2006/main" count="3948" uniqueCount="524">
  <si>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</si>
  <si>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</si>
  <si>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</si>
  <si>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</si>
  <si>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</si>
  <si>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</si>
  <si>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</si>
  <si>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</si>
  <si>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</si>
  <si>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</si>
  <si>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</si>
  <si>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</si>
  <si>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</si>
  <si>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</si>
  <si>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</si>
  <si>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</si>
  <si>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</si>
  <si>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</si>
  <si>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</si>
  <si>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</si>
  <si>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</si>
  <si>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</si>
  <si>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</si>
  <si>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</si>
  <si>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</si>
  <si>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</si>
  <si>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</si>
  <si>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</si>
  <si>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</si>
  <si>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</si>
  <si>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</si>
  <si>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</si>
  <si>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</si>
  <si>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</si>
  <si>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</si>
  <si>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</si>
  <si>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</si>
  <si>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</si>
  <si>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</si>
  <si>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</si>
  <si>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</si>
  <si>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</si>
  <si>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</si>
  <si>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</si>
  <si>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</si>
  <si>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</si>
  <si>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</si>
  <si>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</si>
  <si>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</si>
  <si>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</si>
  <si>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</si>
  <si>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</si>
  <si>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</si>
  <si>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</si>
  <si>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</si>
  <si>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</si>
  <si>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</si>
  <si>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</si>
  <si>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</si>
  <si>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</si>
  <si>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</si>
  <si>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</si>
  <si>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</si>
  <si>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</si>
  <si>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</si>
  <si>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</si>
  <si>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</si>
  <si>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</si>
  <si>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</si>
  <si>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</si>
  <si>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</si>
  <si>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</si>
  <si>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</si>
  <si>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</si>
  <si>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</si>
  <si>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</si>
  <si>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</si>
  <si>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</si>
  <si>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</si>
  <si>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</si>
  <si>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</si>
  <si>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</si>
  <si>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</si>
  <si>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</si>
  <si>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</si>
  <si>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</si>
  <si>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</si>
  <si>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</si>
  <si>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</si>
  <si>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</si>
  <si>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</si>
  <si>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</si>
  <si>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</si>
  <si>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</si>
  <si>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</si>
  <si>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</si>
  <si>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</si>
  <si>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</si>
  <si>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</si>
  <si>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</si>
  <si>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</si>
  <si>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</si>
  <si>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</si>
  <si>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</si>
  <si>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</si>
  <si>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</si>
  <si>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</si>
  <si>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</si>
  <si>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</si>
  <si>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</si>
  <si>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</si>
  <si>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</si>
  <si>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</si>
  <si>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</si>
  <si>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</si>
  <si>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</si>
  <si>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</si>
  <si>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</si>
  <si>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</si>
  <si>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</si>
  <si>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</si>
  <si>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</si>
  <si>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</si>
  <si>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</si>
  <si>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</si>
  <si>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</si>
  <si>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</si>
  <si>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</si>
  <si>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</si>
  <si>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</si>
  <si>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</si>
  <si>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</si>
  <si>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</si>
  <si>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</si>
  <si>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</si>
  <si>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</si>
  <si>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</si>
  <si>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</si>
  <si>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</si>
  <si>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</si>
  <si>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</si>
  <si>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</si>
  <si>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</si>
  <si>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</si>
  <si>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</si>
  <si>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</si>
  <si>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</si>
  <si>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</si>
  <si>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</si>
  <si>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</si>
  <si>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</si>
  <si>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</si>
  <si>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</si>
  <si>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</si>
  <si>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</si>
  <si>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</si>
  <si>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</si>
  <si>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</si>
  <si>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</si>
  <si>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</si>
  <si>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</si>
  <si>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</si>
  <si>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</si>
  <si>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</si>
  <si>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</si>
  <si>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</si>
  <si>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</si>
  <si>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</si>
  <si>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</si>
  <si>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</si>
  <si>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</si>
  <si>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</si>
  <si>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</si>
  <si>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</si>
  <si>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</si>
  <si>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</si>
  <si>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</si>
  <si>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</si>
  <si>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</si>
  <si>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</si>
  <si>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</si>
  <si>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</si>
  <si>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</si>
  <si>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</si>
  <si>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</si>
  <si>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</si>
  <si>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</si>
  <si>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</si>
  <si>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</si>
  <si>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</si>
  <si>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</si>
  <si>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</si>
  <si>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</si>
  <si>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</si>
  <si>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</si>
  <si>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</si>
  <si>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</si>
  <si>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</si>
  <si>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</si>
  <si>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</si>
  <si>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</si>
  <si>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</si>
  <si>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</si>
  <si>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</si>
  <si>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</si>
  <si>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</si>
  <si>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</si>
  <si>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</si>
  <si>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</si>
  <si>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</si>
  <si>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</si>
  <si>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</si>
  <si>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</si>
  <si>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</si>
  <si>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</si>
  <si>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</si>
  <si>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</si>
  <si>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</si>
  <si>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</si>
  <si>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</si>
  <si>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</si>
  <si>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</si>
  <si>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</si>
  <si>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</si>
  <si>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</si>
  <si>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</si>
  <si>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</si>
  <si>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</si>
  <si>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</si>
  <si>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</si>
  <si>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</si>
  <si>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</si>
  <si>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</si>
  <si>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</si>
  <si>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</si>
  <si>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</si>
  <si>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</si>
  <si>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</si>
  <si>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</si>
  <si>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</si>
  <si>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</si>
  <si>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</si>
  <si>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</si>
  <si>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</si>
  <si>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</si>
  <si>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</si>
  <si>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</si>
  <si>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</si>
  <si>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</si>
  <si>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</si>
  <si>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</si>
  <si>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</si>
  <si>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</si>
  <si>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</si>
  <si>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</si>
  <si>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</si>
  <si>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</si>
  <si>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</si>
  <si>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</si>
  <si>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</si>
  <si>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</si>
  <si>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</si>
  <si>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</si>
  <si>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</si>
  <si>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</si>
  <si>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</si>
  <si>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</si>
  <si>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</si>
  <si>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</si>
  <si>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</si>
  <si>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</si>
  <si>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</si>
  <si>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</si>
  <si>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</si>
  <si>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</si>
  <si>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</si>
  <si>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</si>
  <si>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</si>
  <si>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</si>
  <si>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</si>
  <si>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</si>
  <si>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</si>
  <si>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</si>
  <si>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</si>
  <si>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</si>
  <si>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</si>
  <si>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</si>
  <si>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</si>
  <si>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</si>
  <si>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</si>
  <si>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</si>
  <si>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</si>
  <si>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</si>
  <si>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</si>
  <si>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</si>
  <si>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</si>
  <si>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</si>
  <si>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</si>
  <si>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</si>
  <si>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</si>
  <si>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</si>
  <si>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</si>
  <si>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</si>
  <si>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</si>
  <si>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</si>
  <si>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</si>
  <si>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</si>
  <si>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</si>
  <si>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</si>
  <si>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</si>
  <si>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</si>
  <si>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</si>
  <si>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</si>
  <si>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</si>
  <si>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</si>
  <si>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</si>
  <si>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</si>
  <si>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</si>
  <si>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</si>
  <si>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</si>
  <si>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</si>
  <si>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</si>
  <si>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</si>
  <si>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</si>
  <si>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</si>
  <si>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</si>
  <si>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</si>
  <si>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</si>
  <si>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</si>
  <si>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</si>
  <si>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</si>
  <si>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</si>
  <si>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</si>
  <si>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</si>
  <si>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</si>
  <si>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</si>
  <si>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</si>
  <si>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</si>
  <si>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</si>
  <si>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</si>
  <si>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</si>
  <si>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</si>
  <si>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</si>
  <si>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</si>
  <si>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</si>
  <si>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</si>
  <si>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</si>
  <si>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</si>
  <si>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</si>
  <si>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</si>
  <si>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</si>
  <si>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</si>
  <si>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</si>
  <si>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</si>
  <si>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</si>
  <si>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</si>
  <si>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</si>
  <si>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</si>
  <si>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</si>
  <si>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</si>
  <si>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</si>
  <si>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</si>
  <si>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</si>
  <si>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</si>
  <si>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</si>
  <si>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</si>
  <si>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</si>
  <si>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</si>
  <si>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</si>
  <si>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</si>
  <si>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</si>
  <si>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</si>
  <si>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</si>
  <si>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</si>
  <si>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</si>
  <si>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</si>
  <si>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</si>
  <si>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</si>
  <si>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</si>
  <si>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</si>
  <si>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</si>
  <si>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</si>
  <si>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</si>
  <si>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</si>
  <si>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</si>
  <si>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</si>
  <si>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</si>
  <si>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</si>
  <si>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</si>
  <si>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</si>
  <si>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</si>
  <si>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</si>
  <si>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</si>
  <si>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</si>
  <si>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</si>
  <si>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</si>
  <si>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</si>
  <si>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</si>
  <si>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</si>
  <si>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</si>
  <si>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</si>
  <si>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</si>
  <si>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</si>
  <si>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</si>
  <si>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</si>
  <si>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</si>
  <si>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</si>
  <si>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</si>
  <si>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</si>
  <si>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</si>
  <si>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</si>
  <si>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</si>
  <si>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</si>
  <si>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</si>
  <si>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</si>
  <si>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</si>
  <si>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</si>
  <si>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</si>
  <si>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</si>
  <si>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</si>
  <si>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</si>
  <si>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</si>
  <si>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</si>
  <si>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</si>
  <si>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</si>
  <si>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</si>
  <si>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</si>
  <si>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</si>
  <si>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</si>
  <si>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</si>
  <si>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</si>
  <si>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</si>
  <si>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</si>
  <si>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</si>
  <si>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</si>
  <si>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</si>
  <si>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</si>
  <si>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</si>
  <si>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</si>
  <si>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</si>
  <si>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</si>
  <si>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</si>
  <si>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</si>
  <si>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</si>
  <si>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</si>
  <si>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</si>
  <si>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</si>
  <si>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</si>
  <si>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</si>
  <si>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</si>
  <si>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</si>
  <si>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</si>
  <si>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</si>
  <si>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</si>
  <si>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</si>
  <si>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</si>
  <si>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</si>
  <si>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</si>
  <si>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</si>
  <si>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</si>
  <si>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</si>
  <si>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</si>
  <si>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</si>
  <si>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</si>
  <si>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</si>
  <si>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</si>
  <si>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</si>
  <si>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</si>
  <si>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</si>
  <si>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</si>
  <si>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</si>
  <si>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</si>
  <si>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</si>
  <si>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</si>
  <si>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</si>
  <si>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</si>
  <si>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</si>
  <si>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</si>
  <si>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</si>
  <si>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</si>
  <si>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</si>
  <si>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</si>
  <si>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</si>
  <si>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</si>
  <si>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</si>
  <si>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</si>
  <si>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</si>
  <si>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</si>
  <si>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</si>
  <si>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</si>
  <si>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</si>
  <si>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</si>
  <si>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</si>
  <si>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</si>
  <si>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</si>
  <si>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</si>
  <si>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</si>
  <si>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</si>
  <si>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</si>
  <si>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</si>
  <si>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</si>
  <si>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</si>
  <si>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</si>
  <si>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</si>
  <si>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</si>
  <si>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</si>
  <si>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</si>
  <si>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</si>
  <si>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</si>
  <si>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</si>
  <si>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</si>
  <si>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</si>
  <si>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</si>
  <si>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</si>
  <si>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Shahab Store</t>
  </si>
  <si>
    <t>Address: DHA</t>
  </si>
  <si>
    <t>MS Store</t>
  </si>
  <si>
    <t xml:space="preserve">Pakistan Mart </t>
  </si>
  <si>
    <t>Maharaja Store</t>
  </si>
  <si>
    <t>Bravo Store</t>
  </si>
  <si>
    <t xml:space="preserve">B mart </t>
  </si>
  <si>
    <t xml:space="preserve">Tariq Mart </t>
  </si>
  <si>
    <t>Trust Store</t>
  </si>
  <si>
    <t xml:space="preserve">Organic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</si>
</sst>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Shahab Store</v>
      </c>
      <c r="T3" s="301">
        <f>+'1'!P35</f>
        <v>3077.8090250847458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MS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Pakistan Mart 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Maharaja Store</v>
      </c>
      <c r="T6" s="301">
        <f>+'4'!P35</f>
        <v>292.10613486101687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309.52875000000006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2728.05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16.614826271186438</v>
      </c>
      <c r="P7" s="310">
        <f>M7+N7+O7</f>
        <v>3339.5800805084741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Bravo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309.52875000000006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2728.05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16.614826271186438</v>
      </c>
      <c r="P8" s="311">
        <f t="shared" ref="P8:P15" si="2">M8+N8+O8</f>
        <v>3339.5800805084741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B mart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409.20749999999998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3640.8975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22.170589194915252</v>
      </c>
      <c r="P9" s="311">
        <f t="shared" si="2"/>
        <v>4456.2884281779652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Tariq Mart </v>
      </c>
      <c r="T9" s="301">
        <f>+'7'!P35</f>
        <v>8298.9972980084749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646.49599999999998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5662.2880000000005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34.489406101694918</v>
      </c>
      <c r="P10" s="311">
        <f t="shared" si="2"/>
        <v>6932.3706264406783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Trust Store</v>
      </c>
      <c r="T10" s="301">
        <f>+'8'!P35</f>
        <v>1698.7886871292369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6312.4160000000002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38.426486779661019</v>
      </c>
      <c r="P11" s="311">
        <f t="shared" si="2"/>
        <v>7723.7238427118646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Organic Mart </v>
      </c>
      <c r="T11" s="301">
        <f>+'9'!P35</f>
        <v>18979.851298855934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170</v>
      </c>
      <c r="I12" s="236">
        <f t="shared" si="0"/>
        <v>12348.8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1213.088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432.20800000000008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10703.503999999999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2333.8983050847455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65.187011525423728</v>
      </c>
      <c r="P12" s="311">
        <f t="shared" si="2"/>
        <v>13102.589316610169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</v>
      </c>
      <c r="I13" s="236">
        <f t="shared" si="0"/>
        <v>666.91000000000008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33.345500000000008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23.341850000000004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34.012410000000003</v>
      </c>
      <c r="M13" s="230">
        <f t="shared" si="1"/>
        <v>576.21024000000011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129.66101694915247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3.5293562847457629</v>
      </c>
      <c r="P13" s="311">
        <f t="shared" si="2"/>
        <v>709.4006132338983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14.425000000000001</v>
      </c>
      <c r="H16" s="113">
        <f t="shared" ref="H16:M16" si="3">SUM(H7:H15)</f>
        <v>577</v>
      </c>
      <c r="I16" s="114">
        <f t="shared" si="3"/>
        <v>37309.81</v>
      </c>
      <c r="J16" s="274">
        <f>SUM(J7:J15)</f>
        <v>3618.5385000000001</v>
      </c>
      <c r="K16" s="275">
        <f t="shared" si="3"/>
        <v>1305.8433500000003</v>
      </c>
      <c r="L16" s="276">
        <f t="shared" si="3"/>
        <v>34.012410000000003</v>
      </c>
      <c r="M16" s="232">
        <f t="shared" si="3"/>
        <v>32351.415740000004</v>
      </c>
      <c r="N16" s="233">
        <f>SUM(N7:N15)</f>
        <v>7055.0847457627106</v>
      </c>
      <c r="O16" s="101">
        <f>SUM(O7:O15)</f>
        <v>197.03250242881356</v>
      </c>
      <c r="P16" s="113">
        <f>SUM(P7:P15)</f>
        <v>39603.532988191524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37309.81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3618.5385000000001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1339.8557600000004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32351.415739999997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7055.0847457627106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39406.500485762706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197.03250242881356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39603.532988191517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39603.532988191524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108.96</v>
      </c>
      <c r="K19" s="128">
        <f t="shared" si="1"/>
        <v>38.136000000000003</v>
      </c>
      <c r="L19" s="119">
        <f t="shared" si="1"/>
        <v>0</v>
      </c>
      <c r="M19" s="230">
        <f t="shared" si="2"/>
        <v>942.50399999999991</v>
      </c>
      <c r="N19" s="277">
        <f t="shared" si="3"/>
        <v>205.93220338983053</v>
      </c>
      <c r="O19" s="239">
        <f t="shared" si="4"/>
        <v>5.7421810169491527</v>
      </c>
      <c r="P19" s="119">
        <f t="shared" si="5"/>
        <v>1154.1783844067797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72.64</v>
      </c>
      <c r="K20" s="128">
        <f t="shared" si="1"/>
        <v>25.424000000000003</v>
      </c>
      <c r="L20" s="119">
        <f t="shared" si="1"/>
        <v>0</v>
      </c>
      <c r="M20" s="230">
        <f t="shared" si="2"/>
        <v>628.33600000000001</v>
      </c>
      <c r="N20" s="277">
        <f t="shared" si="3"/>
        <v>137.28813559322035</v>
      </c>
      <c r="O20" s="239">
        <f t="shared" si="4"/>
        <v>3.8281206779661017</v>
      </c>
      <c r="P20" s="119">
        <f t="shared" si="5"/>
        <v>769.45225627118646</v>
      </c>
      <c r="Q20" s="319"/>
      <c r="R20">
        <f>P20/21</f>
        <v>36.640583631961263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108.96</v>
      </c>
      <c r="K21" s="128">
        <f t="shared" si="1"/>
        <v>38.136000000000003</v>
      </c>
      <c r="L21" s="119">
        <f t="shared" si="1"/>
        <v>0</v>
      </c>
      <c r="M21" s="230">
        <f t="shared" si="2"/>
        <v>942.50399999999991</v>
      </c>
      <c r="N21" s="277">
        <f t="shared" si="3"/>
        <v>205.93220338983053</v>
      </c>
      <c r="O21" s="239">
        <f t="shared" si="4"/>
        <v>5.7421810169491527</v>
      </c>
      <c r="P21" s="119">
        <f t="shared" si="5"/>
        <v>1154.1783844067797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290.56</v>
      </c>
      <c r="K25" s="275">
        <f t="shared" si="10"/>
        <v>101.696</v>
      </c>
      <c r="L25" s="276">
        <f t="shared" si="10"/>
        <v>0</v>
      </c>
      <c r="M25" s="232">
        <f t="shared" si="10"/>
        <v>2513.3440000000001</v>
      </c>
      <c r="N25" s="233">
        <f>SUM(N16:N24)</f>
        <v>549.15254237288138</v>
      </c>
      <c r="O25" s="101">
        <f>SUM(O16:O24)</f>
        <v>15.312482711864408</v>
      </c>
      <c r="P25" s="234">
        <f>SUM(P16:P24)</f>
        <v>3077.8090250847463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290.56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2513.3440000000001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3062.4965423728813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15.312482711864407</v>
      </c>
    </row>
    <row r="35" spans="2:16" ht="15.75" customHeight="1" thickBot="1" x14ac:dyDescent="0.4">
      <c r="N35" s="374" t="s">
        <v>88</v>
      </c>
      <c r="O35" s="375"/>
      <c r="P35" s="297">
        <f>+P33+P34</f>
        <v>3077.8090250847458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7</v>
      </c>
      <c r="I22" s="236">
        <f t="shared" si="0"/>
        <v>274.61</v>
      </c>
      <c r="J22" s="272">
        <f t="shared" si="1"/>
        <v>13.730500000000001</v>
      </c>
      <c r="K22" s="128">
        <f t="shared" si="1"/>
        <v>9.6113500000000016</v>
      </c>
      <c r="L22" s="119">
        <f t="shared" si="1"/>
        <v>14.00511</v>
      </c>
      <c r="M22" s="230">
        <f t="shared" si="2"/>
        <v>237.26304000000002</v>
      </c>
      <c r="N22" s="277">
        <f t="shared" si="3"/>
        <v>53.389830508474546</v>
      </c>
      <c r="O22" s="239">
        <f t="shared" si="4"/>
        <v>1.4532643525423727</v>
      </c>
      <c r="P22" s="119">
        <f t="shared" si="5"/>
        <v>292.10613486101693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</v>
      </c>
      <c r="I25" s="114">
        <f t="shared" si="7"/>
        <v>274.61</v>
      </c>
      <c r="J25" s="274">
        <f>SUM(J16:J24)</f>
        <v>13.730500000000001</v>
      </c>
      <c r="K25" s="275">
        <f t="shared" si="7"/>
        <v>9.6113500000000016</v>
      </c>
      <c r="L25" s="276">
        <f t="shared" si="7"/>
        <v>14.00511</v>
      </c>
      <c r="M25" s="232">
        <f t="shared" si="7"/>
        <v>237.26304000000002</v>
      </c>
      <c r="N25" s="233">
        <f>SUM(N16:N24)</f>
        <v>53.389830508474546</v>
      </c>
      <c r="O25" s="101">
        <f>SUM(O16:O24)</f>
        <v>1.4532643525423727</v>
      </c>
      <c r="P25" s="234">
        <f>SUM(P16:P24)</f>
        <v>292.10613486101693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274.61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13.730500000000001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23.616460000000004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237.26303999999999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53.389830508474546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290.65287050847451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1.4532643525423725</v>
      </c>
    </row>
    <row r="35" spans="2:16" ht="15.75" customHeight="1" thickBot="1" x14ac:dyDescent="0.4">
      <c r="N35" s="374" t="s">
        <v>88</v>
      </c>
      <c r="O35" s="375"/>
      <c r="P35" s="297">
        <f>+P33+P34</f>
        <v>292.10613486101687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57.708750000000002</v>
      </c>
      <c r="K16" s="127">
        <f>$I16*T16</f>
        <v>18.361875000000001</v>
      </c>
      <c r="L16" s="118">
        <f>$I16*U16</f>
        <v>0</v>
      </c>
      <c r="M16" s="229">
        <f>I16-SUM(J16:L16)</f>
        <v>448.55437499999999</v>
      </c>
      <c r="N16" s="248">
        <f>+(G16*D16+H16)*V16</f>
        <v>99.152542372881314</v>
      </c>
      <c r="O16" s="238">
        <f>(N16+M16)*$O$15</f>
        <v>2.7385345868644069</v>
      </c>
      <c r="P16" s="118">
        <f>M16+N16+O16</f>
        <v>550.4454519597457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57.708750000000002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448.55437499999999</v>
      </c>
      <c r="N17" s="277">
        <f t="shared" ref="N17:N24" si="3">+(G17*D17+H17)*V17</f>
        <v>99.152542372881314</v>
      </c>
      <c r="O17" s="239">
        <f t="shared" ref="O17:O24" si="4">(N17+M17)*$O$15</f>
        <v>2.7385345868644069</v>
      </c>
      <c r="P17" s="119">
        <f t="shared" ref="P17:P24" si="5">M17+N17+O17</f>
        <v>550.4454519597457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115.4175</v>
      </c>
      <c r="K18" s="128">
        <f t="shared" si="1"/>
        <v>36.723750000000003</v>
      </c>
      <c r="L18" s="119">
        <f t="shared" si="1"/>
        <v>0</v>
      </c>
      <c r="M18" s="230">
        <f t="shared" si="2"/>
        <v>897.10874999999999</v>
      </c>
      <c r="N18" s="277">
        <f t="shared" si="3"/>
        <v>198.30508474576263</v>
      </c>
      <c r="O18" s="239">
        <f t="shared" si="4"/>
        <v>5.4770691737288137</v>
      </c>
      <c r="P18" s="119">
        <f t="shared" si="5"/>
        <v>1100.8909039194914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159.80799999999999</v>
      </c>
      <c r="K19" s="128">
        <f t="shared" si="1"/>
        <v>50.848000000000006</v>
      </c>
      <c r="L19" s="119">
        <f t="shared" si="1"/>
        <v>0</v>
      </c>
      <c r="M19" s="230">
        <f t="shared" si="2"/>
        <v>1242.144</v>
      </c>
      <c r="N19" s="277">
        <f t="shared" si="3"/>
        <v>274.57627118644069</v>
      </c>
      <c r="O19" s="239">
        <f t="shared" si="4"/>
        <v>7.5836013559322035</v>
      </c>
      <c r="P19" s="119">
        <f t="shared" si="5"/>
        <v>1524.3038725423728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159.80799999999999</v>
      </c>
      <c r="K20" s="128">
        <f t="shared" si="1"/>
        <v>50.848000000000006</v>
      </c>
      <c r="L20" s="119">
        <f t="shared" si="1"/>
        <v>0</v>
      </c>
      <c r="M20" s="230">
        <f t="shared" si="2"/>
        <v>1242.144</v>
      </c>
      <c r="N20" s="277">
        <f t="shared" si="3"/>
        <v>274.57627118644069</v>
      </c>
      <c r="O20" s="239">
        <f t="shared" si="4"/>
        <v>7.5836013559322035</v>
      </c>
      <c r="P20" s="119">
        <f t="shared" si="5"/>
        <v>1524.3038725423728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870.06700000000001</v>
      </c>
      <c r="K25" s="275">
        <f t="shared" si="7"/>
        <v>276.83950000000004</v>
      </c>
      <c r="L25" s="276">
        <f t="shared" si="7"/>
        <v>0</v>
      </c>
      <c r="M25" s="232">
        <f t="shared" si="7"/>
        <v>6762.7934999999998</v>
      </c>
      <c r="N25" s="233">
        <f>SUM(N16:N24)</f>
        <v>1494.9152542372881</v>
      </c>
      <c r="O25" s="101">
        <f>SUM(O16:O24)</f>
        <v>41.28854377118644</v>
      </c>
      <c r="P25" s="234">
        <f>SUM(P16:P24)</f>
        <v>8298.9972980084749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870.06700000000001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6762.7935000000007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8257.7087542372883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41.28854377118644</v>
      </c>
    </row>
    <row r="35" spans="2:16" ht="15.75" customHeight="1" thickBot="1" x14ac:dyDescent="0.4">
      <c r="N35" s="374" t="s">
        <v>88</v>
      </c>
      <c r="O35" s="375"/>
      <c r="P35" s="297">
        <f>+P33+P34</f>
        <v>8298.9972980084749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125.91</v>
      </c>
      <c r="K25" s="275">
        <f t="shared" si="7"/>
        <v>55.085625000000007</v>
      </c>
      <c r="L25" s="276">
        <f t="shared" si="7"/>
        <v>0</v>
      </c>
      <c r="M25" s="232">
        <f t="shared" si="7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17917.900000000001</v>
      </c>
      <c r="J25" s="274">
        <f>SUM(J16:J24)</f>
        <v>1791.79</v>
      </c>
      <c r="K25" s="275">
        <f t="shared" si="7"/>
        <v>627.12650000000008</v>
      </c>
      <c r="L25" s="276">
        <f t="shared" si="7"/>
        <v>0</v>
      </c>
      <c r="M25" s="232">
        <f t="shared" si="7"/>
        <v>15498.9835</v>
      </c>
      <c r="N25" s="233">
        <f>SUM(N16:N24)</f>
        <v>3386.4406779661012</v>
      </c>
      <c r="O25" s="101">
        <f>SUM(O16:O24)</f>
        <v>94.427120889830505</v>
      </c>
      <c r="P25" s="234">
        <f>SUM(P16:P24)</f>
        <v>18979.851298855931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17917.900000000001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1791.79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627.12650000000008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15498.9835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3386.4406779661012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18885.424177966102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94.427120889830519</v>
      </c>
    </row>
    <row r="35" spans="2:16" ht="15.75" customHeight="1" thickBot="1" x14ac:dyDescent="0.4">
      <c r="N35" s="374" t="s">
        <v>88</v>
      </c>
      <c r="O35" s="375"/>
      <c r="P35" s="297">
        <f>+P33+P34</f>
        <v>18979.851298855934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2026-09-23T11:04:58Z</dcterms:modified>
</cp:coreProperties>
</file>