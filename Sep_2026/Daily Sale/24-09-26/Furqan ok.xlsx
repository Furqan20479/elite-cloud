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522D17B-8301-4D6B-A66C-3D9B592A265B}" xr6:coauthVersionLast="47" xr6:coauthVersionMax="47" xr10:uidLastSave="{00000000-0000-0000-0000-000000000000}"/>
  <bookViews>
    <workbookView xWindow="-110" yWindow="-110" windowWidth="19420" windowHeight="10420" tabRatio="948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<sst xmlns="http://schemas.openxmlformats.org/spreadsheetml/2006/main" count="3948" uniqueCount="524">
  <si>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</si>
  <si>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</si>
  <si>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</si>
  <si>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</si>
  <si>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</si>
  <si>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</si>
  <si>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</si>
  <si>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</si>
  <si>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</si>
  <si>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</si>
  <si>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</si>
  <si>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</si>
  <si>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</si>
  <si>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</si>
  <si>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</si>
  <si>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</si>
  <si>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</si>
  <si>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</si>
  <si>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</si>
  <si>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</si>
  <si>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</si>
  <si>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</si>
  <si>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</si>
  <si>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</si>
  <si>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</si>
  <si>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</si>
  <si>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</si>
  <si>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</si>
  <si>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</si>
  <si>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</si>
  <si>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</si>
  <si>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</si>
  <si>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</si>
  <si>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</si>
  <si>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</si>
  <si>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</si>
  <si>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</si>
  <si>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</si>
  <si>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</si>
  <si>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</si>
  <si>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</si>
  <si>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</si>
  <si>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</si>
  <si>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</si>
  <si>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</si>
  <si>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</si>
  <si>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</si>
  <si>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</si>
  <si>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</si>
  <si>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</si>
  <si>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</si>
  <si>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</si>
  <si>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</si>
  <si>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</si>
  <si>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</si>
  <si>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</si>
  <si>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</si>
  <si>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</si>
  <si>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</si>
  <si>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</si>
  <si>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</si>
  <si>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</si>
  <si>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</si>
  <si>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</si>
  <si>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</si>
  <si>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</si>
  <si>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</si>
  <si>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</si>
  <si>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</si>
  <si>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</si>
  <si>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</si>
  <si>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</si>
  <si>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</si>
  <si>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</si>
  <si>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</si>
  <si>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</si>
  <si>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</si>
  <si>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</si>
  <si>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</si>
  <si>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</si>
  <si>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</si>
  <si>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</si>
  <si>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</si>
  <si>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</si>
  <si>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</si>
  <si>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</si>
  <si>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</si>
  <si>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</si>
  <si>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</si>
  <si>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</si>
  <si>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</si>
  <si>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</si>
  <si>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</si>
  <si>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</si>
  <si>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</si>
  <si>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</si>
  <si>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</si>
  <si>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</si>
  <si>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</si>
  <si>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</si>
  <si>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</si>
  <si>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</si>
  <si>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</si>
  <si>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</si>
  <si>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</si>
  <si>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</si>
  <si>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</si>
  <si>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</si>
  <si>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</si>
  <si>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</si>
  <si>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</si>
  <si>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</si>
  <si>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</si>
  <si>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</si>
  <si>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</si>
  <si>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</si>
  <si>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</si>
  <si>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</si>
  <si>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</si>
  <si>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</si>
  <si>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</si>
  <si>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</si>
  <si>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</si>
  <si>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</si>
  <si>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</si>
  <si>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</si>
  <si>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</si>
  <si>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</si>
  <si>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</si>
  <si>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</si>
  <si>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</si>
  <si>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</si>
  <si>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</si>
  <si>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</si>
  <si>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</si>
  <si>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</si>
  <si>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</si>
  <si>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</si>
  <si>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</si>
  <si>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</si>
  <si>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</si>
  <si>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</si>
  <si>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</si>
  <si>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</si>
  <si>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</si>
  <si>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</si>
  <si>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</si>
  <si>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</si>
  <si>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</si>
  <si>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</si>
  <si>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</si>
  <si>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</si>
  <si>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</si>
  <si>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</si>
  <si>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</si>
  <si>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</si>
  <si>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</si>
  <si>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</si>
  <si>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</si>
  <si>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</si>
  <si>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</si>
  <si>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</si>
  <si>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</si>
  <si>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</si>
  <si>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</si>
  <si>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</si>
  <si>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</si>
  <si>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</si>
  <si>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</si>
  <si>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</si>
  <si>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</si>
  <si>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</si>
  <si>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</si>
  <si>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</si>
  <si>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</si>
  <si>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</si>
  <si>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</si>
  <si>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</si>
  <si>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</si>
  <si>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</si>
  <si>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</si>
  <si>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</si>
  <si>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</si>
  <si>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</si>
  <si>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</si>
  <si>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</si>
  <si>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</si>
  <si>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</si>
  <si>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</si>
  <si>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</si>
  <si>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</si>
  <si>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</si>
  <si>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</si>
  <si>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</si>
  <si>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</si>
  <si>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</si>
  <si>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</si>
  <si>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</si>
  <si>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</si>
  <si>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</si>
  <si>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</si>
  <si>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</si>
  <si>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</si>
  <si>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</si>
  <si>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</si>
  <si>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</si>
  <si>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</si>
  <si>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</si>
  <si>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</si>
  <si>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</si>
  <si>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</si>
  <si>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</si>
  <si>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</si>
  <si>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</si>
  <si>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</si>
  <si>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</si>
  <si>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</si>
  <si>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</si>
  <si>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</si>
  <si>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</si>
  <si>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</si>
  <si>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</si>
  <si>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</si>
  <si>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</si>
  <si>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</si>
  <si>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</si>
  <si>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</si>
  <si>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</si>
  <si>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</si>
  <si>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</si>
  <si>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</si>
  <si>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</si>
  <si>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</si>
  <si>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</si>
  <si>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</si>
  <si>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</si>
  <si>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</si>
  <si>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</si>
  <si>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</si>
  <si>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</si>
  <si>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</si>
  <si>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</si>
  <si>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</si>
  <si>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</si>
  <si>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</si>
  <si>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</si>
  <si>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</si>
  <si>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</si>
  <si>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</si>
  <si>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</si>
  <si>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</si>
  <si>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</si>
  <si>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</si>
  <si>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</si>
  <si>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</si>
  <si>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</si>
  <si>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</si>
  <si>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</si>
  <si>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</si>
  <si>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</si>
  <si>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</si>
  <si>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</si>
  <si>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</si>
  <si>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</si>
  <si>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</si>
  <si>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</si>
  <si>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</si>
  <si>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</si>
  <si>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</si>
  <si>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</si>
  <si>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</si>
  <si>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</si>
  <si>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</si>
  <si>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</si>
  <si>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</si>
  <si>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</si>
  <si>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</si>
  <si>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</si>
  <si>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</si>
  <si>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</si>
  <si>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</si>
  <si>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</si>
  <si>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</si>
  <si>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</si>
  <si>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</si>
  <si>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</si>
  <si>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</si>
  <si>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</si>
  <si>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</si>
  <si>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</si>
  <si>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</si>
  <si>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</si>
  <si>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</si>
  <si>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</si>
  <si>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</si>
  <si>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</si>
  <si>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</si>
  <si>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</si>
  <si>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</si>
  <si>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</si>
  <si>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</si>
  <si>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</si>
  <si>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</si>
  <si>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</si>
  <si>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</si>
  <si>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</si>
  <si>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</si>
  <si>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</si>
  <si>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</si>
  <si>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</si>
  <si>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</si>
  <si>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</si>
  <si>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</si>
  <si>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</si>
  <si>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</si>
  <si>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</si>
  <si>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</si>
  <si>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</si>
  <si>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</si>
  <si>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</si>
  <si>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</si>
  <si>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</si>
  <si>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</si>
  <si>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</si>
  <si>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</si>
  <si>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</si>
  <si>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</si>
  <si>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</si>
  <si>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</si>
  <si>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</si>
  <si>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</si>
  <si>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</si>
  <si>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</si>
  <si>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</si>
  <si>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</si>
  <si>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</si>
  <si>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</si>
  <si>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</si>
  <si>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</si>
  <si>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</si>
  <si>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</si>
  <si>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</si>
  <si>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</si>
  <si>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</si>
  <si>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</si>
  <si>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</si>
  <si>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</si>
  <si>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</si>
  <si>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</si>
  <si>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</si>
  <si>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</si>
  <si>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</si>
  <si>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</si>
  <si>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</si>
  <si>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</si>
  <si>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</si>
  <si>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</si>
  <si>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</si>
  <si>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</si>
  <si>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</si>
  <si>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</si>
  <si>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</si>
  <si>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</si>
  <si>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</si>
  <si>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</si>
  <si>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</si>
  <si>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</si>
  <si>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</si>
  <si>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</si>
  <si>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</si>
  <si>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</si>
  <si>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</si>
  <si>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</si>
  <si>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</si>
  <si>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</si>
  <si>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</si>
  <si>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</si>
  <si>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</si>
  <si>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</si>
  <si>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</si>
  <si>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</si>
  <si>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</si>
  <si>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</si>
  <si>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</si>
  <si>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</si>
  <si>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</si>
  <si>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</si>
  <si>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</si>
  <si>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</si>
  <si>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</si>
  <si>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</si>
  <si>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</si>
  <si>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</si>
  <si>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</si>
  <si>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</si>
  <si>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</si>
  <si>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</si>
  <si>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</si>
  <si>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</si>
  <si>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</si>
  <si>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</si>
  <si>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</si>
  <si>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</si>
  <si>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</si>
  <si>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</si>
  <si>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</si>
  <si>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</si>
  <si>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</si>
  <si>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</si>
  <si>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</si>
  <si>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</si>
  <si>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</si>
  <si>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</si>
  <si>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</si>
  <si>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</si>
  <si>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</si>
  <si>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</si>
  <si>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</si>
  <si>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</si>
  <si>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</si>
  <si>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</si>
  <si>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</si>
  <si>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</si>
  <si>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</si>
  <si>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</si>
  <si>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</si>
  <si>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</si>
  <si>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</si>
  <si>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</si>
  <si>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</si>
  <si>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</si>
  <si>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</si>
  <si>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</si>
  <si>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</si>
  <si>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</si>
  <si>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</si>
  <si>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</si>
  <si>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</si>
  <si>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</si>
  <si>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</si>
  <si>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</si>
  <si>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</si>
  <si>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</si>
  <si>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</si>
  <si>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</si>
  <si>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</si>
  <si>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</si>
  <si>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</si>
  <si>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</si>
  <si>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</si>
  <si>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</si>
  <si>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</si>
  <si>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</si>
  <si>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</si>
  <si>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</si>
  <si>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</si>
  <si>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</si>
  <si>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</si>
  <si>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</si>
  <si>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</si>
  <si>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</si>
  <si>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</si>
  <si>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</si>
  <si>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</si>
  <si>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</si>
  <si>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</si>
  <si>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</si>
  <si>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</si>
  <si>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</si>
  <si>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</si>
  <si>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</si>
  <si>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</si>
  <si>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</si>
  <si>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</si>
  <si>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</si>
  <si>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</si>
  <si>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</si>
  <si>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</si>
  <si>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</si>
  <si>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</si>
  <si>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</si>
  <si>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</si>
  <si>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</si>
  <si>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</si>
  <si>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</si>
  <si>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</si>
  <si>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</si>
  <si>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</si>
  <si>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</si>
  <si>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</si>
  <si>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</si>
  <si>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</si>
  <si>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</si>
  <si>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</si>
  <si>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</si>
  <si>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</si>
  <si>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</si>
  <si>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</si>
  <si>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</si>
  <si>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</si>
  <si>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</si>
  <si>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</si>
  <si>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</si>
  <si>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</si>
  <si>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</si>
  <si>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</si>
  <si>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</si>
  <si>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</si>
  <si>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</si>
  <si>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</si>
  <si>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</si>
  <si>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</si>
  <si>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</si>
  <si>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</si>
  <si>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</si>
  <si>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Mughal Store</t>
  </si>
  <si>
    <t>Address: Seven Street Bazar</t>
  </si>
  <si>
    <t>Shere Rubani Store</t>
  </si>
  <si>
    <t xml:space="preserve">Address: Seven Street </t>
  </si>
  <si>
    <t>Bholla Store</t>
  </si>
  <si>
    <t>Address: Shifah Hospital Street Seven</t>
  </si>
  <si>
    <t>Dogger Store</t>
  </si>
  <si>
    <t xml:space="preserve">Harmain Mart </t>
  </si>
  <si>
    <t xml:space="preserve">Raheem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</si>
</sst>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Mughal Store</v>
      </c>
      <c r="T3" s="301">
        <f>+'1'!P35</f>
        <v>1359.0309497033895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Shere Rubani Store</v>
      </c>
      <c r="T4" s="301">
        <f>+'2'!P35</f>
        <v>2722.4105840180086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Bholla Store</v>
      </c>
      <c r="T5" s="301">
        <f>+'3'!P35</f>
        <v>1411.2952132881355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Dogger Store</v>
      </c>
      <c r="T6" s="301">
        <f>+'4'!P35</f>
        <v>1960.136687802966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Harmain Mart 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25</v>
      </c>
      <c r="I8" s="236">
        <f t="shared" ref="I8:I14" si="0">(G8*D8)*F8+H8*F8</f>
        <v>1311.5625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104.925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45.904687500000001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1160.7328124999999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247.88135593220329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7.0430708421610166</v>
      </c>
      <c r="P8" s="311">
        <f t="shared" ref="P8:P15" si="2">M8+N8+O8</f>
        <v>1415.6572392743644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12</v>
      </c>
      <c r="R8" s="313">
        <v>6</v>
      </c>
      <c r="S8" s="300" t="str">
        <f>+'6'!A6:A6</f>
        <v xml:space="preserve">Raheem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</v>
      </c>
      <c r="I9" s="236">
        <f t="shared" si="0"/>
        <v>1259.0999999999999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100.72799999999999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44.0685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1114.3035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237.96610169491515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6.7613480084745756</v>
      </c>
      <c r="P9" s="311">
        <f t="shared" si="2"/>
        <v>1359.0309497033898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</v>
      </c>
      <c r="I10" s="236">
        <f t="shared" si="0"/>
        <v>2033.92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162.71360000000001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71.187200000000004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1800.0192000000002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384.40677966101697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10.922129898305085</v>
      </c>
      <c r="P10" s="311">
        <f t="shared" si="2"/>
        <v>2195.3481095593224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12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37</v>
      </c>
      <c r="I11" s="236">
        <f t="shared" si="0"/>
        <v>2687.68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215.01440000000002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94.06880000000001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2378.5967999999998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507.96610169491532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14.432814508474577</v>
      </c>
      <c r="P11" s="311">
        <f t="shared" si="2"/>
        <v>2900.9957162033897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642.86399999999992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784.05289627118634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3.4</v>
      </c>
      <c r="H16" s="113">
        <f t="shared" ref="H16:M16" si="3">SUM(H7:H15)</f>
        <v>136</v>
      </c>
      <c r="I16" s="114">
        <f t="shared" si="3"/>
        <v>8648.2124999999996</v>
      </c>
      <c r="J16" s="274">
        <f>SUM(J7:J15)</f>
        <v>691.85699999999997</v>
      </c>
      <c r="K16" s="275">
        <f t="shared" si="3"/>
        <v>302.68743749999999</v>
      </c>
      <c r="L16" s="276">
        <f t="shared" si="3"/>
        <v>0</v>
      </c>
      <c r="M16" s="232">
        <f t="shared" si="3"/>
        <v>7653.668062499999</v>
      </c>
      <c r="N16" s="233">
        <f>SUM(N7:N15)</f>
        <v>1634.4915254237287</v>
      </c>
      <c r="O16" s="101">
        <f>SUM(O7:O15)</f>
        <v>46.440797939618648</v>
      </c>
      <c r="P16" s="113">
        <f>SUM(P7:P15)</f>
        <v>9334.6003858633485</v>
      </c>
      <c r="Q16" s="128">
        <f>SUM(Q7:Q15)</f>
        <v>36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8648.2124999999996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691.85699999999997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302.68743749999999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7653.6680624999999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1634.4915254237287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9288.1595879237284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46.440797939618648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9334.6003858633467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9334.6003858633467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G17" sqref="G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1259.0999999999999</v>
      </c>
      <c r="J25" s="274">
        <f>SUM(J16:J24)</f>
        <v>100.72799999999999</v>
      </c>
      <c r="K25" s="275">
        <f t="shared" si="10"/>
        <v>44.0685</v>
      </c>
      <c r="L25" s="276">
        <f t="shared" si="10"/>
        <v>0</v>
      </c>
      <c r="M25" s="232">
        <f t="shared" si="10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</v>
      </c>
      <c r="I17" s="236">
        <f t="shared" ref="I17:I23" si="0">(G17*D17)*F17+H17*F17</f>
        <v>367.23750000000001</v>
      </c>
      <c r="J17" s="272">
        <f t="shared" ref="J17:L24" si="1">$I17*S17</f>
        <v>29.379000000000001</v>
      </c>
      <c r="K17" s="128">
        <f>$I17*T17</f>
        <v>12.853312500000001</v>
      </c>
      <c r="L17" s="119">
        <f>$I17*U17</f>
        <v>0</v>
      </c>
      <c r="M17" s="230">
        <f t="shared" ref="M17:M24" si="2">I17-SUM(J17:L17)</f>
        <v>325.00518750000003</v>
      </c>
      <c r="N17" s="277">
        <f t="shared" ref="N17:N24" si="3">+(G17*D17+H17)*V17</f>
        <v>69.406779661016913</v>
      </c>
      <c r="O17" s="239">
        <f t="shared" ref="O17:O24" si="4">(N17+M17)*$O$15</f>
        <v>1.9720598358050847</v>
      </c>
      <c r="P17" s="119">
        <f t="shared" ref="P17:P24" si="5">M17+N17+O17</f>
        <v>396.38402699682206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2522.2275</v>
      </c>
      <c r="J25" s="274">
        <f>SUM(J16:J24)</f>
        <v>201.77819999999997</v>
      </c>
      <c r="K25" s="275">
        <f t="shared" si="7"/>
        <v>88.277962500000001</v>
      </c>
      <c r="L25" s="276">
        <f t="shared" si="7"/>
        <v>0</v>
      </c>
      <c r="M25" s="232">
        <f t="shared" si="7"/>
        <v>2232.1713374999999</v>
      </c>
      <c r="N25" s="233">
        <f>SUM(N16:N24)</f>
        <v>476.69491525423723</v>
      </c>
      <c r="O25" s="101">
        <f>SUM(O16:O24)</f>
        <v>13.544331263771186</v>
      </c>
      <c r="P25" s="234">
        <f>SUM(P16:P24)</f>
        <v>2722.4105840180082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2522.2275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201.77819999999997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88.277962500000001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2232.1713375000004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476.69491525423723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2708.8662527542374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13.544331263771188</v>
      </c>
    </row>
    <row r="35" spans="2:16" ht="15.75" customHeight="1" thickBot="1" x14ac:dyDescent="0.4">
      <c r="N35" s="374" t="s">
        <v>88</v>
      </c>
      <c r="O35" s="375"/>
      <c r="P35" s="297">
        <f>+P33+P34</f>
        <v>2722.4105840180086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G14" sqref="G14:H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1307.52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104.60160000000002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45.763200000000005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1157.1551999999999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1404.2738440677965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4" t="s">
        <v>88</v>
      </c>
      <c r="O35" s="375"/>
      <c r="P35" s="297">
        <f>+P33+P34</f>
        <v>1411.2952132881355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1816.0049999999999</v>
      </c>
      <c r="J25" s="274">
        <f>SUM(J16:J24)</f>
        <v>145.28039999999999</v>
      </c>
      <c r="K25" s="275">
        <f t="shared" si="7"/>
        <v>63.560175000000008</v>
      </c>
      <c r="L25" s="276">
        <f t="shared" si="7"/>
        <v>0</v>
      </c>
      <c r="M25" s="232">
        <f t="shared" si="7"/>
        <v>1607.1644250000002</v>
      </c>
      <c r="N25" s="233">
        <f>SUM(N16:N24)</f>
        <v>343.22033898305079</v>
      </c>
      <c r="O25" s="101">
        <f>SUM(O16:O24)</f>
        <v>9.7519238199152536</v>
      </c>
      <c r="P25" s="234">
        <f>SUM(P16:P24)</f>
        <v>1960.136687802966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1816.0049999999999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145.28039999999999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63.560175000000008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1607.1644249999999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343.22033898305079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1950.3847639830508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9.7519238199152536</v>
      </c>
    </row>
    <row r="35" spans="2:16" ht="15.75" customHeight="1" thickBot="1" x14ac:dyDescent="0.4">
      <c r="N35" s="374" t="s">
        <v>88</v>
      </c>
      <c r="O35" s="375"/>
      <c r="P35" s="297">
        <f>+P33+P34</f>
        <v>1960.136687802966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24" sqref="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36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topLeftCell="A7" workbookViewId="0">
      <selection activeCell="H10" sqref="H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2026-09-30T10:11:06Z</dcterms:modified>
</cp:coreProperties>
</file>