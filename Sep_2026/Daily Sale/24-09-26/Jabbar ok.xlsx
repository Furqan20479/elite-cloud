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B2C3D199-E84A-408D-A071-DD005BAF7D9B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5" l="1"/>
  <c r="N5" i="65" s="1"/>
  <c r="N4" i="60"/>
  <c r="N4" i="52"/>
  <c r="N4" i="44"/>
  <c r="N5" i="44" s="1"/>
  <c r="N4" i="72"/>
  <c r="N5" i="72" s="1"/>
  <c r="N4" i="71"/>
  <c r="N5" i="71" s="1"/>
  <c r="N4" i="54"/>
  <c r="N4" i="66"/>
  <c r="N5" i="66" s="1"/>
  <c r="N4" i="49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<sst xmlns="http://schemas.openxmlformats.org/spreadsheetml/2006/main" count="3948" uniqueCount="522">
  <si>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</si>
  <si>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</si>
  <si>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</si>
  <si>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</si>
  <si>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</si>
  <si>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</si>
  <si>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</si>
  <si>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</si>
  <si>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</si>
  <si>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</si>
  <si>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</si>
  <si>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</si>
  <si>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</si>
  <si>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</si>
  <si>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</si>
  <si>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</si>
  <si>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</si>
  <si>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</si>
  <si>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</si>
  <si>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</si>
  <si>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</si>
  <si>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</si>
  <si>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</si>
  <si>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</si>
  <si>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</si>
  <si>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</si>
  <si>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</si>
  <si>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</si>
  <si>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</si>
  <si>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</si>
  <si>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</si>
  <si>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</si>
  <si>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</si>
  <si>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</si>
  <si>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</si>
  <si>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</si>
  <si>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</si>
  <si>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</si>
  <si>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</si>
  <si>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</si>
  <si>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</si>
  <si>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</si>
  <si>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</si>
  <si>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</si>
  <si>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</si>
  <si>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</si>
  <si>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</si>
  <si>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</si>
  <si>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</si>
  <si>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</si>
  <si>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</si>
  <si>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</si>
  <si>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</si>
  <si>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</si>
  <si>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</si>
  <si>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</si>
  <si>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</si>
  <si>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</si>
  <si>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</si>
  <si>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</si>
  <si>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</si>
  <si>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</si>
  <si>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</si>
  <si>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</si>
  <si>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</si>
  <si>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</si>
  <si>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</si>
  <si>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</si>
  <si>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</si>
  <si>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</si>
  <si>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</si>
  <si>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</si>
  <si>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</si>
  <si>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</si>
  <si>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</si>
  <si>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</si>
  <si>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</si>
  <si>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</si>
  <si>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</si>
  <si>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</si>
  <si>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</si>
  <si>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</si>
  <si>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</si>
  <si>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</si>
  <si>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</si>
  <si>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</si>
  <si>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</si>
  <si>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</si>
  <si>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</si>
  <si>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</si>
  <si>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</si>
  <si>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</si>
  <si>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</si>
  <si>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</si>
  <si>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</si>
  <si>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</si>
  <si>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</si>
  <si>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</si>
  <si>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</si>
  <si>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</si>
  <si>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</si>
  <si>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</si>
  <si>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</si>
  <si>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</si>
  <si>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</si>
  <si>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</si>
  <si>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</si>
  <si>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</si>
  <si>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</si>
  <si>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</si>
  <si>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</si>
  <si>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</si>
  <si>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</si>
  <si>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</si>
  <si>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</si>
  <si>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</si>
  <si>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</si>
  <si>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</si>
  <si>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</si>
  <si>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</si>
  <si>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</si>
  <si>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</si>
  <si>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</si>
  <si>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</si>
  <si>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</si>
  <si>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</si>
  <si>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</si>
  <si>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</si>
  <si>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</si>
  <si>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</si>
  <si>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</si>
  <si>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</si>
  <si>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</si>
  <si>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</si>
  <si>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</si>
  <si>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</si>
  <si>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</si>
  <si>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</si>
  <si>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</si>
  <si>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</si>
  <si>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</si>
  <si>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</si>
  <si>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</si>
  <si>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</si>
  <si>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</si>
  <si>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</si>
  <si>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</si>
  <si>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</si>
  <si>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</si>
  <si>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</si>
  <si>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</si>
  <si>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</si>
  <si>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</si>
  <si>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</si>
  <si>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</si>
  <si>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</si>
  <si>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</si>
  <si>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</si>
  <si>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</si>
  <si>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</si>
  <si>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</si>
  <si>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</si>
  <si>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</si>
  <si>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</si>
  <si>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</si>
  <si>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</si>
  <si>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</si>
  <si>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</si>
  <si>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</si>
  <si>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</si>
  <si>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</si>
  <si>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</si>
  <si>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</si>
  <si>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</si>
  <si>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</si>
  <si>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</si>
  <si>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</si>
  <si>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</si>
  <si>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</si>
  <si>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</si>
  <si>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</si>
  <si>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</si>
  <si>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</si>
  <si>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</si>
  <si>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</si>
  <si>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</si>
  <si>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</si>
  <si>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</si>
  <si>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</si>
  <si>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</si>
  <si>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</si>
  <si>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</si>
  <si>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</si>
  <si>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</si>
  <si>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</si>
  <si>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</si>
  <si>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</si>
  <si>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</si>
  <si>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</si>
  <si>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</si>
  <si>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</si>
  <si>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</si>
  <si>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</si>
  <si>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</si>
  <si>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</si>
  <si>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</si>
  <si>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</si>
  <si>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</si>
  <si>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</si>
  <si>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</si>
  <si>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</si>
  <si>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</si>
  <si>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</si>
  <si>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</si>
  <si>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</si>
  <si>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</si>
  <si>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</si>
  <si>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</si>
  <si>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</si>
  <si>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</si>
  <si>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</si>
  <si>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</si>
  <si>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</si>
  <si>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</si>
  <si>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</si>
  <si>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</si>
  <si>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</si>
  <si>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</si>
  <si>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</si>
  <si>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</si>
  <si>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</si>
  <si>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</si>
  <si>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</si>
  <si>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</si>
  <si>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</si>
  <si>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</si>
  <si>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</si>
  <si>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</si>
  <si>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</si>
  <si>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</si>
  <si>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</si>
  <si>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</si>
  <si>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</si>
  <si>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</si>
  <si>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</si>
  <si>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</si>
  <si>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</si>
  <si>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</si>
  <si>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</si>
  <si>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</si>
  <si>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</si>
  <si>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</si>
  <si>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</si>
  <si>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</si>
  <si>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</si>
  <si>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</si>
  <si>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</si>
  <si>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</si>
  <si>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</si>
  <si>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</si>
  <si>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</si>
  <si>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</si>
  <si>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</si>
  <si>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</si>
  <si>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</si>
  <si>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</si>
  <si>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</si>
  <si>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</si>
  <si>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</si>
  <si>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</si>
  <si>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</si>
  <si>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</si>
  <si>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</si>
  <si>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</si>
  <si>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</si>
  <si>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</si>
  <si>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</si>
  <si>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</si>
  <si>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</si>
  <si>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</si>
  <si>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</si>
  <si>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</si>
  <si>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</si>
  <si>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</si>
  <si>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</si>
  <si>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</si>
  <si>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</si>
  <si>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</si>
  <si>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</si>
  <si>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</si>
  <si>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</si>
  <si>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</si>
  <si>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</si>
  <si>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</si>
  <si>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</si>
  <si>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</si>
  <si>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</si>
  <si>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</si>
  <si>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</si>
  <si>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</si>
  <si>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</si>
  <si>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</si>
  <si>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</si>
  <si>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</si>
  <si>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</si>
  <si>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</si>
  <si>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</si>
  <si>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</si>
  <si>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</si>
  <si>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</si>
  <si>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</si>
  <si>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</si>
  <si>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</si>
  <si>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</si>
  <si>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</si>
  <si>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</si>
  <si>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</si>
  <si>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</si>
  <si>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</si>
  <si>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</si>
  <si>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</si>
  <si>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</si>
  <si>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</si>
  <si>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</si>
  <si>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</si>
  <si>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</si>
  <si>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</si>
  <si>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</si>
  <si>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</si>
  <si>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</si>
  <si>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</si>
  <si>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</si>
  <si>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</si>
  <si>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</si>
  <si>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</si>
  <si>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</si>
  <si>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</si>
  <si>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</si>
  <si>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</si>
  <si>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</si>
  <si>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</si>
  <si>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</si>
  <si>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</si>
  <si>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</si>
  <si>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</si>
  <si>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</si>
  <si>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</si>
  <si>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</si>
  <si>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</si>
  <si>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</si>
  <si>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</si>
  <si>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</si>
  <si>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</si>
  <si>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</si>
  <si>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</si>
  <si>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</si>
  <si>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</si>
  <si>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</si>
  <si>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</si>
  <si>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</si>
  <si>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</si>
  <si>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</si>
  <si>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</si>
  <si>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</si>
  <si>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</si>
  <si>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</si>
  <si>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</si>
  <si>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</si>
  <si>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</si>
  <si>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</si>
  <si>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</si>
  <si>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</si>
  <si>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</si>
  <si>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</si>
  <si>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</si>
  <si>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</si>
  <si>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</si>
  <si>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</si>
  <si>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</si>
  <si>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</si>
  <si>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</si>
  <si>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</si>
  <si>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</si>
  <si>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</si>
  <si>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</si>
  <si>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</si>
  <si>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</si>
  <si>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</si>
  <si>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</si>
  <si>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</si>
  <si>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</si>
  <si>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</si>
  <si>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</si>
  <si>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</si>
  <si>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</si>
  <si>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</si>
  <si>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</si>
  <si>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</si>
  <si>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</si>
  <si>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</si>
  <si>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</si>
  <si>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</si>
  <si>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</si>
  <si>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</si>
  <si>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</si>
  <si>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</si>
  <si>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</si>
  <si>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</si>
  <si>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</si>
  <si>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</si>
  <si>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</si>
  <si>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</si>
  <si>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</si>
  <si>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</si>
  <si>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</si>
  <si>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</si>
  <si>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</si>
  <si>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</si>
  <si>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</si>
  <si>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</si>
  <si>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</si>
  <si>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</si>
  <si>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</si>
  <si>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</si>
  <si>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</si>
  <si>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</si>
  <si>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</si>
  <si>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</si>
  <si>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</si>
  <si>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</si>
  <si>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</si>
  <si>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</si>
  <si>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</si>
  <si>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</si>
  <si>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</si>
  <si>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</si>
  <si>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</si>
  <si>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</si>
  <si>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</si>
  <si>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</si>
  <si>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</si>
  <si>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</si>
  <si>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</si>
  <si>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</si>
  <si>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</si>
  <si>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</si>
  <si>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</si>
  <si>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</si>
  <si>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</si>
  <si>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</si>
  <si>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</si>
  <si>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</si>
  <si>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</si>
  <si>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</si>
  <si>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</si>
  <si>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</si>
  <si>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</si>
  <si>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</si>
  <si>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</si>
  <si>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</si>
  <si>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</si>
  <si>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</si>
  <si>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</si>
  <si>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</si>
  <si>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</si>
  <si>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</si>
  <si>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</si>
  <si>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</si>
  <si>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</si>
  <si>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</si>
  <si>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</si>
  <si>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</si>
  <si>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</si>
  <si>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</si>
  <si>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</si>
  <si>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</si>
  <si>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</si>
  <si>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</si>
  <si>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</si>
  <si>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</si>
  <si>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</si>
  <si>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</si>
  <si>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</si>
  <si>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</si>
  <si>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</si>
  <si>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</si>
  <si>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</si>
  <si>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</si>
  <si>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</si>
  <si>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</si>
  <si>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</si>
  <si>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</si>
  <si>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</si>
  <si>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</si>
  <si>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</si>
  <si>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</si>
  <si>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</si>
  <si>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</si>
  <si>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</si>
  <si>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</si>
  <si>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</si>
  <si>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</si>
  <si>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</si>
  <si>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</si>
  <si>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</si>
  <si>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</si>
  <si>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</si>
  <si>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</si>
  <si>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</si>
  <si>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</si>
  <si>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</si>
  <si>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</si>
  <si>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</si>
  <si>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</si>
  <si>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Jabbar</t>
  </si>
  <si>
    <t>Atae Haq Store</t>
  </si>
  <si>
    <t xml:space="preserve">Address: Sajid Garden </t>
  </si>
  <si>
    <t>Ali Store</t>
  </si>
  <si>
    <t>Address: Ahata</t>
  </si>
  <si>
    <t>Ch Store</t>
  </si>
  <si>
    <t>Usman Store</t>
  </si>
  <si>
    <t>Sajid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</si>
</sst>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4" workbookViewId="0">
      <selection activeCell="S10" sqref="S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514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46289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Atae Haq Store</v>
      </c>
      <c r="T3" s="301">
        <f>+'1'!P35</f>
        <v>9408.6347552542375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Ali Store</v>
      </c>
      <c r="T4" s="301">
        <f>+'2'!P35</f>
        <v>470.43173776271186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Ch Store</v>
      </c>
      <c r="T5" s="301">
        <f>+'3'!P35</f>
        <v>470.43173776271186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Usman Store</v>
      </c>
      <c r="T6" s="301">
        <f>+'4'!P35</f>
        <v>470.43173776271186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Sajid Store</v>
      </c>
      <c r="T7" s="301">
        <f>+'5'!P35</f>
        <v>470.43173776271186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Shop Name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Shop Name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52</v>
      </c>
      <c r="I10" s="236">
        <f t="shared" si="0"/>
        <v>3777.28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302.18240000000003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132.20480000000001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3342.8928000000001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713.89830508474563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20.283955525423725</v>
      </c>
      <c r="P10" s="311">
        <f t="shared" si="2"/>
        <v>4077.0750606101692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40</v>
      </c>
      <c r="I11" s="236">
        <f t="shared" si="0"/>
        <v>2905.6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232.44800000000001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101.69600000000001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2571.4560000000001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549.15254237288138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15.603042711864408</v>
      </c>
      <c r="P11" s="311">
        <f t="shared" si="2"/>
        <v>3136.2115850847458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52</v>
      </c>
      <c r="I12" s="236">
        <f t="shared" si="0"/>
        <v>3777.28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302.18240000000003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132.20480000000001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3342.8928000000001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713.89830508474563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20.283955525423725</v>
      </c>
      <c r="P12" s="311">
        <f t="shared" si="2"/>
        <v>4077.0750606101692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3.6</v>
      </c>
      <c r="H16" s="113">
        <f t="shared" ref="H16:M16" si="3">SUM(H7:H15)</f>
        <v>144</v>
      </c>
      <c r="I16" s="114">
        <f t="shared" si="3"/>
        <v>10460.16</v>
      </c>
      <c r="J16" s="274">
        <f>SUM(J7:J15)</f>
        <v>836.81280000000004</v>
      </c>
      <c r="K16" s="275">
        <f t="shared" si="3"/>
        <v>366.10559999999998</v>
      </c>
      <c r="L16" s="276">
        <f t="shared" si="3"/>
        <v>0</v>
      </c>
      <c r="M16" s="232">
        <f t="shared" si="3"/>
        <v>9257.2415999999994</v>
      </c>
      <c r="N16" s="233">
        <f>SUM(N7:N15)</f>
        <v>1976.9491525423728</v>
      </c>
      <c r="O16" s="101">
        <f>SUM(O7:O15)</f>
        <v>56.170953762711861</v>
      </c>
      <c r="P16" s="113">
        <f>SUM(P7:P15)</f>
        <v>11290.361706305084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10460.16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836.81280000000004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366.10559999999998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9257.2415999999994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1976.9491525423728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11234.190752542372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56.170953762711861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11290.361706305084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11290.361706305086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19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7.25" customHeight="1" x14ac:dyDescent="0.4">
      <c r="A6" s="399" t="s">
        <v>515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7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7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119">
        <f t="shared" si="5"/>
        <v>3136.2115850847458</v>
      </c>
      <c r="Q20" s="319"/>
      <c r="R20">
        <f>P20/21</f>
        <v>149.34340881355934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7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120</v>
      </c>
      <c r="I25" s="114">
        <f t="shared" ref="I25:M25" si="10">SUM(I16:I24)</f>
        <v>8716.7999999999993</v>
      </c>
      <c r="J25" s="274">
        <f>SUM(J16:J24)</f>
        <v>697.34400000000005</v>
      </c>
      <c r="K25" s="275">
        <f t="shared" si="10"/>
        <v>305.08800000000002</v>
      </c>
      <c r="L25" s="276">
        <f t="shared" si="10"/>
        <v>0</v>
      </c>
      <c r="M25" s="232">
        <f t="shared" si="10"/>
        <v>7714.3680000000004</v>
      </c>
      <c r="N25" s="233">
        <f>SUM(N16:N24)</f>
        <v>1647.4576271186443</v>
      </c>
      <c r="O25" s="101">
        <f>SUM(O16:O24)</f>
        <v>46.809128135593227</v>
      </c>
      <c r="P25" s="234">
        <f>SUM(P16:P24)</f>
        <v>9408.6347552542375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8716.7999999999993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697.34400000000005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305.08800000000002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7714.3679999999995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9361.8256271186438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46.80912813559322</v>
      </c>
    </row>
    <row r="35" spans="2:16" ht="15.75" customHeight="1" thickBot="1" x14ac:dyDescent="0.4">
      <c r="N35" s="345" t="s">
        <v>88</v>
      </c>
      <c r="O35" s="346"/>
      <c r="P35" s="297">
        <f>+P33+P34</f>
        <v>9408.6347552542375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3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518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3</v>
      </c>
      <c r="I19" s="236">
        <f t="shared" si="0"/>
        <v>217.92000000000002</v>
      </c>
      <c r="J19" s="272">
        <f t="shared" si="1"/>
        <v>17.433600000000002</v>
      </c>
      <c r="K19" s="128">
        <f t="shared" si="1"/>
        <v>7.6272000000000011</v>
      </c>
      <c r="L19" s="119">
        <f t="shared" si="1"/>
        <v>0</v>
      </c>
      <c r="M19" s="230">
        <f t="shared" si="2"/>
        <v>192.85920000000002</v>
      </c>
      <c r="N19" s="277">
        <f t="shared" si="3"/>
        <v>41.186440677966104</v>
      </c>
      <c r="O19" s="239">
        <f t="shared" si="4"/>
        <v>1.1702282033898306</v>
      </c>
      <c r="P19" s="119">
        <f t="shared" si="5"/>
        <v>235.21586888135593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3</v>
      </c>
      <c r="I21" s="236">
        <f t="shared" si="0"/>
        <v>217.92000000000002</v>
      </c>
      <c r="J21" s="272">
        <f t="shared" si="1"/>
        <v>17.433600000000002</v>
      </c>
      <c r="K21" s="128">
        <f t="shared" si="1"/>
        <v>7.6272000000000011</v>
      </c>
      <c r="L21" s="119">
        <f t="shared" si="1"/>
        <v>0</v>
      </c>
      <c r="M21" s="230">
        <f t="shared" si="2"/>
        <v>192.85920000000002</v>
      </c>
      <c r="N21" s="277">
        <f t="shared" si="3"/>
        <v>41.186440677966104</v>
      </c>
      <c r="O21" s="239">
        <f t="shared" si="4"/>
        <v>1.1702282033898306</v>
      </c>
      <c r="P21" s="119">
        <f t="shared" si="5"/>
        <v>235.21586888135593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</v>
      </c>
      <c r="I25" s="114">
        <f t="shared" si="7"/>
        <v>435.84000000000003</v>
      </c>
      <c r="J25" s="274">
        <f>SUM(J16:J24)</f>
        <v>34.867200000000004</v>
      </c>
      <c r="K25" s="275">
        <f t="shared" si="7"/>
        <v>15.254400000000002</v>
      </c>
      <c r="L25" s="276">
        <f t="shared" si="7"/>
        <v>0</v>
      </c>
      <c r="M25" s="232">
        <f t="shared" si="7"/>
        <v>385.71840000000003</v>
      </c>
      <c r="N25" s="233">
        <f>SUM(N16:N24)</f>
        <v>82.372881355932208</v>
      </c>
      <c r="O25" s="101">
        <f>SUM(O16:O24)</f>
        <v>2.3404564067796612</v>
      </c>
      <c r="P25" s="234">
        <f>SUM(P16:P24)</f>
        <v>470.43173776271186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435.84000000000003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34.867200000000004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15.254400000000002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385.71840000000003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82.372881355932208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468.09128135593221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2.3404564067796612</v>
      </c>
    </row>
    <row r="35" spans="2:16" ht="15.75" customHeight="1" thickBot="1" x14ac:dyDescent="0.4">
      <c r="N35" s="345" t="s">
        <v>88</v>
      </c>
      <c r="O35" s="346"/>
      <c r="P35" s="297">
        <f>+P33+P34</f>
        <v>470.43173776271186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3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8.7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518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3</v>
      </c>
      <c r="I19" s="236">
        <f t="shared" si="0"/>
        <v>217.92000000000002</v>
      </c>
      <c r="J19" s="272">
        <f t="shared" si="1"/>
        <v>17.433600000000002</v>
      </c>
      <c r="K19" s="128">
        <f t="shared" si="1"/>
        <v>7.6272000000000011</v>
      </c>
      <c r="L19" s="119">
        <f t="shared" si="1"/>
        <v>0</v>
      </c>
      <c r="M19" s="230">
        <f t="shared" si="2"/>
        <v>192.85920000000002</v>
      </c>
      <c r="N19" s="277">
        <f t="shared" si="3"/>
        <v>41.186440677966104</v>
      </c>
      <c r="O19" s="239">
        <f t="shared" si="4"/>
        <v>1.1702282033898306</v>
      </c>
      <c r="P19" s="119">
        <f t="shared" si="5"/>
        <v>235.21586888135593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3</v>
      </c>
      <c r="I21" s="236">
        <f t="shared" si="0"/>
        <v>217.92000000000002</v>
      </c>
      <c r="J21" s="272">
        <f t="shared" si="1"/>
        <v>17.433600000000002</v>
      </c>
      <c r="K21" s="128">
        <f t="shared" si="1"/>
        <v>7.6272000000000011</v>
      </c>
      <c r="L21" s="119">
        <f t="shared" si="1"/>
        <v>0</v>
      </c>
      <c r="M21" s="230">
        <f t="shared" si="2"/>
        <v>192.85920000000002</v>
      </c>
      <c r="N21" s="277">
        <f t="shared" si="3"/>
        <v>41.186440677966104</v>
      </c>
      <c r="O21" s="239">
        <f t="shared" si="4"/>
        <v>1.1702282033898306</v>
      </c>
      <c r="P21" s="119">
        <f t="shared" si="5"/>
        <v>235.21586888135593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</v>
      </c>
      <c r="I25" s="114">
        <f t="shared" si="7"/>
        <v>435.84000000000003</v>
      </c>
      <c r="J25" s="274">
        <f>SUM(J16:J24)</f>
        <v>34.867200000000004</v>
      </c>
      <c r="K25" s="275">
        <f t="shared" si="7"/>
        <v>15.254400000000002</v>
      </c>
      <c r="L25" s="276">
        <f t="shared" si="7"/>
        <v>0</v>
      </c>
      <c r="M25" s="232">
        <f t="shared" si="7"/>
        <v>385.71840000000003</v>
      </c>
      <c r="N25" s="233">
        <f>SUM(N16:N24)</f>
        <v>82.372881355932208</v>
      </c>
      <c r="O25" s="101">
        <f>SUM(O16:O24)</f>
        <v>2.3404564067796612</v>
      </c>
      <c r="P25" s="234">
        <f>SUM(P16:P24)</f>
        <v>470.43173776271186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435.84000000000003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34.867200000000004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15.254400000000002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385.71840000000003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82.372881355932208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468.09128135593221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2.3404564067796612</v>
      </c>
    </row>
    <row r="35" spans="2:16" ht="15.75" customHeight="1" thickBot="1" x14ac:dyDescent="0.4">
      <c r="N35" s="345" t="s">
        <v>88</v>
      </c>
      <c r="O35" s="346"/>
      <c r="P35" s="297">
        <f>+P33+P34</f>
        <v>470.43173776271186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3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518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3</v>
      </c>
      <c r="I19" s="236">
        <f t="shared" si="0"/>
        <v>217.92000000000002</v>
      </c>
      <c r="J19" s="272">
        <f t="shared" si="1"/>
        <v>17.433600000000002</v>
      </c>
      <c r="K19" s="128">
        <f t="shared" si="1"/>
        <v>7.6272000000000011</v>
      </c>
      <c r="L19" s="119">
        <f t="shared" si="1"/>
        <v>0</v>
      </c>
      <c r="M19" s="230">
        <f t="shared" si="2"/>
        <v>192.85920000000002</v>
      </c>
      <c r="N19" s="277">
        <f t="shared" si="3"/>
        <v>41.186440677966104</v>
      </c>
      <c r="O19" s="239">
        <f t="shared" si="4"/>
        <v>1.1702282033898306</v>
      </c>
      <c r="P19" s="119">
        <f t="shared" si="5"/>
        <v>235.21586888135593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3</v>
      </c>
      <c r="I21" s="236">
        <f t="shared" si="0"/>
        <v>217.92000000000002</v>
      </c>
      <c r="J21" s="272">
        <f t="shared" si="1"/>
        <v>17.433600000000002</v>
      </c>
      <c r="K21" s="128">
        <f t="shared" si="1"/>
        <v>7.6272000000000011</v>
      </c>
      <c r="L21" s="119">
        <f t="shared" si="1"/>
        <v>0</v>
      </c>
      <c r="M21" s="230">
        <f t="shared" si="2"/>
        <v>192.85920000000002</v>
      </c>
      <c r="N21" s="277">
        <f t="shared" si="3"/>
        <v>41.186440677966104</v>
      </c>
      <c r="O21" s="239">
        <f t="shared" si="4"/>
        <v>1.1702282033898306</v>
      </c>
      <c r="P21" s="119">
        <f t="shared" si="5"/>
        <v>235.21586888135593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</v>
      </c>
      <c r="I25" s="114">
        <f t="shared" si="7"/>
        <v>435.84000000000003</v>
      </c>
      <c r="J25" s="274">
        <f>SUM(J16:J24)</f>
        <v>34.867200000000004</v>
      </c>
      <c r="K25" s="275">
        <f t="shared" si="7"/>
        <v>15.254400000000002</v>
      </c>
      <c r="L25" s="276">
        <f t="shared" si="7"/>
        <v>0</v>
      </c>
      <c r="M25" s="232">
        <f t="shared" si="7"/>
        <v>385.71840000000003</v>
      </c>
      <c r="N25" s="233">
        <f>SUM(N16:N24)</f>
        <v>82.372881355932208</v>
      </c>
      <c r="O25" s="101">
        <f>SUM(O16:O24)</f>
        <v>2.3404564067796612</v>
      </c>
      <c r="P25" s="234">
        <f>SUM(P16:P24)</f>
        <v>470.43173776271186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435.84000000000003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34.867200000000004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15.254400000000002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385.71840000000003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82.372881355932208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468.09128135593221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2.3404564067796612</v>
      </c>
    </row>
    <row r="35" spans="2:16" ht="15.75" customHeight="1" thickBot="1" x14ac:dyDescent="0.4">
      <c r="N35" s="345" t="s">
        <v>88</v>
      </c>
      <c r="O35" s="346"/>
      <c r="P35" s="297">
        <f>+P33+P34</f>
        <v>470.43173776271186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3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518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3</v>
      </c>
      <c r="I19" s="236">
        <f t="shared" si="0"/>
        <v>217.92000000000002</v>
      </c>
      <c r="J19" s="272">
        <f t="shared" si="1"/>
        <v>17.433600000000002</v>
      </c>
      <c r="K19" s="128">
        <f t="shared" si="1"/>
        <v>7.6272000000000011</v>
      </c>
      <c r="L19" s="119">
        <f t="shared" si="1"/>
        <v>0</v>
      </c>
      <c r="M19" s="230">
        <f t="shared" si="2"/>
        <v>192.85920000000002</v>
      </c>
      <c r="N19" s="277">
        <f t="shared" si="3"/>
        <v>41.186440677966104</v>
      </c>
      <c r="O19" s="239">
        <f t="shared" si="4"/>
        <v>1.1702282033898306</v>
      </c>
      <c r="P19" s="119">
        <f t="shared" si="5"/>
        <v>235.21586888135593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3</v>
      </c>
      <c r="I21" s="236">
        <f t="shared" si="0"/>
        <v>217.92000000000002</v>
      </c>
      <c r="J21" s="272">
        <f t="shared" si="1"/>
        <v>17.433600000000002</v>
      </c>
      <c r="K21" s="128">
        <f t="shared" si="1"/>
        <v>7.6272000000000011</v>
      </c>
      <c r="L21" s="119">
        <f t="shared" si="1"/>
        <v>0</v>
      </c>
      <c r="M21" s="230">
        <f t="shared" si="2"/>
        <v>192.85920000000002</v>
      </c>
      <c r="N21" s="277">
        <f t="shared" si="3"/>
        <v>41.186440677966104</v>
      </c>
      <c r="O21" s="239">
        <f t="shared" si="4"/>
        <v>1.1702282033898306</v>
      </c>
      <c r="P21" s="119">
        <f t="shared" si="5"/>
        <v>235.21586888135593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</v>
      </c>
      <c r="I25" s="114">
        <f t="shared" si="7"/>
        <v>435.84000000000003</v>
      </c>
      <c r="J25" s="274">
        <f>SUM(J16:J24)</f>
        <v>34.867200000000004</v>
      </c>
      <c r="K25" s="275">
        <f t="shared" si="7"/>
        <v>15.254400000000002</v>
      </c>
      <c r="L25" s="276">
        <f t="shared" si="7"/>
        <v>0</v>
      </c>
      <c r="M25" s="232">
        <f t="shared" si="7"/>
        <v>385.71840000000003</v>
      </c>
      <c r="N25" s="233">
        <f>SUM(N16:N24)</f>
        <v>82.372881355932208</v>
      </c>
      <c r="O25" s="101">
        <f>SUM(O16:O24)</f>
        <v>2.3404564067796612</v>
      </c>
      <c r="P25" s="234">
        <f>SUM(P16:P24)</f>
        <v>470.43173776271186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435.84000000000003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34.867200000000004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15.254400000000002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385.71840000000003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82.372881355932208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468.09128135593221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2.3404564067796612</v>
      </c>
    </row>
    <row r="35" spans="2:16" ht="15.75" customHeight="1" thickBot="1" x14ac:dyDescent="0.4">
      <c r="N35" s="345" t="s">
        <v>88</v>
      </c>
      <c r="O35" s="346"/>
      <c r="P35" s="297">
        <f>+P33+P34</f>
        <v>470.43173776271186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46290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46289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2026-09-24T08:59:27Z</dcterms:modified>
</cp:coreProperties>
</file>