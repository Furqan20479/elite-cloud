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F750260-8BA3-481B-B3A3-B51F6E0E80E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16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<sst xmlns="http://schemas.openxmlformats.org/spreadsheetml/2006/main" count="3948" uniqueCount="517">
  <si>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</si>
  <si>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</si>
  <si>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</si>
  <si>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</si>
  <si>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</si>
  <si>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</si>
  <si>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</si>
  <si>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</si>
  <si>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</si>
  <si>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</si>
  <si>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</si>
  <si>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</si>
  <si>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</si>
  <si>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</si>
  <si>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</si>
  <si>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</si>
  <si>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</si>
  <si>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</si>
  <si>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</si>
  <si>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</si>
  <si>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</si>
  <si>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</si>
  <si>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</si>
  <si>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</si>
  <si>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</si>
  <si>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</si>
  <si>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</si>
  <si>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</si>
  <si>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</si>
  <si>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</si>
  <si>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</si>
  <si>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</si>
  <si>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</si>
  <si>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</si>
  <si>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</si>
  <si>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</si>
  <si>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</si>
  <si>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</si>
  <si>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</si>
  <si>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</si>
  <si>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</si>
  <si>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</si>
  <si>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</si>
  <si>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</si>
  <si>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</si>
  <si>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</si>
  <si>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</si>
  <si>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</si>
  <si>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</si>
  <si>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</si>
  <si>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</si>
  <si>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</si>
  <si>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</si>
  <si>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</si>
  <si>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</si>
  <si>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</si>
  <si>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</si>
  <si>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</si>
  <si>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</si>
  <si>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</si>
  <si>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</si>
  <si>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</si>
  <si>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</si>
  <si>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</si>
  <si>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</si>
  <si>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</si>
  <si>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</si>
  <si>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</si>
  <si>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</si>
  <si>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</si>
  <si>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</si>
  <si>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</si>
  <si>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</si>
  <si>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</si>
  <si>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</si>
  <si>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</si>
  <si>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</si>
  <si>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</si>
  <si>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</si>
  <si>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</si>
  <si>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</si>
  <si>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</si>
  <si>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</si>
  <si>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</si>
  <si>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</si>
  <si>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</si>
  <si>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</si>
  <si>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</si>
  <si>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</si>
  <si>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</si>
  <si>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</si>
  <si>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</si>
  <si>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</si>
  <si>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</si>
  <si>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</si>
  <si>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</si>
  <si>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</si>
  <si>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</si>
  <si>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</si>
  <si>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</si>
  <si>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</si>
  <si>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</si>
  <si>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</si>
  <si>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</si>
  <si>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</si>
  <si>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</si>
  <si>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</si>
  <si>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</si>
  <si>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</si>
  <si>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</si>
  <si>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</si>
  <si>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</si>
  <si>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</si>
  <si>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</si>
  <si>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</si>
  <si>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</si>
  <si>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</si>
  <si>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</si>
  <si>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</si>
  <si>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</si>
  <si>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</si>
  <si>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</si>
  <si>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</si>
  <si>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</si>
  <si>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</si>
  <si>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</si>
  <si>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</si>
  <si>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</si>
  <si>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</si>
  <si>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</si>
  <si>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</si>
  <si>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</si>
  <si>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</si>
  <si>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</si>
  <si>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</si>
  <si>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</si>
  <si>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</si>
  <si>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</si>
  <si>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</si>
  <si>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</si>
  <si>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</si>
  <si>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</si>
  <si>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</si>
  <si>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</si>
  <si>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</si>
  <si>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</si>
  <si>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</si>
  <si>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</si>
  <si>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</si>
  <si>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</si>
  <si>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</si>
  <si>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</si>
  <si>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</si>
  <si>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</si>
  <si>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</si>
  <si>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</si>
  <si>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</si>
  <si>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</si>
  <si>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</si>
  <si>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</si>
  <si>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</si>
  <si>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</si>
  <si>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</si>
  <si>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</si>
  <si>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</si>
  <si>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</si>
  <si>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</si>
  <si>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</si>
  <si>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</si>
  <si>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</si>
  <si>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</si>
  <si>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</si>
  <si>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</si>
  <si>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</si>
  <si>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</si>
  <si>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</si>
  <si>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</si>
  <si>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</si>
  <si>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</si>
  <si>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</si>
  <si>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</si>
  <si>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</si>
  <si>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</si>
  <si>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</si>
  <si>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</si>
  <si>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</si>
  <si>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</si>
  <si>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</si>
  <si>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</si>
  <si>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</si>
  <si>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</si>
  <si>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</si>
  <si>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</si>
  <si>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</si>
  <si>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</si>
  <si>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</si>
  <si>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</si>
  <si>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</si>
  <si>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</si>
  <si>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</si>
  <si>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</si>
  <si>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</si>
  <si>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</si>
  <si>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</si>
  <si>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</si>
  <si>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</si>
  <si>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</si>
  <si>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</si>
  <si>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</si>
  <si>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</si>
  <si>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</si>
  <si>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</si>
  <si>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</si>
  <si>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</si>
  <si>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</si>
  <si>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</si>
  <si>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</si>
  <si>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</si>
  <si>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</si>
  <si>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</si>
  <si>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</si>
  <si>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</si>
  <si>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</si>
  <si>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</si>
  <si>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</si>
  <si>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</si>
  <si>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</si>
  <si>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</si>
  <si>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</si>
  <si>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</si>
  <si>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</si>
  <si>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</si>
  <si>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</si>
  <si>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</si>
  <si>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</si>
  <si>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</si>
  <si>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</si>
  <si>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</si>
  <si>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</si>
  <si>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</si>
  <si>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</si>
  <si>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</si>
  <si>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</si>
  <si>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</si>
  <si>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</si>
  <si>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</si>
  <si>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</si>
  <si>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</si>
  <si>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</si>
  <si>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</si>
  <si>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</si>
  <si>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</si>
  <si>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</si>
  <si>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</si>
  <si>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</si>
  <si>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</si>
  <si>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</si>
  <si>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</si>
  <si>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</si>
  <si>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</si>
  <si>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</si>
  <si>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</si>
  <si>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</si>
  <si>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</si>
  <si>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</si>
  <si>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</si>
  <si>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</si>
  <si>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</si>
  <si>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</si>
  <si>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</si>
  <si>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</si>
  <si>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</si>
  <si>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</si>
  <si>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</si>
  <si>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</si>
  <si>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</si>
  <si>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</si>
  <si>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</si>
  <si>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</si>
  <si>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</si>
  <si>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</si>
  <si>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</si>
  <si>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</si>
  <si>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</si>
  <si>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</si>
  <si>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</si>
  <si>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</si>
  <si>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</si>
  <si>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</si>
  <si>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</si>
  <si>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</si>
  <si>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</si>
  <si>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</si>
  <si>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</si>
  <si>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</si>
  <si>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</si>
  <si>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</si>
  <si>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</si>
  <si>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</si>
  <si>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</si>
  <si>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</si>
  <si>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</si>
  <si>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</si>
  <si>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</si>
  <si>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</si>
  <si>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</si>
  <si>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</si>
  <si>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</si>
  <si>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</si>
  <si>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</si>
  <si>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</si>
  <si>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</si>
  <si>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</si>
  <si>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</si>
  <si>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</si>
  <si>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</si>
  <si>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</si>
  <si>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</si>
  <si>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</si>
  <si>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</si>
  <si>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</si>
  <si>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</si>
  <si>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</si>
  <si>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</si>
  <si>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</si>
  <si>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</si>
  <si>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</si>
  <si>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</si>
  <si>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</si>
  <si>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</si>
  <si>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</si>
  <si>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</si>
  <si>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</si>
  <si>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</si>
  <si>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</si>
  <si>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</si>
  <si>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</si>
  <si>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</si>
  <si>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</si>
  <si>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</si>
  <si>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</si>
  <si>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</si>
  <si>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</si>
  <si>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</si>
  <si>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</si>
  <si>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</si>
  <si>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</si>
  <si>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</si>
  <si>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</si>
  <si>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</si>
  <si>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</si>
  <si>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</si>
  <si>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</si>
  <si>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</si>
  <si>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</si>
  <si>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</si>
  <si>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</si>
  <si>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</si>
  <si>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</si>
  <si>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</si>
  <si>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</si>
  <si>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</si>
  <si>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</si>
  <si>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</si>
  <si>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</si>
  <si>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</si>
  <si>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</si>
  <si>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</si>
  <si>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</si>
  <si>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</si>
  <si>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</si>
  <si>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</si>
  <si>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</si>
  <si>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</si>
  <si>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</si>
  <si>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</si>
  <si>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</si>
  <si>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</si>
  <si>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</si>
  <si>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</si>
  <si>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</si>
  <si>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</si>
  <si>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</si>
  <si>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</si>
  <si>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</si>
  <si>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</si>
  <si>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</si>
  <si>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</si>
  <si>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</si>
  <si>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</si>
  <si>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</si>
  <si>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</si>
  <si>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</si>
  <si>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</si>
  <si>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</si>
  <si>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</si>
  <si>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</si>
  <si>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</si>
  <si>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</si>
  <si>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</si>
  <si>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</si>
  <si>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</si>
  <si>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</si>
  <si>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</si>
  <si>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</si>
  <si>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</si>
  <si>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</si>
  <si>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</si>
  <si>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</si>
  <si>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</si>
  <si>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</si>
  <si>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</si>
  <si>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</si>
  <si>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</si>
  <si>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</si>
  <si>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</si>
  <si>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</si>
  <si>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</si>
  <si>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</si>
  <si>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</si>
  <si>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</si>
  <si>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</si>
  <si>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</si>
  <si>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</si>
  <si>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</si>
  <si>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</si>
  <si>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</si>
  <si>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</si>
  <si>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</si>
  <si>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</si>
  <si>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</si>
  <si>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</si>
  <si>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</si>
  <si>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</si>
  <si>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</si>
  <si>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</si>
  <si>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</si>
  <si>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</si>
  <si>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</si>
  <si>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</si>
  <si>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</si>
  <si>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</si>
  <si>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</si>
  <si>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</si>
  <si>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</si>
  <si>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</si>
  <si>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</si>
  <si>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</si>
  <si>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</si>
  <si>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</si>
  <si>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</si>
  <si>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</si>
  <si>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</si>
  <si>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</si>
  <si>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</si>
  <si>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</si>
  <si>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</si>
  <si>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</si>
  <si>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</si>
  <si>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</si>
  <si>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</si>
  <si>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</si>
  <si>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</si>
  <si>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</si>
  <si>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</si>
  <si>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</si>
  <si>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</si>
  <si>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</si>
  <si>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</si>
  <si>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</si>
  <si>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</si>
  <si>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</si>
  <si>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</si>
  <si>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</si>
  <si>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</si>
  <si>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</si>
  <si>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</si>
  <si>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</si>
  <si>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</si>
  <si>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</si>
  <si>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</si>
  <si>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</si>
  <si>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</si>
  <si>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</si>
  <si>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</si>
  <si>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</si>
  <si>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</si>
  <si>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</si>
  <si>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</si>
  <si>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</si>
  <si>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</si>
  <si>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</si>
  <si>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</si>
  <si>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</si>
  <si>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</si>
  <si>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</si>
  <si>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</si>
  <si>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</si>
  <si>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</si>
  <si>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</si>
  <si>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</si>
  <si>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</si>
  <si>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</si>
  <si>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</si>
  <si>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</si>
  <si>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</si>
  <si>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</si>
  <si>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</si>
  <si>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</si>
  <si>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</si>
  <si>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</si>
  <si>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</si>
  <si>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Lahore Grammer School </t>
  </si>
  <si>
    <t xml:space="preserve">Address: E2 Johar Town </t>
  </si>
  <si>
    <t>Shakoor</t>
  </si>
  <si>
    <t>Invoice No # :0001</t>
  </si>
  <si>
    <t>LGS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</si>
</sst>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0.453125" customWidth="1"/>
    <col min="10" max="10" width="9.0898437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516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Lahore Grammer School </v>
      </c>
      <c r="T3" s="301">
        <f>+'1'!P35</f>
        <v>9233.4270752542379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Lahore Grammer School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Lahore Grammer School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Lahore Grammer School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Lahore Grammer School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Lahore Grammer School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Lahore Grammer School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Lahore Grammer School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Lahore Grammer School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Lahore Grammer School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Lahore Grammer School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Lahore Grammer School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Lahore Grammer School 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</v>
      </c>
      <c r="H16" s="113">
        <f t="shared" ref="H16:M16" si="3">SUM(H7:H15)</f>
        <v>120</v>
      </c>
      <c r="I16" s="114">
        <f t="shared" si="3"/>
        <v>8716.7999999999993</v>
      </c>
      <c r="J16" s="274">
        <f>SUM(J7:J15)</f>
        <v>871.68000000000006</v>
      </c>
      <c r="K16" s="275">
        <f t="shared" si="3"/>
        <v>305.08800000000002</v>
      </c>
      <c r="L16" s="276">
        <f t="shared" si="3"/>
        <v>0</v>
      </c>
      <c r="M16" s="232">
        <f t="shared" si="3"/>
        <v>7540.0320000000002</v>
      </c>
      <c r="N16" s="233">
        <f>SUM(N7:N15)</f>
        <v>1647.4576271186443</v>
      </c>
      <c r="O16" s="101">
        <f>SUM(O7:O15)</f>
        <v>45.937448135593222</v>
      </c>
      <c r="P16" s="113">
        <f>SUM(P7:P15)</f>
        <v>9233.4270752542379</v>
      </c>
      <c r="Q16" s="128">
        <f>SUM(Q7:Q15)</f>
        <v>0</v>
      </c>
      <c r="R16" s="314">
        <v>14</v>
      </c>
      <c r="S16" s="318" t="str">
        <f>+'14'!A6:A6</f>
        <v xml:space="preserve">Lahore Grammer School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Lahore Grammer School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Lahore Grammer School 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8716.7999999999993</v>
      </c>
      <c r="R19" s="299">
        <v>17</v>
      </c>
      <c r="S19" s="300" t="str">
        <f>+'17'!A6:A6</f>
        <v xml:space="preserve">Lahore Grammer School 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871.68000000000006</v>
      </c>
      <c r="R20" s="299">
        <v>18</v>
      </c>
      <c r="S20" s="300" t="str">
        <f>+'18'!A6:A6</f>
        <v xml:space="preserve">Lahore Grammer School 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305.08800000000002</v>
      </c>
      <c r="R21" s="299">
        <v>19</v>
      </c>
      <c r="S21" s="300" t="str">
        <f>+'19'!A6:A6</f>
        <v xml:space="preserve">Lahore Grammer School 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7540.0319999999992</v>
      </c>
      <c r="R22" s="299">
        <v>20</v>
      </c>
      <c r="S22" s="300" t="str">
        <f>+'20'!A6:A6</f>
        <v xml:space="preserve">Lahore Grammer School 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1647.4576271186443</v>
      </c>
      <c r="R23" s="299">
        <v>21</v>
      </c>
      <c r="S23" s="300" t="str">
        <f>+'21'!A6:A6</f>
        <v xml:space="preserve">Lahore Grammer School 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9187.4896271186444</v>
      </c>
      <c r="R24" s="299">
        <v>22</v>
      </c>
      <c r="S24" s="300" t="str">
        <f>+'22'!A6:A6</f>
        <v xml:space="preserve">Lahore Grammer School 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45.937448135593222</v>
      </c>
      <c r="R25" s="299">
        <v>23</v>
      </c>
      <c r="S25" s="300" t="str">
        <f>+'23'!A6:A6</f>
        <v xml:space="preserve">Lahore Grammer School 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9233.4270752542379</v>
      </c>
      <c r="R26" s="299">
        <v>24</v>
      </c>
      <c r="S26" s="300" t="str">
        <f>+'24'!A6:A6</f>
        <v xml:space="preserve">Lahore Grammer School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 xml:space="preserve">Lahore Grammer School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Lahore Grammer School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Lahore Grammer School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Lahore Grammer School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Lahore Grammer School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Lahore Grammer School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9233.4270752542379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R32" sqref="R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514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871.68000000000006</v>
      </c>
      <c r="K25" s="275">
        <f t="shared" si="10"/>
        <v>305.08800000000002</v>
      </c>
      <c r="L25" s="276">
        <f t="shared" si="10"/>
        <v>0</v>
      </c>
      <c r="M25" s="232">
        <f t="shared" si="10"/>
        <v>7540.0320000000002</v>
      </c>
      <c r="N25" s="233">
        <f>SUM(N16:N24)</f>
        <v>1647.4576271186443</v>
      </c>
      <c r="O25" s="101">
        <f>SUM(O16:O24)</f>
        <v>45.937448135593222</v>
      </c>
      <c r="P25" s="113">
        <f>SUM(P16:P24)</f>
        <v>9233.4270752542379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871.68000000000006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7540.0319999999992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9187.4896271186444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74" t="s">
        <v>88</v>
      </c>
      <c r="O35" s="375"/>
      <c r="P35" s="297">
        <f>+P33+P34</f>
        <v>9233.4270752542379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46257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2026-09-05T05:48:05Z</dcterms:modified>
</cp:coreProperties>
</file>