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AFA1C4-A428-45AF-8846-82364CC7F39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<sst xmlns="http://schemas.openxmlformats.org/spreadsheetml/2006/main" count="3948" uniqueCount="522">
  <si>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</si>
  <si>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</si>
  <si>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</si>
  <si>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</si>
  <si>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</si>
  <si>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</si>
  <si>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</si>
  <si>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</si>
  <si>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</si>
  <si>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</si>
  <si>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</si>
  <si>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</si>
  <si>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</si>
  <si>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</si>
  <si>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</si>
  <si>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</si>
  <si>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</si>
  <si>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</si>
  <si>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</si>
  <si>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</si>
  <si>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</si>
  <si>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</si>
  <si>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</si>
  <si>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</si>
  <si>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</si>
  <si>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</si>
  <si>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</si>
  <si>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</si>
  <si>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</si>
  <si>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</si>
  <si>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</si>
  <si>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</si>
  <si>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</si>
  <si>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</si>
  <si>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</si>
  <si>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</si>
  <si>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</si>
  <si>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</si>
  <si>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</si>
  <si>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</si>
  <si>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</si>
  <si>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</si>
  <si>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</si>
  <si>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</si>
  <si>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</si>
  <si>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</si>
  <si>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</si>
  <si>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</si>
  <si>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</si>
  <si>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</si>
  <si>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</si>
  <si>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</si>
  <si>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</si>
  <si>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</si>
  <si>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</si>
  <si>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</si>
  <si>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</si>
  <si>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</si>
  <si>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</si>
  <si>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</si>
  <si>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</si>
  <si>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</si>
  <si>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</si>
  <si>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</si>
  <si>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</si>
  <si>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</si>
  <si>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</si>
  <si>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</si>
  <si>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</si>
  <si>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</si>
  <si>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</si>
  <si>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</si>
  <si>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</si>
  <si>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</si>
  <si>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</si>
  <si>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</si>
  <si>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</si>
  <si>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</si>
  <si>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</si>
  <si>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</si>
  <si>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</si>
  <si>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</si>
  <si>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</si>
  <si>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</si>
  <si>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</si>
  <si>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</si>
  <si>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</si>
  <si>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</si>
  <si>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</si>
  <si>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</si>
  <si>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</si>
  <si>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</si>
  <si>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</si>
  <si>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</si>
  <si>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</si>
  <si>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</si>
  <si>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</si>
  <si>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</si>
  <si>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</si>
  <si>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</si>
  <si>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</si>
  <si>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</si>
  <si>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</si>
  <si>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</si>
  <si>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</si>
  <si>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</si>
  <si>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</si>
  <si>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</si>
  <si>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</si>
  <si>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</si>
  <si>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</si>
  <si>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</si>
  <si>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</si>
  <si>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</si>
  <si>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</si>
  <si>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</si>
  <si>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</si>
  <si>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</si>
  <si>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</si>
  <si>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</si>
  <si>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</si>
  <si>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</si>
  <si>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</si>
  <si>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</si>
  <si>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</si>
  <si>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</si>
  <si>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</si>
  <si>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</si>
  <si>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</si>
  <si>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</si>
  <si>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</si>
  <si>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</si>
  <si>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</si>
  <si>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</si>
  <si>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</si>
  <si>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</si>
  <si>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</si>
  <si>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</si>
  <si>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</si>
  <si>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</si>
  <si>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</si>
  <si>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</si>
  <si>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</si>
  <si>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</si>
  <si>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</si>
  <si>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</si>
  <si>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</si>
  <si>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</si>
  <si>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</si>
  <si>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</si>
  <si>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</si>
  <si>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</si>
  <si>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</si>
  <si>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</si>
  <si>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</si>
  <si>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</si>
  <si>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</si>
  <si>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</si>
  <si>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</si>
  <si>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</si>
  <si>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</si>
  <si>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</si>
  <si>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</si>
  <si>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</si>
  <si>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</si>
  <si>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</si>
  <si>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</si>
  <si>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</si>
  <si>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</si>
  <si>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</si>
  <si>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</si>
  <si>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</si>
  <si>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</si>
  <si>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</si>
  <si>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</si>
  <si>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</si>
  <si>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</si>
  <si>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</si>
  <si>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</si>
  <si>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</si>
  <si>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</si>
  <si>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</si>
  <si>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</si>
  <si>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</si>
  <si>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</si>
  <si>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</si>
  <si>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</si>
  <si>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</si>
  <si>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</si>
  <si>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</si>
  <si>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</si>
  <si>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</si>
  <si>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</si>
  <si>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</si>
  <si>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</si>
  <si>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</si>
  <si>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</si>
  <si>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</si>
  <si>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</si>
  <si>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</si>
  <si>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</si>
  <si>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</si>
  <si>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</si>
  <si>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</si>
  <si>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</si>
  <si>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</si>
  <si>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</si>
  <si>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</si>
  <si>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</si>
  <si>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</si>
  <si>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</si>
  <si>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</si>
  <si>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</si>
  <si>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</si>
  <si>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</si>
  <si>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</si>
  <si>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</si>
  <si>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</si>
  <si>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</si>
  <si>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</si>
  <si>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</si>
  <si>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</si>
  <si>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</si>
  <si>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</si>
  <si>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</si>
  <si>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</si>
  <si>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</si>
  <si>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</si>
  <si>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</si>
  <si>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</si>
  <si>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</si>
  <si>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</si>
  <si>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</si>
  <si>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</si>
  <si>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</si>
  <si>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</si>
  <si>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</si>
  <si>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</si>
  <si>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</si>
  <si>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</si>
  <si>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</si>
  <si>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</si>
  <si>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</si>
  <si>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</si>
  <si>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</si>
  <si>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</si>
  <si>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</si>
  <si>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</si>
  <si>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</si>
  <si>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</si>
  <si>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</si>
  <si>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</si>
  <si>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</si>
  <si>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</si>
  <si>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</si>
  <si>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</si>
  <si>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</si>
  <si>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</si>
  <si>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</si>
  <si>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</si>
  <si>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</si>
  <si>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</si>
  <si>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</si>
  <si>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</si>
  <si>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</si>
  <si>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</si>
  <si>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</si>
  <si>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</si>
  <si>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</si>
  <si>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</si>
  <si>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</si>
  <si>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</si>
  <si>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</si>
  <si>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</si>
  <si>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</si>
  <si>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</si>
  <si>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</si>
  <si>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</si>
  <si>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</si>
  <si>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</si>
  <si>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</si>
  <si>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</si>
  <si>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</si>
  <si>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</si>
  <si>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</si>
  <si>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</si>
  <si>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</si>
  <si>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</si>
  <si>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</si>
  <si>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</si>
  <si>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</si>
  <si>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</si>
  <si>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</si>
  <si>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</si>
  <si>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</si>
  <si>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</si>
  <si>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</si>
  <si>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</si>
  <si>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</si>
  <si>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</si>
  <si>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</si>
  <si>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</si>
  <si>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</si>
  <si>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</si>
  <si>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</si>
  <si>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</si>
  <si>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</si>
  <si>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</si>
  <si>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</si>
  <si>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</si>
  <si>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</si>
  <si>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</si>
  <si>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</si>
  <si>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</si>
  <si>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</si>
  <si>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</si>
  <si>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</si>
  <si>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</si>
  <si>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</si>
  <si>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</si>
  <si>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</si>
  <si>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</si>
  <si>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</si>
  <si>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</si>
  <si>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</si>
  <si>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</si>
  <si>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</si>
  <si>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</si>
  <si>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</si>
  <si>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</si>
  <si>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</si>
  <si>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</si>
  <si>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</si>
  <si>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</si>
  <si>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</si>
  <si>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</si>
  <si>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</si>
  <si>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</si>
  <si>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</si>
  <si>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</si>
  <si>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</si>
  <si>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</si>
  <si>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</si>
  <si>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</si>
  <si>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</si>
  <si>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</si>
  <si>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</si>
  <si>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</si>
  <si>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</si>
  <si>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</si>
  <si>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</si>
  <si>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</si>
  <si>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</si>
  <si>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</si>
  <si>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</si>
  <si>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</si>
  <si>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</si>
  <si>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</si>
  <si>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</si>
  <si>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</si>
  <si>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</si>
  <si>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</si>
  <si>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</si>
  <si>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</si>
  <si>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</si>
  <si>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</si>
  <si>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</si>
  <si>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</si>
  <si>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</si>
  <si>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</si>
  <si>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</si>
  <si>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</si>
  <si>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</si>
  <si>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</si>
  <si>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</si>
  <si>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</si>
  <si>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</si>
  <si>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</si>
  <si>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</si>
  <si>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</si>
  <si>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</si>
  <si>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</si>
  <si>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</si>
  <si>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</si>
  <si>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</si>
  <si>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</si>
  <si>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</si>
  <si>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</si>
  <si>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</si>
  <si>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</si>
  <si>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</si>
  <si>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</si>
  <si>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</si>
  <si>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</si>
  <si>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</si>
  <si>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</si>
  <si>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</si>
  <si>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</si>
  <si>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</si>
  <si>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</si>
  <si>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</si>
  <si>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</si>
  <si>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</si>
  <si>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</si>
  <si>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</si>
  <si>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</si>
  <si>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</si>
  <si>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</si>
  <si>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</si>
  <si>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</si>
  <si>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</si>
  <si>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</si>
  <si>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</si>
  <si>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</si>
  <si>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</si>
  <si>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</si>
  <si>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</si>
  <si>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</si>
  <si>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</si>
  <si>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</si>
  <si>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</si>
  <si>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</si>
  <si>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</si>
  <si>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</si>
  <si>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</si>
  <si>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</si>
  <si>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</si>
  <si>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</si>
  <si>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</si>
  <si>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</si>
  <si>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</si>
  <si>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</si>
  <si>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</si>
  <si>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</si>
  <si>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</si>
  <si>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</si>
  <si>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</si>
  <si>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</si>
  <si>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</si>
  <si>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</si>
  <si>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</si>
  <si>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</si>
  <si>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</si>
  <si>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</si>
  <si>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</si>
  <si>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</si>
  <si>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</si>
  <si>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</si>
  <si>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</si>
  <si>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</si>
  <si>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</si>
  <si>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</si>
  <si>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</si>
  <si>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</si>
  <si>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</si>
  <si>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</si>
  <si>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</si>
  <si>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</si>
  <si>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</si>
  <si>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</si>
  <si>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</si>
  <si>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</si>
  <si>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</si>
  <si>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</si>
  <si>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</si>
  <si>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</si>
  <si>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</si>
  <si>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</si>
  <si>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</si>
  <si>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</si>
  <si>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</si>
  <si>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</si>
  <si>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</si>
  <si>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</si>
  <si>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</si>
  <si>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</si>
  <si>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</si>
  <si>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</si>
  <si>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</si>
  <si>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</si>
  <si>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</si>
  <si>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</si>
  <si>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</si>
  <si>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</si>
  <si>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</si>
  <si>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</si>
  <si>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</si>
  <si>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</si>
  <si>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</si>
  <si>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</si>
  <si>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</si>
  <si>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</si>
  <si>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</si>
  <si>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</si>
  <si>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</si>
  <si>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</si>
  <si>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</si>
  <si>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</si>
  <si>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</si>
  <si>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</si>
  <si>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</si>
  <si>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</si>
  <si>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</si>
  <si>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</si>
  <si>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</si>
  <si>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</si>
  <si>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</si>
  <si>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</si>
  <si>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</si>
  <si>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</si>
  <si>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</si>
  <si>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</si>
  <si>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</si>
  <si>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</si>
  <si>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 xml:space="preserve">Address: Ali Park </t>
  </si>
  <si>
    <t>Mian Store</t>
  </si>
  <si>
    <t>Baber Store</t>
  </si>
  <si>
    <t xml:space="preserve">Raza Mart </t>
  </si>
  <si>
    <t>Fakhir Store</t>
  </si>
  <si>
    <t>Yaseen Store</t>
  </si>
  <si>
    <t>Bilal Store</t>
  </si>
  <si>
    <t>Moon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</si>
</sst>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T9" sqref="T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Mian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Baber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Raza Mart </v>
      </c>
      <c r="T5" s="301">
        <f>+'3'!P35</f>
        <v>5401.2631679237284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Fakhir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Yaseen Store</v>
      </c>
      <c r="T7" s="301">
        <f>+'5'!P35</f>
        <v>15243.038725423728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Bilal Store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Moon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215</v>
      </c>
      <c r="I12" s="236">
        <f t="shared" si="0"/>
        <v>15617.6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1685.2479999999998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546.6160000000001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13385.736000000001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2951.6949152542375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81.687154576271197</v>
      </c>
      <c r="P12" s="311">
        <f t="shared" si="2"/>
        <v>16419.118069830507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</v>
      </c>
      <c r="H16" s="113">
        <f t="shared" ref="H16:M16" si="3">SUM(H7:H15)</f>
        <v>320</v>
      </c>
      <c r="I16" s="114">
        <f t="shared" si="3"/>
        <v>21630.6</v>
      </c>
      <c r="J16" s="274">
        <f>SUM(J7:J15)</f>
        <v>2166.288</v>
      </c>
      <c r="K16" s="275">
        <f t="shared" si="3"/>
        <v>757.07100000000014</v>
      </c>
      <c r="L16" s="276">
        <f t="shared" si="3"/>
        <v>0</v>
      </c>
      <c r="M16" s="232">
        <f t="shared" si="3"/>
        <v>18707.241000000002</v>
      </c>
      <c r="N16" s="233">
        <f>SUM(N7:N15)</f>
        <v>4088.1355932203387</v>
      </c>
      <c r="O16" s="101">
        <f>SUM(O7:O15)</f>
        <v>113.9768829661017</v>
      </c>
      <c r="P16" s="113">
        <f>SUM(P7:P15)</f>
        <v>22909.353476186439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21630.6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2166.288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757.07100000000014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18707.240999999998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4088.1355932203387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22795.376593220339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113.9768829661017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22909.353476186439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22909.353476186439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1598.08</v>
      </c>
      <c r="K21" s="128">
        <f t="shared" si="1"/>
        <v>508.48000000000008</v>
      </c>
      <c r="L21" s="119">
        <f t="shared" si="1"/>
        <v>0</v>
      </c>
      <c r="M21" s="230">
        <f t="shared" si="2"/>
        <v>12421.44</v>
      </c>
      <c r="N21" s="277">
        <f t="shared" si="3"/>
        <v>2745.7627118644068</v>
      </c>
      <c r="O21" s="239">
        <f t="shared" si="4"/>
        <v>75.836013559322041</v>
      </c>
      <c r="P21" s="119">
        <f t="shared" si="5"/>
        <v>15243.038725423728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1598.08</v>
      </c>
      <c r="K25" s="275">
        <f t="shared" si="7"/>
        <v>508.48000000000008</v>
      </c>
      <c r="L25" s="276">
        <f t="shared" si="7"/>
        <v>0</v>
      </c>
      <c r="M25" s="232">
        <f t="shared" si="7"/>
        <v>12421.44</v>
      </c>
      <c r="N25" s="233">
        <f>SUM(N16:N24)</f>
        <v>2745.7627118644068</v>
      </c>
      <c r="O25" s="101">
        <f>SUM(O16:O24)</f>
        <v>75.836013559322041</v>
      </c>
      <c r="P25" s="234">
        <f>SUM(P16:P24)</f>
        <v>15243.038725423728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1598.08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508.48000000000008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12421.44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15167.202711864407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75.836013559322041</v>
      </c>
    </row>
    <row r="35" spans="2:16" ht="15.75" customHeight="1" thickBot="1" x14ac:dyDescent="0.4">
      <c r="N35" s="374" t="s">
        <v>88</v>
      </c>
      <c r="O35" s="375"/>
      <c r="P35" s="297">
        <f>+P33+P34</f>
        <v>15243.038725423728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2026-09-24T11:30:22Z</dcterms:modified>
</cp:coreProperties>
</file>