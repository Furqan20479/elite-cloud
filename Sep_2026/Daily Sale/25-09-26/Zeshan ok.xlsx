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6B9A92C-58B7-4200-AEE1-B1FAEA7BCA30}" xr6:coauthVersionLast="47" xr6:coauthVersionMax="47" xr10:uidLastSave="{00000000-0000-0000-0000-000000000000}"/>
  <bookViews>
    <workbookView xWindow="-110" yWindow="-110" windowWidth="19420" windowHeight="10420" tabRatio="948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<sst xmlns="http://schemas.openxmlformats.org/spreadsheetml/2006/main" count="3948" uniqueCount="523">
  <si>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</si>
  <si>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</si>
  <si>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</si>
  <si>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</si>
  <si>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</si>
  <si>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</si>
  <si>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</si>
  <si>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</si>
  <si>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</si>
  <si>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</si>
  <si>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</si>
  <si>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</si>
  <si>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</si>
  <si>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</si>
  <si>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</si>
  <si>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</si>
  <si>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</si>
  <si>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</si>
  <si>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</si>
  <si>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</si>
  <si>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</si>
  <si>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</si>
  <si>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</si>
  <si>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</si>
  <si>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</si>
  <si>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</si>
  <si>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</si>
  <si>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</si>
  <si>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</si>
  <si>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</si>
  <si>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</si>
  <si>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</si>
  <si>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</si>
  <si>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</si>
  <si>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</si>
  <si>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</si>
  <si>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</si>
  <si>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</si>
  <si>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</si>
  <si>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</si>
  <si>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</si>
  <si>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</si>
  <si>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</si>
  <si>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</si>
  <si>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</si>
  <si>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</si>
  <si>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</si>
  <si>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</si>
  <si>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</si>
  <si>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</si>
  <si>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</si>
  <si>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</si>
  <si>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</si>
  <si>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</si>
  <si>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</si>
  <si>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</si>
  <si>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</si>
  <si>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</si>
  <si>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</si>
  <si>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</si>
  <si>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</si>
  <si>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</si>
  <si>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</si>
  <si>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</si>
  <si>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</si>
  <si>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</si>
  <si>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</si>
  <si>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</si>
  <si>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</si>
  <si>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</si>
  <si>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</si>
  <si>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</si>
  <si>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</si>
  <si>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</si>
  <si>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</si>
  <si>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</si>
  <si>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</si>
  <si>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</si>
  <si>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</si>
  <si>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</si>
  <si>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</si>
  <si>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</si>
  <si>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</si>
  <si>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</si>
  <si>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</si>
  <si>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</si>
  <si>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</si>
  <si>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</si>
  <si>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</si>
  <si>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</si>
  <si>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</si>
  <si>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</si>
  <si>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</si>
  <si>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</si>
  <si>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</si>
  <si>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</si>
  <si>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</si>
  <si>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</si>
  <si>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</si>
  <si>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</si>
  <si>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</si>
  <si>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</si>
  <si>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</si>
  <si>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</si>
  <si>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</si>
  <si>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</si>
  <si>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</si>
  <si>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</si>
  <si>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</si>
  <si>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</si>
  <si>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</si>
  <si>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</si>
  <si>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</si>
  <si>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</si>
  <si>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</si>
  <si>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</si>
  <si>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</si>
  <si>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</si>
  <si>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</si>
  <si>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</si>
  <si>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</si>
  <si>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</si>
  <si>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</si>
  <si>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</si>
  <si>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</si>
  <si>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</si>
  <si>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</si>
  <si>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</si>
  <si>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</si>
  <si>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</si>
  <si>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</si>
  <si>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</si>
  <si>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</si>
  <si>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</si>
  <si>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</si>
  <si>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</si>
  <si>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</si>
  <si>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</si>
  <si>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</si>
  <si>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</si>
  <si>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</si>
  <si>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</si>
  <si>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</si>
  <si>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</si>
  <si>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</si>
  <si>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</si>
  <si>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</si>
  <si>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</si>
  <si>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</si>
  <si>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</si>
  <si>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</si>
  <si>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</si>
  <si>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</si>
  <si>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</si>
  <si>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</si>
  <si>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</si>
  <si>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</si>
  <si>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</si>
  <si>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</si>
  <si>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</si>
  <si>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</si>
  <si>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</si>
  <si>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</si>
  <si>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</si>
  <si>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</si>
  <si>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</si>
  <si>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</si>
  <si>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</si>
  <si>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</si>
  <si>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</si>
  <si>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</si>
  <si>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</si>
  <si>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</si>
  <si>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</si>
  <si>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</si>
  <si>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</si>
  <si>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</si>
  <si>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</si>
  <si>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</si>
  <si>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</si>
  <si>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</si>
  <si>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</si>
  <si>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</si>
  <si>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</si>
  <si>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</si>
  <si>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</si>
  <si>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</si>
  <si>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</si>
  <si>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</si>
  <si>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</si>
  <si>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</si>
  <si>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</si>
  <si>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</si>
  <si>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</si>
  <si>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</si>
  <si>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</si>
  <si>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</si>
  <si>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</si>
  <si>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</si>
  <si>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</si>
  <si>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</si>
  <si>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</si>
  <si>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</si>
  <si>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</si>
  <si>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</si>
  <si>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</si>
  <si>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</si>
  <si>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</si>
  <si>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</si>
  <si>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</si>
  <si>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</si>
  <si>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</si>
  <si>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</si>
  <si>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</si>
  <si>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</si>
  <si>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</si>
  <si>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</si>
  <si>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</si>
  <si>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</si>
  <si>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</si>
  <si>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</si>
  <si>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</si>
  <si>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</si>
  <si>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</si>
  <si>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</si>
  <si>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</si>
  <si>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</si>
  <si>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</si>
  <si>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</si>
  <si>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</si>
  <si>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</si>
  <si>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</si>
  <si>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</si>
  <si>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</si>
  <si>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</si>
  <si>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</si>
  <si>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</si>
  <si>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</si>
  <si>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</si>
  <si>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</si>
  <si>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</si>
  <si>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</si>
  <si>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</si>
  <si>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</si>
  <si>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</si>
  <si>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</si>
  <si>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</si>
  <si>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</si>
  <si>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</si>
  <si>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</si>
  <si>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</si>
  <si>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</si>
  <si>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</si>
  <si>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</si>
  <si>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</si>
  <si>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</si>
  <si>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</si>
  <si>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</si>
  <si>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</si>
  <si>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</si>
  <si>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</si>
  <si>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</si>
  <si>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</si>
  <si>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</si>
  <si>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</si>
  <si>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</si>
  <si>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</si>
  <si>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</si>
  <si>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</si>
  <si>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</si>
  <si>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</si>
  <si>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</si>
  <si>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</si>
  <si>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</si>
  <si>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</si>
  <si>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</si>
  <si>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</si>
  <si>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</si>
  <si>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</si>
  <si>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</si>
  <si>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</si>
  <si>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</si>
  <si>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</si>
  <si>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</si>
  <si>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</si>
  <si>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</si>
  <si>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</si>
  <si>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</si>
  <si>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</si>
  <si>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</si>
  <si>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</si>
  <si>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</si>
  <si>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</si>
  <si>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</si>
  <si>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</si>
  <si>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</si>
  <si>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</si>
  <si>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</si>
  <si>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</si>
  <si>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</si>
  <si>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</si>
  <si>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</si>
  <si>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</si>
  <si>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</si>
  <si>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</si>
  <si>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</si>
  <si>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</si>
  <si>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</si>
  <si>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</si>
  <si>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</si>
  <si>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</si>
  <si>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</si>
  <si>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</si>
  <si>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</si>
  <si>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</si>
  <si>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</si>
  <si>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</si>
  <si>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</si>
  <si>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</si>
  <si>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</si>
  <si>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</si>
  <si>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</si>
  <si>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</si>
  <si>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</si>
  <si>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</si>
  <si>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</si>
  <si>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</si>
  <si>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</si>
  <si>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</si>
  <si>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</si>
  <si>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</si>
  <si>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</si>
  <si>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</si>
  <si>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</si>
  <si>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</si>
  <si>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</si>
  <si>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</si>
  <si>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</si>
  <si>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</si>
  <si>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</si>
  <si>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</si>
  <si>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</si>
  <si>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</si>
  <si>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</si>
  <si>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</si>
  <si>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</si>
  <si>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</si>
  <si>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</si>
  <si>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</si>
  <si>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</si>
  <si>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</si>
  <si>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</si>
  <si>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</si>
  <si>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</si>
  <si>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</si>
  <si>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</si>
  <si>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</si>
  <si>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</si>
  <si>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</si>
  <si>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</si>
  <si>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</si>
  <si>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</si>
  <si>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</si>
  <si>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</si>
  <si>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</si>
  <si>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</si>
  <si>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</si>
  <si>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</si>
  <si>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</si>
  <si>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</si>
  <si>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</si>
  <si>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</si>
  <si>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</si>
  <si>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</si>
  <si>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</si>
  <si>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</si>
  <si>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</si>
  <si>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</si>
  <si>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</si>
  <si>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</si>
  <si>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</si>
  <si>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</si>
  <si>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</si>
  <si>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</si>
  <si>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</si>
  <si>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</si>
  <si>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</si>
  <si>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</si>
  <si>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</si>
  <si>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</si>
  <si>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</si>
  <si>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</si>
  <si>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</si>
  <si>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</si>
  <si>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</si>
  <si>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</si>
  <si>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</si>
  <si>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</si>
  <si>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</si>
  <si>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</si>
  <si>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</si>
  <si>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</si>
  <si>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</si>
  <si>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</si>
  <si>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</si>
  <si>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</si>
  <si>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</si>
  <si>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</si>
  <si>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</si>
  <si>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</si>
  <si>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</si>
  <si>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</si>
  <si>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</si>
  <si>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</si>
  <si>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</si>
  <si>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</si>
  <si>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</si>
  <si>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</si>
  <si>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</si>
  <si>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</si>
  <si>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</si>
  <si>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</si>
  <si>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</si>
  <si>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</si>
  <si>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</si>
  <si>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</si>
  <si>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</si>
  <si>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</si>
  <si>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</si>
  <si>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</si>
  <si>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</si>
  <si>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</si>
  <si>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</si>
  <si>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</si>
  <si>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</si>
  <si>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</si>
  <si>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</si>
  <si>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</si>
  <si>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</si>
  <si>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</si>
  <si>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</si>
  <si>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</si>
  <si>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</si>
  <si>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</si>
  <si>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</si>
  <si>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</si>
  <si>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</si>
  <si>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</si>
  <si>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</si>
  <si>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</si>
  <si>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</si>
  <si>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</si>
  <si>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</si>
  <si>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</si>
  <si>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</si>
  <si>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</si>
  <si>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</si>
  <si>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</si>
  <si>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</si>
  <si>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</si>
  <si>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</si>
  <si>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</si>
  <si>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</si>
  <si>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</si>
  <si>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</si>
  <si>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</si>
  <si>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</si>
  <si>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</si>
  <si>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</si>
  <si>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</si>
  <si>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</si>
  <si>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</si>
  <si>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</si>
  <si>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</si>
  <si>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</si>
  <si>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</si>
  <si>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</si>
  <si>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</si>
  <si>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</si>
  <si>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</si>
  <si>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</si>
  <si>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</si>
  <si>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</si>
  <si>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</si>
  <si>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</si>
  <si>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</si>
  <si>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</si>
  <si>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</si>
  <si>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</si>
  <si>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</si>
  <si>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</si>
  <si>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</si>
  <si>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</si>
  <si>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</si>
  <si>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</si>
  <si>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</si>
  <si>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</si>
  <si>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</si>
  <si>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</si>
  <si>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</si>
  <si>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</si>
  <si>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</si>
  <si>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</si>
  <si>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</si>
  <si>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</si>
  <si>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</si>
  <si>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</si>
  <si>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</si>
  <si>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</si>
  <si>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</si>
  <si>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</si>
  <si>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</si>
  <si>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</si>
  <si>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</si>
  <si>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 xml:space="preserve">Address: Ali Park </t>
  </si>
  <si>
    <t>Mian Store</t>
  </si>
  <si>
    <t>Baber Store</t>
  </si>
  <si>
    <t xml:space="preserve">Raza Mart </t>
  </si>
  <si>
    <t>Fakhir Store</t>
  </si>
  <si>
    <t>Bilal Store</t>
  </si>
  <si>
    <t>Moon Store</t>
  </si>
  <si>
    <t>D Mart</t>
  </si>
  <si>
    <t>Address: Banker Society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</si>
</sst>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3" workbookViewId="0">
      <selection activeCell="F29" sqref="F2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46290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Mian Store</v>
      </c>
      <c r="T3" s="301">
        <f>+'1'!P35</f>
        <v>566.26289570974575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Baber Store</v>
      </c>
      <c r="T4" s="301">
        <f>+'2'!P35</f>
        <v>566.26289570974575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Raza Mart </v>
      </c>
      <c r="T5" s="301">
        <f>+'3'!P35</f>
        <v>5401.2631679237284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Fakhir Store</v>
      </c>
      <c r="T6" s="301">
        <f>+'4'!P35</f>
        <v>283.13144785487287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</v>
      </c>
      <c r="I7" s="235">
        <f>(G7*D7)*F7+H7*F7</f>
        <v>1049.25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83.94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36.723750000000003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928.58625000000006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198.30508474576263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5.6344566737288133</v>
      </c>
      <c r="P7" s="310">
        <f>M7+N7+O7</f>
        <v>1132.5257914194915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D Mart</v>
      </c>
      <c r="T7" s="301">
        <f>+'5'!P35</f>
        <v>15243.038725423728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</v>
      </c>
      <c r="I8" s="236">
        <f t="shared" ref="I8:I14" si="0">(G8*D8)*F8+H8*F8</f>
        <v>1049.25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83.94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36.723750000000003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928.58625000000006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198.30508474576263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5.6344566737288133</v>
      </c>
      <c r="P8" s="311">
        <f t="shared" ref="P8:P15" si="2">M8+N8+O8</f>
        <v>1132.5257914194915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Bilal Store</v>
      </c>
      <c r="T8" s="301">
        <f>+'6'!P35</f>
        <v>283.13144785487287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167.88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1857.1725000000001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11.268913347457627</v>
      </c>
      <c r="P9" s="311">
        <f t="shared" si="2"/>
        <v>2265.051582838983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Moon Store</v>
      </c>
      <c r="T9" s="301">
        <f>+'7'!P35</f>
        <v>566.26289570974575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15</v>
      </c>
      <c r="I10" s="236">
        <f t="shared" si="0"/>
        <v>1089.5999999999999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87.167999999999992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38.136000000000003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964.29599999999994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205.93220338983053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5.8511410169491525</v>
      </c>
      <c r="P10" s="311">
        <f t="shared" si="2"/>
        <v>1176.0793444067797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</v>
      </c>
      <c r="I11" s="236">
        <f t="shared" si="0"/>
        <v>726.4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58.112000000000002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25.424000000000003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642.86400000000003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137.28813559322035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3.9007606779661019</v>
      </c>
      <c r="P11" s="311">
        <f t="shared" si="2"/>
        <v>784.05289627118646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215</v>
      </c>
      <c r="I12" s="236">
        <f t="shared" si="0"/>
        <v>15617.6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1685.2479999999998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546.6160000000001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13385.736000000001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2951.6949152542375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81.687154576271197</v>
      </c>
      <c r="P12" s="311">
        <f t="shared" si="2"/>
        <v>16419.118069830507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8</v>
      </c>
      <c r="H16" s="113">
        <f t="shared" ref="H16:M16" si="3">SUM(H7:H15)</f>
        <v>320</v>
      </c>
      <c r="I16" s="114">
        <f t="shared" si="3"/>
        <v>21630.6</v>
      </c>
      <c r="J16" s="274">
        <f>SUM(J7:J15)</f>
        <v>2166.288</v>
      </c>
      <c r="K16" s="275">
        <f t="shared" si="3"/>
        <v>757.07100000000014</v>
      </c>
      <c r="L16" s="276">
        <f t="shared" si="3"/>
        <v>0</v>
      </c>
      <c r="M16" s="232">
        <f t="shared" si="3"/>
        <v>18707.241000000002</v>
      </c>
      <c r="N16" s="233">
        <f>SUM(N7:N15)</f>
        <v>4088.1355932203387</v>
      </c>
      <c r="O16" s="101">
        <f>SUM(O7:O15)</f>
        <v>113.9768829661017</v>
      </c>
      <c r="P16" s="113">
        <f>SUM(P7:P15)</f>
        <v>22909.353476186439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21630.6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2166.288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757.07100000000014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18707.240999999998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4088.1355932203387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22795.376593220339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113.9768829661017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22909.353476186439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22909.353476186439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ref="I18:I21" si="7">(G18*D18)*F18+H18*F18</f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524.625</v>
      </c>
      <c r="J25" s="274">
        <f>SUM(J16:J24)</f>
        <v>41.97</v>
      </c>
      <c r="K25" s="275">
        <f t="shared" si="10"/>
        <v>18.361875000000001</v>
      </c>
      <c r="L25" s="276">
        <f t="shared" si="10"/>
        <v>0</v>
      </c>
      <c r="M25" s="232">
        <f t="shared" si="10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119">
        <f t="shared" ref="P17:P24" si="5">M17+N17+O17</f>
        <v>1132.5257914194915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400.32800000000003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5374.3912118644066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5401.2631679237284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topLeftCell="A21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200</v>
      </c>
      <c r="I21" s="236">
        <f t="shared" si="0"/>
        <v>14528</v>
      </c>
      <c r="J21" s="272">
        <f t="shared" si="1"/>
        <v>1598.08</v>
      </c>
      <c r="K21" s="128">
        <f t="shared" si="1"/>
        <v>508.48000000000008</v>
      </c>
      <c r="L21" s="119">
        <f t="shared" si="1"/>
        <v>0</v>
      </c>
      <c r="M21" s="230">
        <f t="shared" si="2"/>
        <v>12421.44</v>
      </c>
      <c r="N21" s="277">
        <f t="shared" si="3"/>
        <v>2745.7627118644068</v>
      </c>
      <c r="O21" s="239">
        <f t="shared" si="4"/>
        <v>75.836013559322041</v>
      </c>
      <c r="P21" s="119">
        <f t="shared" si="5"/>
        <v>15243.038725423728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200</v>
      </c>
      <c r="I25" s="114">
        <f t="shared" si="7"/>
        <v>14528</v>
      </c>
      <c r="J25" s="274">
        <f>SUM(J16:J24)</f>
        <v>1598.08</v>
      </c>
      <c r="K25" s="275">
        <f t="shared" si="7"/>
        <v>508.48000000000008</v>
      </c>
      <c r="L25" s="276">
        <f t="shared" si="7"/>
        <v>0</v>
      </c>
      <c r="M25" s="232">
        <f t="shared" si="7"/>
        <v>12421.44</v>
      </c>
      <c r="N25" s="233">
        <f>SUM(N16:N24)</f>
        <v>2745.7627118644068</v>
      </c>
      <c r="O25" s="101">
        <f>SUM(O16:O24)</f>
        <v>75.836013559322041</v>
      </c>
      <c r="P25" s="234">
        <f>SUM(P16:P24)</f>
        <v>15243.038725423728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14528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1598.08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508.48000000000008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12421.44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2745.7627118644068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15167.202711864407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75.836013559322041</v>
      </c>
    </row>
    <row r="35" spans="2:16" ht="15.75" customHeight="1" thickBot="1" x14ac:dyDescent="0.4">
      <c r="N35" s="374" t="s">
        <v>88</v>
      </c>
      <c r="O35" s="375"/>
      <c r="P35" s="297">
        <f>+P33+P34</f>
        <v>15243.038725423728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5</v>
      </c>
      <c r="I18" s="236">
        <f t="shared" si="0"/>
        <v>262.3125</v>
      </c>
      <c r="J18" s="272">
        <f t="shared" si="1"/>
        <v>20.984999999999999</v>
      </c>
      <c r="K18" s="128">
        <f t="shared" si="1"/>
        <v>9.1809375000000006</v>
      </c>
      <c r="L18" s="119">
        <f t="shared" si="1"/>
        <v>0</v>
      </c>
      <c r="M18" s="230">
        <f t="shared" si="2"/>
        <v>232.14656250000002</v>
      </c>
      <c r="N18" s="277">
        <f t="shared" si="3"/>
        <v>49.576271186440657</v>
      </c>
      <c r="O18" s="239">
        <f t="shared" si="4"/>
        <v>1.4086141684322033</v>
      </c>
      <c r="P18" s="119">
        <f t="shared" si="5"/>
        <v>283.13144785487287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46290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46291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46290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2026-09-25T09:31:16Z</dcterms:modified>
</cp:coreProperties>
</file>