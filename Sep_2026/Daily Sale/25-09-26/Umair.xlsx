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0BA258F-68FF-44EE-B822-9E44FC2E46B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<sst xmlns="http://schemas.openxmlformats.org/spreadsheetml/2006/main" count="3948" uniqueCount="522">
  <si>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</si>
  <si>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</si>
  <si>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</si>
  <si>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</si>
  <si>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</si>
  <si>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</si>
  <si>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</si>
  <si>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</si>
  <si>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</si>
  <si>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</si>
  <si>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</si>
  <si>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</si>
  <si>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</si>
  <si>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</si>
  <si>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</si>
  <si>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</si>
  <si>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</si>
  <si>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</si>
  <si>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</si>
  <si>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</si>
  <si>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</si>
  <si>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</si>
  <si>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</si>
  <si>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</si>
  <si>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</si>
  <si>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</si>
  <si>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</si>
  <si>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</si>
  <si>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</si>
  <si>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</si>
  <si>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</si>
  <si>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</si>
  <si>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</si>
  <si>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</si>
  <si>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</si>
  <si>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</si>
  <si>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</si>
  <si>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</si>
  <si>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</si>
  <si>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</si>
  <si>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</si>
  <si>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</si>
  <si>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</si>
  <si>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</si>
  <si>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</si>
  <si>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</si>
  <si>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</si>
  <si>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</si>
  <si>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</si>
  <si>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</si>
  <si>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</si>
  <si>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</si>
  <si>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</si>
  <si>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</si>
  <si>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</si>
  <si>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</si>
  <si>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</si>
  <si>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</si>
  <si>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</si>
  <si>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</si>
  <si>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</si>
  <si>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</si>
  <si>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</si>
  <si>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</si>
  <si>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</si>
  <si>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</si>
  <si>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</si>
  <si>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</si>
  <si>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</si>
  <si>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</si>
  <si>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</si>
  <si>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</si>
  <si>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</si>
  <si>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</si>
  <si>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</si>
  <si>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</si>
  <si>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</si>
  <si>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</si>
  <si>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</si>
  <si>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</si>
  <si>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</si>
  <si>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</si>
  <si>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</si>
  <si>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</si>
  <si>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</si>
  <si>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</si>
  <si>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</si>
  <si>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</si>
  <si>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</si>
  <si>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</si>
  <si>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</si>
  <si>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</si>
  <si>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</si>
  <si>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</si>
  <si>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</si>
  <si>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</si>
  <si>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</si>
  <si>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</si>
  <si>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</si>
  <si>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</si>
  <si>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</si>
  <si>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</si>
  <si>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</si>
  <si>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</si>
  <si>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</si>
  <si>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</si>
  <si>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</si>
  <si>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</si>
  <si>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</si>
  <si>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</si>
  <si>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</si>
  <si>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</si>
  <si>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</si>
  <si>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</si>
  <si>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</si>
  <si>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</si>
  <si>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</si>
  <si>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</si>
  <si>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</si>
  <si>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</si>
  <si>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</si>
  <si>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</si>
  <si>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</si>
  <si>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</si>
  <si>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</si>
  <si>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</si>
  <si>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</si>
  <si>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</si>
  <si>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</si>
  <si>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</si>
  <si>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</si>
  <si>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</si>
  <si>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</si>
  <si>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</si>
  <si>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</si>
  <si>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</si>
  <si>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</si>
  <si>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</si>
  <si>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</si>
  <si>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</si>
  <si>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</si>
  <si>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</si>
  <si>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</si>
  <si>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</si>
  <si>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</si>
  <si>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</si>
  <si>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</si>
  <si>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</si>
  <si>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</si>
  <si>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</si>
  <si>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</si>
  <si>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</si>
  <si>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</si>
  <si>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</si>
  <si>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</si>
  <si>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</si>
  <si>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</si>
  <si>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</si>
  <si>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</si>
  <si>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</si>
  <si>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</si>
  <si>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</si>
  <si>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</si>
  <si>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</si>
  <si>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</si>
  <si>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</si>
  <si>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</si>
  <si>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</si>
  <si>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</si>
  <si>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</si>
  <si>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</si>
  <si>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</si>
  <si>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</si>
  <si>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</si>
  <si>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</si>
  <si>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</si>
  <si>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</si>
  <si>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</si>
  <si>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</si>
  <si>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</si>
  <si>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</si>
  <si>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</si>
  <si>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</si>
  <si>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</si>
  <si>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</si>
  <si>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</si>
  <si>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</si>
  <si>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</si>
  <si>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</si>
  <si>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</si>
  <si>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</si>
  <si>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</si>
  <si>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</si>
  <si>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</si>
  <si>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</si>
  <si>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</si>
  <si>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</si>
  <si>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</si>
  <si>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</si>
  <si>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</si>
  <si>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</si>
  <si>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</si>
  <si>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</si>
  <si>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</si>
  <si>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</si>
  <si>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</si>
  <si>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</si>
  <si>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</si>
  <si>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</si>
  <si>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</si>
  <si>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</si>
  <si>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</si>
  <si>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</si>
  <si>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</si>
  <si>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</si>
  <si>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</si>
  <si>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</si>
  <si>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</si>
  <si>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</si>
  <si>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</si>
  <si>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</si>
  <si>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</si>
  <si>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</si>
  <si>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</si>
  <si>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</si>
  <si>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</si>
  <si>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</si>
  <si>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</si>
  <si>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</si>
  <si>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</si>
  <si>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</si>
  <si>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</si>
  <si>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</si>
  <si>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</si>
  <si>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</si>
  <si>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</si>
  <si>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</si>
  <si>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</si>
  <si>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</si>
  <si>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</si>
  <si>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</si>
  <si>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</si>
  <si>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</si>
  <si>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</si>
  <si>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</si>
  <si>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</si>
  <si>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</si>
  <si>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</si>
  <si>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</si>
  <si>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</si>
  <si>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</si>
  <si>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</si>
  <si>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</si>
  <si>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</si>
  <si>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</si>
  <si>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</si>
  <si>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</si>
  <si>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</si>
  <si>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</si>
  <si>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</si>
  <si>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</si>
  <si>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</si>
  <si>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</si>
  <si>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</si>
  <si>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</si>
  <si>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</si>
  <si>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</si>
  <si>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</si>
  <si>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</si>
  <si>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</si>
  <si>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</si>
  <si>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</si>
  <si>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</si>
  <si>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</si>
  <si>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</si>
  <si>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</si>
  <si>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</si>
  <si>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</si>
  <si>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</si>
  <si>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</si>
  <si>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</si>
  <si>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</si>
  <si>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</si>
  <si>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</si>
  <si>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</si>
  <si>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</si>
  <si>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</si>
  <si>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</si>
  <si>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</si>
  <si>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</si>
  <si>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</si>
  <si>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</si>
  <si>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</si>
  <si>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</si>
  <si>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</si>
  <si>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</si>
  <si>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</si>
  <si>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</si>
  <si>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</si>
  <si>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</si>
  <si>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</si>
  <si>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</si>
  <si>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</si>
  <si>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</si>
  <si>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</si>
  <si>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</si>
  <si>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</si>
  <si>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</si>
  <si>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</si>
  <si>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</si>
  <si>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</si>
  <si>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</si>
  <si>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</si>
  <si>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</si>
  <si>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</si>
  <si>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</si>
  <si>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</si>
  <si>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</si>
  <si>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</si>
  <si>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</si>
  <si>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</si>
  <si>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</si>
  <si>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</si>
  <si>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</si>
  <si>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</si>
  <si>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</si>
  <si>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</si>
  <si>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</si>
  <si>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</si>
  <si>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</si>
  <si>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</si>
  <si>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</si>
  <si>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</si>
  <si>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</si>
  <si>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</si>
  <si>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</si>
  <si>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</si>
  <si>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</si>
  <si>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</si>
  <si>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</si>
  <si>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</si>
  <si>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</si>
  <si>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</si>
  <si>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</si>
  <si>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</si>
  <si>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</si>
  <si>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</si>
  <si>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</si>
  <si>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</si>
  <si>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</si>
  <si>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</si>
  <si>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</si>
  <si>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</si>
  <si>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</si>
  <si>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</si>
  <si>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</si>
  <si>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</si>
  <si>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</si>
  <si>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</si>
  <si>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</si>
  <si>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</si>
  <si>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</si>
  <si>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</si>
  <si>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</si>
  <si>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</si>
  <si>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</si>
  <si>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</si>
  <si>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</si>
  <si>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</si>
  <si>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</si>
  <si>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</si>
  <si>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</si>
  <si>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</si>
  <si>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</si>
  <si>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</si>
  <si>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</si>
  <si>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</si>
  <si>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</si>
  <si>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</si>
  <si>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</si>
  <si>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</si>
  <si>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</si>
  <si>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</si>
  <si>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</si>
  <si>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</si>
  <si>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</si>
  <si>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</si>
  <si>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</si>
  <si>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</si>
  <si>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</si>
  <si>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</si>
  <si>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</si>
  <si>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</si>
  <si>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</si>
  <si>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</si>
  <si>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</si>
  <si>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</si>
  <si>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</si>
  <si>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</si>
  <si>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</si>
  <si>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</si>
  <si>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</si>
  <si>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</si>
  <si>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</si>
  <si>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</si>
  <si>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</si>
  <si>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</si>
  <si>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</si>
  <si>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</si>
  <si>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</si>
  <si>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</si>
  <si>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</si>
  <si>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</si>
  <si>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</si>
  <si>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</si>
  <si>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</si>
  <si>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</si>
  <si>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</si>
  <si>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</si>
  <si>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</si>
  <si>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</si>
  <si>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</si>
  <si>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</si>
  <si>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</si>
  <si>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</si>
  <si>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</si>
  <si>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</si>
  <si>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</si>
  <si>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</si>
  <si>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</si>
  <si>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</si>
  <si>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</si>
  <si>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</si>
  <si>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</si>
  <si>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</si>
  <si>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</si>
  <si>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</si>
  <si>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</si>
  <si>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</si>
  <si>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</si>
  <si>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</si>
  <si>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</si>
  <si>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</si>
  <si>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</si>
  <si>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</si>
  <si>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</si>
  <si>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</si>
  <si>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</si>
  <si>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</si>
  <si>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</si>
  <si>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</si>
  <si>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</si>
  <si>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</si>
  <si>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</si>
  <si>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</si>
  <si>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</si>
  <si>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</si>
  <si>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</si>
  <si>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</si>
  <si>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</si>
  <si>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</si>
  <si>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</si>
  <si>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</si>
  <si>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</si>
  <si>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</si>
  <si>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</si>
  <si>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</si>
  <si>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</si>
  <si>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</si>
  <si>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</si>
  <si>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</si>
  <si>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</si>
  <si>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</si>
  <si>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</si>
  <si>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</si>
  <si>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</si>
  <si>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</si>
  <si>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</si>
  <si>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</si>
  <si>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</si>
  <si>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</si>
  <si>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</si>
  <si>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</si>
  <si>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</si>
  <si>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</si>
  <si>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</si>
  <si>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</si>
  <si>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</si>
  <si>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</si>
  <si>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</si>
  <si>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</si>
  <si>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</si>
  <si>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</si>
  <si>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</si>
  <si>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</si>
  <si>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</si>
  <si>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</si>
  <si>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</si>
  <si>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</si>
  <si>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</si>
  <si>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</si>
  <si>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</si>
  <si>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</si>
  <si>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</si>
  <si>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</si>
  <si>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</si>
  <si>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</si>
  <si>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</si>
  <si>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</si>
  <si>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</si>
  <si>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</si>
  <si>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</si>
  <si>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</si>
  <si>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</si>
  <si>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</si>
  <si>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>Sheikh Mehboob GS</t>
  </si>
  <si>
    <t>Tahir Medical Store</t>
  </si>
  <si>
    <t xml:space="preserve">Bismillah Cash &amp; carry </t>
  </si>
  <si>
    <t xml:space="preserve">Freshway Bakers </t>
  </si>
  <si>
    <t>Punjab Store</t>
  </si>
  <si>
    <t xml:space="preserve">Address: Punjab Society </t>
  </si>
  <si>
    <t>Address: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</si>
</sst>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Sheikh Mehboob GS</v>
      </c>
      <c r="T3" s="301">
        <f>+'1'!P35</f>
        <v>1132.5257914194915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Tahir Medical Store</v>
      </c>
      <c r="T4" s="301">
        <f>+'2'!P35</f>
        <v>17074.94950601695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Bismillah Cash &amp; carry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Freshway Bakers 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88</v>
      </c>
      <c r="I7" s="235">
        <f>(G7*D7)*F7+H7*F7</f>
        <v>4616.7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369.33600000000001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161.58450000000002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4085.7794999999996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872.5423728813555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24.791609364406778</v>
      </c>
      <c r="P7" s="310">
        <f>M7+N7+O7</f>
        <v>4983.1134822457625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Punjab Store</v>
      </c>
      <c r="T7" s="301">
        <f>+'5'!P35</f>
        <v>30486.077450847457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268</v>
      </c>
      <c r="I10" s="236">
        <f t="shared" si="0"/>
        <v>19467.52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1993.2415999999998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681.36320000000012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16792.915199999999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3679.3220338983051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102.36118616949153</v>
      </c>
      <c r="P10" s="311">
        <f t="shared" si="2"/>
        <v>20574.598420067796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264</v>
      </c>
      <c r="I11" s="236">
        <f t="shared" si="0"/>
        <v>19176.96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1969.9967999999999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671.19360000000006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16535.7696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3624.406779661017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100.80088189830509</v>
      </c>
      <c r="P11" s="311">
        <f t="shared" si="2"/>
        <v>20260.977261559321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108</v>
      </c>
      <c r="I12" s="236">
        <f t="shared" si="0"/>
        <v>7845.12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627.6096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274.57920000000001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6942.9312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1482.7118644067798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42.128215322033903</v>
      </c>
      <c r="P12" s="311">
        <f t="shared" si="2"/>
        <v>8467.771279728815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18.5</v>
      </c>
      <c r="H16" s="113">
        <f t="shared" ref="H16:M16" si="3">SUM(H7:H15)</f>
        <v>740</v>
      </c>
      <c r="I16" s="114">
        <f t="shared" si="3"/>
        <v>51735.85</v>
      </c>
      <c r="J16" s="274">
        <f>SUM(J7:J15)</f>
        <v>5010.5479999999998</v>
      </c>
      <c r="K16" s="275">
        <f t="shared" si="3"/>
        <v>1810.7547500000001</v>
      </c>
      <c r="L16" s="276">
        <f t="shared" si="3"/>
        <v>0</v>
      </c>
      <c r="M16" s="232">
        <f t="shared" si="3"/>
        <v>44914.547249999996</v>
      </c>
      <c r="N16" s="233">
        <f>SUM(N7:N15)</f>
        <v>9777.9661016949158</v>
      </c>
      <c r="O16" s="101">
        <f>SUM(O7:O15)</f>
        <v>273.46256675847457</v>
      </c>
      <c r="P16" s="113">
        <f>SUM(P7:P15)</f>
        <v>54965.97591845339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51735.85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5010.5479999999998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1810.7547500000001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44914.547249999996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9777.9661016949158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54692.513351694914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273.46256675847457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54965.97591845339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54965.97591845339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1049.25</v>
      </c>
      <c r="J25" s="274">
        <f>SUM(J16:J24)</f>
        <v>83.94</v>
      </c>
      <c r="K25" s="275">
        <f t="shared" si="10"/>
        <v>36.723750000000003</v>
      </c>
      <c r="L25" s="276">
        <f t="shared" si="10"/>
        <v>0</v>
      </c>
      <c r="M25" s="232">
        <f t="shared" si="10"/>
        <v>928.58624999999995</v>
      </c>
      <c r="N25" s="233">
        <f>SUM(N16:N24)</f>
        <v>198.3050847457626</v>
      </c>
      <c r="O25" s="101">
        <f>SUM(O16:O24)</f>
        <v>5.6344566737288133</v>
      </c>
      <c r="P25" s="234">
        <f>SUM(P16:P24)</f>
        <v>1132.5257914194913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15819.400000000001</v>
      </c>
      <c r="J25" s="274">
        <f>SUM(J16:J24)</f>
        <v>1265.5519999999999</v>
      </c>
      <c r="K25" s="275">
        <f t="shared" si="7"/>
        <v>553.67900000000009</v>
      </c>
      <c r="L25" s="276">
        <f t="shared" si="7"/>
        <v>0</v>
      </c>
      <c r="M25" s="232">
        <f t="shared" si="7"/>
        <v>14000.169000000002</v>
      </c>
      <c r="N25" s="233">
        <f>SUM(N16:N24)</f>
        <v>2989.8305084745762</v>
      </c>
      <c r="O25" s="101">
        <f>SUM(O16:O24)</f>
        <v>84.94999754237287</v>
      </c>
      <c r="P25" s="234">
        <f>SUM(P16:P24)</f>
        <v>17074.94950601695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15819.400000000001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1265.5519999999999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553.67900000000009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14000.169000000002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16989.999508474579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84.949997542372898</v>
      </c>
    </row>
    <row r="35" spans="2:16" ht="15.75" customHeight="1" thickBot="1" x14ac:dyDescent="0.4">
      <c r="N35" s="345" t="s">
        <v>88</v>
      </c>
      <c r="O35" s="346"/>
      <c r="P35" s="297">
        <f>+P33+P34</f>
        <v>17074.94950601695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1598.08</v>
      </c>
      <c r="K19" s="128">
        <f t="shared" si="1"/>
        <v>508.48000000000008</v>
      </c>
      <c r="L19" s="119">
        <f t="shared" si="1"/>
        <v>0</v>
      </c>
      <c r="M19" s="230">
        <f t="shared" si="2"/>
        <v>12421.44</v>
      </c>
      <c r="N19" s="277">
        <f t="shared" si="3"/>
        <v>2745.7627118644068</v>
      </c>
      <c r="O19" s="239">
        <f t="shared" si="4"/>
        <v>75.836013559322041</v>
      </c>
      <c r="P19" s="119">
        <f t="shared" si="5"/>
        <v>15243.038725423728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1598.08</v>
      </c>
      <c r="K20" s="128">
        <f t="shared" si="1"/>
        <v>508.48000000000008</v>
      </c>
      <c r="L20" s="119">
        <f t="shared" si="1"/>
        <v>0</v>
      </c>
      <c r="M20" s="230">
        <f t="shared" si="2"/>
        <v>12421.44</v>
      </c>
      <c r="N20" s="277">
        <f t="shared" si="3"/>
        <v>2745.7627118644068</v>
      </c>
      <c r="O20" s="239">
        <f t="shared" si="4"/>
        <v>75.836013559322041</v>
      </c>
      <c r="P20" s="119">
        <f t="shared" si="5"/>
        <v>15243.038725423728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400</v>
      </c>
      <c r="I25" s="114">
        <f t="shared" si="7"/>
        <v>29056</v>
      </c>
      <c r="J25" s="274">
        <f>SUM(J16:J24)</f>
        <v>3196.16</v>
      </c>
      <c r="K25" s="275">
        <f t="shared" si="7"/>
        <v>1016.9600000000002</v>
      </c>
      <c r="L25" s="276">
        <f t="shared" si="7"/>
        <v>0</v>
      </c>
      <c r="M25" s="232">
        <f t="shared" si="7"/>
        <v>24842.880000000001</v>
      </c>
      <c r="N25" s="233">
        <f>SUM(N16:N24)</f>
        <v>5491.5254237288136</v>
      </c>
      <c r="O25" s="101">
        <f>SUM(O16:O24)</f>
        <v>151.67202711864408</v>
      </c>
      <c r="P25" s="234">
        <f>SUM(P16:P24)</f>
        <v>30486.077450847457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3196.16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1016.9600000000002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24842.880000000001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30334.405423728815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151.67202711864408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30486.077450847457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46290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46289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2026-09-24T11:40:15Z</dcterms:modified>
</cp:coreProperties>
</file>