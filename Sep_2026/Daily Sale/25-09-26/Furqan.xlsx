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B10FE14-6987-4B02-90AA-F58A6D15B54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<sst xmlns="http://schemas.openxmlformats.org/spreadsheetml/2006/main" count="3948" uniqueCount="525">
  <si>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</si>
  <si>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</si>
  <si>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</si>
  <si>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</si>
  <si>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</si>
  <si>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</si>
  <si>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</si>
  <si>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</si>
  <si>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</si>
  <si>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</si>
  <si>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</si>
  <si>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</si>
  <si>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</si>
  <si>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</si>
  <si>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</si>
  <si>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</si>
  <si>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</si>
  <si>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</si>
  <si>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</si>
  <si>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</si>
  <si>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</si>
  <si>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</si>
  <si>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</si>
  <si>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</si>
  <si>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</si>
  <si>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</si>
  <si>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</si>
  <si>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</si>
  <si>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</si>
  <si>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</si>
  <si>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</si>
  <si>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</si>
  <si>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</si>
  <si>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</si>
  <si>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</si>
  <si>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</si>
  <si>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</si>
  <si>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</si>
  <si>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</si>
  <si>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</si>
  <si>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</si>
  <si>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</si>
  <si>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</si>
  <si>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</si>
  <si>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</si>
  <si>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</si>
  <si>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</si>
  <si>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</si>
  <si>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</si>
  <si>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</si>
  <si>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</si>
  <si>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</si>
  <si>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</si>
  <si>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</si>
  <si>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</si>
  <si>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</si>
  <si>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</si>
  <si>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</si>
  <si>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</si>
  <si>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</si>
  <si>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</si>
  <si>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</si>
  <si>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</si>
  <si>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</si>
  <si>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</si>
  <si>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</si>
  <si>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</si>
  <si>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</si>
  <si>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</si>
  <si>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</si>
  <si>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</si>
  <si>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</si>
  <si>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</si>
  <si>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</si>
  <si>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</si>
  <si>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</si>
  <si>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</si>
  <si>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</si>
  <si>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</si>
  <si>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</si>
  <si>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</si>
  <si>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</si>
  <si>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</si>
  <si>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</si>
  <si>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</si>
  <si>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</si>
  <si>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</si>
  <si>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</si>
  <si>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</si>
  <si>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</si>
  <si>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</si>
  <si>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</si>
  <si>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</si>
  <si>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</si>
  <si>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</si>
  <si>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</si>
  <si>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</si>
  <si>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</si>
  <si>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</si>
  <si>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</si>
  <si>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</si>
  <si>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</si>
  <si>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</si>
  <si>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</si>
  <si>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</si>
  <si>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</si>
  <si>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</si>
  <si>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</si>
  <si>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</si>
  <si>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</si>
  <si>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</si>
  <si>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</si>
  <si>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</si>
  <si>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</si>
  <si>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</si>
  <si>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</si>
  <si>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</si>
  <si>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</si>
  <si>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</si>
  <si>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</si>
  <si>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</si>
  <si>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</si>
  <si>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</si>
  <si>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</si>
  <si>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</si>
  <si>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</si>
  <si>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</si>
  <si>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</si>
  <si>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</si>
  <si>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</si>
  <si>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</si>
  <si>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</si>
  <si>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</si>
  <si>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</si>
  <si>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</si>
  <si>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</si>
  <si>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</si>
  <si>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</si>
  <si>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</si>
  <si>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</si>
  <si>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</si>
  <si>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</si>
  <si>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</si>
  <si>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</si>
  <si>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</si>
  <si>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</si>
  <si>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</si>
  <si>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</si>
  <si>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</si>
  <si>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</si>
  <si>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</si>
  <si>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</si>
  <si>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</si>
  <si>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</si>
  <si>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</si>
  <si>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</si>
  <si>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</si>
  <si>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</si>
  <si>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</si>
  <si>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</si>
  <si>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</si>
  <si>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</si>
  <si>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</si>
  <si>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</si>
  <si>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</si>
  <si>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</si>
  <si>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</si>
  <si>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</si>
  <si>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</si>
  <si>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</si>
  <si>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</si>
  <si>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</si>
  <si>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</si>
  <si>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</si>
  <si>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</si>
  <si>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</si>
  <si>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</si>
  <si>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</si>
  <si>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</si>
  <si>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</si>
  <si>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</si>
  <si>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</si>
  <si>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</si>
  <si>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</si>
  <si>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</si>
  <si>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</si>
  <si>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</si>
  <si>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</si>
  <si>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</si>
  <si>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</si>
  <si>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</si>
  <si>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</si>
  <si>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</si>
  <si>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</si>
  <si>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</si>
  <si>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</si>
  <si>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</si>
  <si>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</si>
  <si>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</si>
  <si>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</si>
  <si>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</si>
  <si>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</si>
  <si>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</si>
  <si>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</si>
  <si>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</si>
  <si>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</si>
  <si>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</si>
  <si>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</si>
  <si>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</si>
  <si>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</si>
  <si>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</si>
  <si>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</si>
  <si>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</si>
  <si>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</si>
  <si>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</si>
  <si>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</si>
  <si>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</si>
  <si>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</si>
  <si>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</si>
  <si>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</si>
  <si>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</si>
  <si>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</si>
  <si>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</si>
  <si>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</si>
  <si>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</si>
  <si>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</si>
  <si>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</si>
  <si>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</si>
  <si>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</si>
  <si>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</si>
  <si>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</si>
  <si>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</si>
  <si>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</si>
  <si>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</si>
  <si>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</si>
  <si>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</si>
  <si>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</si>
  <si>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</si>
  <si>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</si>
  <si>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</si>
  <si>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</si>
  <si>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</si>
  <si>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</si>
  <si>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</si>
  <si>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</si>
  <si>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</si>
  <si>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</si>
  <si>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</si>
  <si>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</si>
  <si>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</si>
  <si>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</si>
  <si>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</si>
  <si>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</si>
  <si>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</si>
  <si>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</si>
  <si>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</si>
  <si>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</si>
  <si>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</si>
  <si>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</si>
  <si>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</si>
  <si>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</si>
  <si>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</si>
  <si>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</si>
  <si>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</si>
  <si>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</si>
  <si>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</si>
  <si>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</si>
  <si>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</si>
  <si>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</si>
  <si>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</si>
  <si>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</si>
  <si>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</si>
  <si>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</si>
  <si>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</si>
  <si>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</si>
  <si>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</si>
  <si>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</si>
  <si>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</si>
  <si>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</si>
  <si>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</si>
  <si>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</si>
  <si>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</si>
  <si>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</si>
  <si>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</si>
  <si>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</si>
  <si>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</si>
  <si>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</si>
  <si>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</si>
  <si>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</si>
  <si>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</si>
  <si>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</si>
  <si>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</si>
  <si>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</si>
  <si>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</si>
  <si>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</si>
  <si>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</si>
  <si>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</si>
  <si>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</si>
  <si>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</si>
  <si>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</si>
  <si>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</si>
  <si>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</si>
  <si>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</si>
  <si>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</si>
  <si>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</si>
  <si>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</si>
  <si>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</si>
  <si>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</si>
  <si>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</si>
  <si>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</si>
  <si>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</si>
  <si>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</si>
  <si>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</si>
  <si>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</si>
  <si>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</si>
  <si>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</si>
  <si>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</si>
  <si>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</si>
  <si>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</si>
  <si>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</si>
  <si>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</si>
  <si>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</si>
  <si>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</si>
  <si>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</si>
  <si>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</si>
  <si>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</si>
  <si>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</si>
  <si>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</si>
  <si>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</si>
  <si>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</si>
  <si>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</si>
  <si>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</si>
  <si>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</si>
  <si>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</si>
  <si>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</si>
  <si>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</si>
  <si>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</si>
  <si>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</si>
  <si>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</si>
  <si>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</si>
  <si>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</si>
  <si>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</si>
  <si>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</si>
  <si>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</si>
  <si>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</si>
  <si>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</si>
  <si>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</si>
  <si>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</si>
  <si>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</si>
  <si>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</si>
  <si>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</si>
  <si>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</si>
  <si>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</si>
  <si>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</si>
  <si>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</si>
  <si>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</si>
  <si>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</si>
  <si>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</si>
  <si>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</si>
  <si>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</si>
  <si>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</si>
  <si>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</si>
  <si>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</si>
  <si>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</si>
  <si>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</si>
  <si>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</si>
  <si>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</si>
  <si>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</si>
  <si>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</si>
  <si>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</si>
  <si>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</si>
  <si>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</si>
  <si>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</si>
  <si>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</si>
  <si>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</si>
  <si>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</si>
  <si>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</si>
  <si>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</si>
  <si>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</si>
  <si>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</si>
  <si>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</si>
  <si>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</si>
  <si>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</si>
  <si>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</si>
  <si>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</si>
  <si>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</si>
  <si>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</si>
  <si>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</si>
  <si>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</si>
  <si>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</si>
  <si>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</si>
  <si>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</si>
  <si>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</si>
  <si>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</si>
  <si>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</si>
  <si>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</si>
  <si>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</si>
  <si>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</si>
  <si>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</si>
  <si>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</si>
  <si>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</si>
  <si>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</si>
  <si>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</si>
  <si>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</si>
  <si>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</si>
  <si>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</si>
  <si>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</si>
  <si>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</si>
  <si>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</si>
  <si>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</si>
  <si>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</si>
  <si>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</si>
  <si>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</si>
  <si>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</si>
  <si>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</si>
  <si>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</si>
  <si>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</si>
  <si>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</si>
  <si>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</si>
  <si>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</si>
  <si>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</si>
  <si>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</si>
  <si>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</si>
  <si>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</si>
  <si>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</si>
  <si>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</si>
  <si>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</si>
  <si>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</si>
  <si>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</si>
  <si>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</si>
  <si>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</si>
  <si>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</si>
  <si>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</si>
  <si>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</si>
  <si>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</si>
  <si>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</si>
  <si>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</si>
  <si>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</si>
  <si>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</si>
  <si>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</si>
  <si>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</si>
  <si>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</si>
  <si>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</si>
  <si>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</si>
  <si>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</si>
  <si>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</si>
  <si>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</si>
  <si>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</si>
  <si>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</si>
  <si>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</si>
  <si>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</si>
  <si>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</si>
  <si>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</si>
  <si>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</si>
  <si>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</si>
  <si>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</si>
  <si>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</si>
  <si>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</si>
  <si>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</si>
  <si>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</si>
  <si>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</si>
  <si>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</si>
  <si>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</si>
  <si>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</si>
  <si>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</si>
  <si>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</si>
  <si>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</si>
  <si>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</si>
  <si>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</si>
  <si>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</si>
  <si>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</si>
  <si>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</si>
  <si>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</si>
  <si>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</si>
  <si>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</si>
  <si>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</si>
  <si>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</si>
  <si>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</si>
  <si>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</si>
  <si>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</si>
  <si>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</si>
  <si>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</si>
  <si>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</si>
  <si>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</si>
  <si>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</si>
  <si>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</si>
  <si>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</si>
  <si>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</si>
  <si>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</si>
  <si>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</si>
  <si>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</si>
  <si>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</si>
  <si>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</si>
  <si>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</si>
  <si>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</si>
  <si>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</si>
  <si>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</si>
  <si>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</si>
  <si>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</si>
  <si>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</si>
  <si>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</si>
  <si>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</si>
  <si>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</si>
  <si>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</si>
  <si>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</si>
  <si>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</si>
  <si>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</si>
  <si>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</si>
  <si>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</si>
  <si>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</si>
  <si>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</si>
  <si>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</si>
  <si>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</si>
  <si>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</si>
  <si>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Ar GS</t>
  </si>
  <si>
    <t>Address: Goseazam Bazar</t>
  </si>
  <si>
    <t>Saleem Store</t>
  </si>
  <si>
    <t>Haji Rafeeq Store</t>
  </si>
  <si>
    <t>New Alfalah Bakery</t>
  </si>
  <si>
    <t>Waqas Store</t>
  </si>
  <si>
    <t>Address: Pepsi Gate no 3</t>
  </si>
  <si>
    <t>Malik Kareyan Store</t>
  </si>
  <si>
    <t>Address: Nasir Colony</t>
  </si>
  <si>
    <t>Al Madina Store</t>
  </si>
  <si>
    <t>Address: Guru mangat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</si>
</sst>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Ar GS</v>
      </c>
      <c r="T3" s="301">
        <f>+'1'!P35</f>
        <v>339.75773742584738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Saleem Store</v>
      </c>
      <c r="T4" s="301">
        <f>+'2'!P35</f>
        <v>6185.3160641949153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Haji Rafeeq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New Alfalah Bakery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44</v>
      </c>
      <c r="I7" s="235">
        <f>(G7*D7)*F7+H7*F7</f>
        <v>2308.35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184.66800000000001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80.79225000000001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2042.8897499999998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436.27118644067775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12.395804682203389</v>
      </c>
      <c r="P7" s="310">
        <f>M7+N7+O7</f>
        <v>2491.5567411228812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Waqas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</v>
      </c>
      <c r="I8" s="236">
        <f t="shared" ref="I8:I14" si="0">(G8*D8)*F8+H8*F8</f>
        <v>209.85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16.788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7.3447500000000003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185.71724999999998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39.661016949152526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1.1268913347457625</v>
      </c>
      <c r="P8" s="311">
        <f t="shared" ref="P8:P15" si="2">M8+N8+O8</f>
        <v>226.50515828389825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Malik Kareyan Store</v>
      </c>
      <c r="T8" s="301">
        <f>+'6'!P35</f>
        <v>1359.0309497033895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74</v>
      </c>
      <c r="I9" s="236">
        <f t="shared" si="0"/>
        <v>3882.2249999999999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310.57799999999997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135.87787500000002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3435.7691249999998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733.72881355932168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20.847489692796611</v>
      </c>
      <c r="P9" s="311">
        <f t="shared" si="2"/>
        <v>4190.3454282521179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Madina Store</v>
      </c>
      <c r="T9" s="301">
        <f>+'7'!P35</f>
        <v>679.51547485169476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</v>
      </c>
      <c r="I10" s="236">
        <f t="shared" si="0"/>
        <v>2615.04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209.20320000000001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91.52640000000001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2314.3103999999998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494.23728813559319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14.042738440677965</v>
      </c>
      <c r="P10" s="311">
        <f t="shared" si="2"/>
        <v>2822.5904265762711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33</v>
      </c>
      <c r="I11" s="236">
        <f t="shared" si="0"/>
        <v>2397.12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191.7696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83.899200000000008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2121.4512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453.05084745762713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12.872510237288136</v>
      </c>
      <c r="P11" s="311">
        <f t="shared" si="2"/>
        <v>2587.3745576949154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</v>
      </c>
      <c r="I12" s="236">
        <f t="shared" si="0"/>
        <v>2397.12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191.76960000000003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83.899200000000008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2121.4512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453.05084745762713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12.872510237288136</v>
      </c>
      <c r="P12" s="311">
        <f t="shared" si="2"/>
        <v>2587.3745576949154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5.6</v>
      </c>
      <c r="H16" s="113">
        <f t="shared" ref="H16:M16" si="3">SUM(H7:H15)</f>
        <v>224</v>
      </c>
      <c r="I16" s="114">
        <f t="shared" si="3"/>
        <v>13809.704999999998</v>
      </c>
      <c r="J16" s="274">
        <f>SUM(J7:J15)</f>
        <v>1104.7764</v>
      </c>
      <c r="K16" s="275">
        <f t="shared" si="3"/>
        <v>483.33967500000006</v>
      </c>
      <c r="L16" s="276">
        <f t="shared" si="3"/>
        <v>0</v>
      </c>
      <c r="M16" s="232">
        <f t="shared" si="3"/>
        <v>12221.588924999998</v>
      </c>
      <c r="N16" s="233">
        <f>SUM(N7:N15)</f>
        <v>2609.9999999999995</v>
      </c>
      <c r="O16" s="101">
        <f>SUM(O7:O15)</f>
        <v>74.157944624999999</v>
      </c>
      <c r="P16" s="113">
        <f>SUM(P7:P15)</f>
        <v>14905.746869624998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13809.704999999998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1104.7764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483.33967500000006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12221.588924999998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2609.9999999999995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14831.588924999998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74.157944624999999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14905.746869624998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14905.746869625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314.77499999999998</v>
      </c>
      <c r="J25" s="274">
        <f>SUM(J16:J24)</f>
        <v>25.181999999999999</v>
      </c>
      <c r="K25" s="275">
        <f t="shared" si="10"/>
        <v>11.017125</v>
      </c>
      <c r="L25" s="276">
        <f t="shared" si="10"/>
        <v>0</v>
      </c>
      <c r="M25" s="232">
        <f t="shared" si="10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90</v>
      </c>
      <c r="I25" s="114">
        <f t="shared" si="7"/>
        <v>5730.5</v>
      </c>
      <c r="J25" s="274">
        <f>SUM(J16:J24)</f>
        <v>458.44</v>
      </c>
      <c r="K25" s="275">
        <f t="shared" si="7"/>
        <v>200.56750000000002</v>
      </c>
      <c r="L25" s="276">
        <f t="shared" si="7"/>
        <v>0</v>
      </c>
      <c r="M25" s="232">
        <f t="shared" si="7"/>
        <v>5071.4925000000003</v>
      </c>
      <c r="N25" s="233">
        <f>SUM(N16:N24)</f>
        <v>1083.050847457627</v>
      </c>
      <c r="O25" s="101">
        <f>SUM(O16:O24)</f>
        <v>30.772716737288132</v>
      </c>
      <c r="P25" s="234">
        <f>SUM(P16:P24)</f>
        <v>6185.3160641949162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5730.5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458.44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200.56750000000002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5071.4925000000003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1083.050847457627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6154.5433474576275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30.772716737288139</v>
      </c>
    </row>
    <row r="35" spans="2:16" ht="15.75" customHeight="1" thickBot="1" x14ac:dyDescent="0.4">
      <c r="N35" s="374" t="s">
        <v>88</v>
      </c>
      <c r="O35" s="375"/>
      <c r="P35" s="297">
        <f>+P33+P34</f>
        <v>6185.3160641949153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</v>
      </c>
      <c r="I18" s="236">
        <f t="shared" si="0"/>
        <v>1259.0999999999999</v>
      </c>
      <c r="J18" s="272">
        <f t="shared" si="1"/>
        <v>100.72799999999999</v>
      </c>
      <c r="K18" s="128">
        <f t="shared" si="1"/>
        <v>44.0685</v>
      </c>
      <c r="L18" s="119">
        <f t="shared" si="1"/>
        <v>0</v>
      </c>
      <c r="M18" s="230">
        <f t="shared" si="2"/>
        <v>1114.3035</v>
      </c>
      <c r="N18" s="277">
        <f t="shared" si="3"/>
        <v>237.96610169491515</v>
      </c>
      <c r="O18" s="239">
        <f t="shared" si="4"/>
        <v>6.7613480084745756</v>
      </c>
      <c r="P18" s="119">
        <f t="shared" si="5"/>
        <v>1359.0309497033898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50.364000000000004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2026-09-24T10:03:27Z</dcterms:modified>
</cp:coreProperties>
</file>