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A8098F6-270F-49F5-9A89-69A73004BFB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4"/>
  <c r="O21" i="44" s="1"/>
  <c r="P21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<sst xmlns="http://schemas.openxmlformats.org/spreadsheetml/2006/main" count="3948" uniqueCount="525">
  <si>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</si>
  <si>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</si>
  <si>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</si>
  <si>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</si>
  <si>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</si>
  <si>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</si>
  <si>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</si>
  <si>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</si>
  <si>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</si>
  <si>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</si>
  <si>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</si>
  <si>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</si>
  <si>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</si>
  <si>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</si>
  <si>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</si>
  <si>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</si>
  <si>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</si>
  <si>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</si>
  <si>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</si>
  <si>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</si>
  <si>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</si>
  <si>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</si>
  <si>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</si>
  <si>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</si>
  <si>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</si>
  <si>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</si>
  <si>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</si>
  <si>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</si>
  <si>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</si>
  <si>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</si>
  <si>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</si>
  <si>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</si>
  <si>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</si>
  <si>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</si>
  <si>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</si>
  <si>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</si>
  <si>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</si>
  <si>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</si>
  <si>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</si>
  <si>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</si>
  <si>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</si>
  <si>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</si>
  <si>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</si>
  <si>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</si>
  <si>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</si>
  <si>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</si>
  <si>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</si>
  <si>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</si>
  <si>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</si>
  <si>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</si>
  <si>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</si>
  <si>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</si>
  <si>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</si>
  <si>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</si>
  <si>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</si>
  <si>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</si>
  <si>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</si>
  <si>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</si>
  <si>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</si>
  <si>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</si>
  <si>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</si>
  <si>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</si>
  <si>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</si>
  <si>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</si>
  <si>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</si>
  <si>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</si>
  <si>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</si>
  <si>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</si>
  <si>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</si>
  <si>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</si>
  <si>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</si>
  <si>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</si>
  <si>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</si>
  <si>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</si>
  <si>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</si>
  <si>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</si>
  <si>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</si>
  <si>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</si>
  <si>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</si>
  <si>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</si>
  <si>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</si>
  <si>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</si>
  <si>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</si>
  <si>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</si>
  <si>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</si>
  <si>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</si>
  <si>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</si>
  <si>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</si>
  <si>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</si>
  <si>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</si>
  <si>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</si>
  <si>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</si>
  <si>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</si>
  <si>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</si>
  <si>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</si>
  <si>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</si>
  <si>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</si>
  <si>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</si>
  <si>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</si>
  <si>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</si>
  <si>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</si>
  <si>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</si>
  <si>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</si>
  <si>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</si>
  <si>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</si>
  <si>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</si>
  <si>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</si>
  <si>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</si>
  <si>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</si>
  <si>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</si>
  <si>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</si>
  <si>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</si>
  <si>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</si>
  <si>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</si>
  <si>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</si>
  <si>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</si>
  <si>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</si>
  <si>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</si>
  <si>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</si>
  <si>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</si>
  <si>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</si>
  <si>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</si>
  <si>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</si>
  <si>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</si>
  <si>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</si>
  <si>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</si>
  <si>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</si>
  <si>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</si>
  <si>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</si>
  <si>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</si>
  <si>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</si>
  <si>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</si>
  <si>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</si>
  <si>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</si>
  <si>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</si>
  <si>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</si>
  <si>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</si>
  <si>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</si>
  <si>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</si>
  <si>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</si>
  <si>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</si>
  <si>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</si>
  <si>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</si>
  <si>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</si>
  <si>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</si>
  <si>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</si>
  <si>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</si>
  <si>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</si>
  <si>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</si>
  <si>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</si>
  <si>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</si>
  <si>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</si>
  <si>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</si>
  <si>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</si>
  <si>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</si>
  <si>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</si>
  <si>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</si>
  <si>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</si>
  <si>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</si>
  <si>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</si>
  <si>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</si>
  <si>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</si>
  <si>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</si>
  <si>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</si>
  <si>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</si>
  <si>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</si>
  <si>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</si>
  <si>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</si>
  <si>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</si>
  <si>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</si>
  <si>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</si>
  <si>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</si>
  <si>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</si>
  <si>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</si>
  <si>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</si>
  <si>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</si>
  <si>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</si>
  <si>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</si>
  <si>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</si>
  <si>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</si>
  <si>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</si>
  <si>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</si>
  <si>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</si>
  <si>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</si>
  <si>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</si>
  <si>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</si>
  <si>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</si>
  <si>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</si>
  <si>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</si>
  <si>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</si>
  <si>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</si>
  <si>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</si>
  <si>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</si>
  <si>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</si>
  <si>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</si>
  <si>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</si>
  <si>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</si>
  <si>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</si>
  <si>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</si>
  <si>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</si>
  <si>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</si>
  <si>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</si>
  <si>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</si>
  <si>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</si>
  <si>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</si>
  <si>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</si>
  <si>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</si>
  <si>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</si>
  <si>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</si>
  <si>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</si>
  <si>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</si>
  <si>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</si>
  <si>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</si>
  <si>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</si>
  <si>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</si>
  <si>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</si>
  <si>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</si>
  <si>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</si>
  <si>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</si>
  <si>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</si>
  <si>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</si>
  <si>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</si>
  <si>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</si>
  <si>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</si>
  <si>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</si>
  <si>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</si>
  <si>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</si>
  <si>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</si>
  <si>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</si>
  <si>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</si>
  <si>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</si>
  <si>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</si>
  <si>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</si>
  <si>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</si>
  <si>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</si>
  <si>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</si>
  <si>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</si>
  <si>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</si>
  <si>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</si>
  <si>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</si>
  <si>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</si>
  <si>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</si>
  <si>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</si>
  <si>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</si>
  <si>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</si>
  <si>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</si>
  <si>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</si>
  <si>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</si>
  <si>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</si>
  <si>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</si>
  <si>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</si>
  <si>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</si>
  <si>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</si>
  <si>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</si>
  <si>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</si>
  <si>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</si>
  <si>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</si>
  <si>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</si>
  <si>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</si>
  <si>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</si>
  <si>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</si>
  <si>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</si>
  <si>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</si>
  <si>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</si>
  <si>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</si>
  <si>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</si>
  <si>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</si>
  <si>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</si>
  <si>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</si>
  <si>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</si>
  <si>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</si>
  <si>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</si>
  <si>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</si>
  <si>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</si>
  <si>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</si>
  <si>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</si>
  <si>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</si>
  <si>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</si>
  <si>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</si>
  <si>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</si>
  <si>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</si>
  <si>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</si>
  <si>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</si>
  <si>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</si>
  <si>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</si>
  <si>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</si>
  <si>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</si>
  <si>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</si>
  <si>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</si>
  <si>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</si>
  <si>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</si>
  <si>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</si>
  <si>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</si>
  <si>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</si>
  <si>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</si>
  <si>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</si>
  <si>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</si>
  <si>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</si>
  <si>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</si>
  <si>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</si>
  <si>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</si>
  <si>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</si>
  <si>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</si>
  <si>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</si>
  <si>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</si>
  <si>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</si>
  <si>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</si>
  <si>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</si>
  <si>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</si>
  <si>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</si>
  <si>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</si>
  <si>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</si>
  <si>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</si>
  <si>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</si>
  <si>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</si>
  <si>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</si>
  <si>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</si>
  <si>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</si>
  <si>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</si>
  <si>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</si>
  <si>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</si>
  <si>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</si>
  <si>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</si>
  <si>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</si>
  <si>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</si>
  <si>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</si>
  <si>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</si>
  <si>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</si>
  <si>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</si>
  <si>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</si>
  <si>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</si>
  <si>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</si>
  <si>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</si>
  <si>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</si>
  <si>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</si>
  <si>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</si>
  <si>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</si>
  <si>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</si>
  <si>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</si>
  <si>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</si>
  <si>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</si>
  <si>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</si>
  <si>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</si>
  <si>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</si>
  <si>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</si>
  <si>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</si>
  <si>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</si>
  <si>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</si>
  <si>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</si>
  <si>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</si>
  <si>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</si>
  <si>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</si>
  <si>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</si>
  <si>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</si>
  <si>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</si>
  <si>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</si>
  <si>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</si>
  <si>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</si>
  <si>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</si>
  <si>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</si>
  <si>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</si>
  <si>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</si>
  <si>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</si>
  <si>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</si>
  <si>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</si>
  <si>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</si>
  <si>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</si>
  <si>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</si>
  <si>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</si>
  <si>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</si>
  <si>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</si>
  <si>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</si>
  <si>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</si>
  <si>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</si>
  <si>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</si>
  <si>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</si>
  <si>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</si>
  <si>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</si>
  <si>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</si>
  <si>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</si>
  <si>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</si>
  <si>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</si>
  <si>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</si>
  <si>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</si>
  <si>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</si>
  <si>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</si>
  <si>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</si>
  <si>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</si>
  <si>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</si>
  <si>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</si>
  <si>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</si>
  <si>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</si>
  <si>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</si>
  <si>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</si>
  <si>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</si>
  <si>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</si>
  <si>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</si>
  <si>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</si>
  <si>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</si>
  <si>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</si>
  <si>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</si>
  <si>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</si>
  <si>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</si>
  <si>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</si>
  <si>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</si>
  <si>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</si>
  <si>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</si>
  <si>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</si>
  <si>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</si>
  <si>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</si>
  <si>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</si>
  <si>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</si>
  <si>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</si>
  <si>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</si>
  <si>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</si>
  <si>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</si>
  <si>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</si>
  <si>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</si>
  <si>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</si>
  <si>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</si>
  <si>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</si>
  <si>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</si>
  <si>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</si>
  <si>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</si>
  <si>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</si>
  <si>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</si>
  <si>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</si>
  <si>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</si>
  <si>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</si>
  <si>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</si>
  <si>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</si>
  <si>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</si>
  <si>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</si>
  <si>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</si>
  <si>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</si>
  <si>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</si>
  <si>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</si>
  <si>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</si>
  <si>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</si>
  <si>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</si>
  <si>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</si>
  <si>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</si>
  <si>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</si>
  <si>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</si>
  <si>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</si>
  <si>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</si>
  <si>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</si>
  <si>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</si>
  <si>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</si>
  <si>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</si>
  <si>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</si>
  <si>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</si>
  <si>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</si>
  <si>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</si>
  <si>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</si>
  <si>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</si>
  <si>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</si>
  <si>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</si>
  <si>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</si>
  <si>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</si>
  <si>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</si>
  <si>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</si>
  <si>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</si>
  <si>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</si>
  <si>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</si>
  <si>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</si>
  <si>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</si>
  <si>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</si>
  <si>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</si>
  <si>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</si>
  <si>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</si>
  <si>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</si>
  <si>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</si>
  <si>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</si>
  <si>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</si>
  <si>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</si>
  <si>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</si>
  <si>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</si>
  <si>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</si>
  <si>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</si>
  <si>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</si>
  <si>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</si>
  <si>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</si>
  <si>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</si>
  <si>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</si>
  <si>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</si>
  <si>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</si>
  <si>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</si>
  <si>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</si>
  <si>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</si>
  <si>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</si>
  <si>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</si>
  <si>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</si>
  <si>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</si>
  <si>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</si>
  <si>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</si>
  <si>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</si>
  <si>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</si>
  <si>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</si>
  <si>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</si>
  <si>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</si>
  <si>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</si>
  <si>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</si>
  <si>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</si>
  <si>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</si>
  <si>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</si>
  <si>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</si>
  <si>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</si>
  <si>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</si>
  <si>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</si>
  <si>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</si>
  <si>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</si>
  <si>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</si>
  <si>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</si>
  <si>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Paragon City</t>
  </si>
  <si>
    <t>Al Makkah Store</t>
  </si>
  <si>
    <t xml:space="preserve">ZB Mart </t>
  </si>
  <si>
    <t>Hikma store</t>
  </si>
  <si>
    <t xml:space="preserve">Hikma Shop </t>
  </si>
  <si>
    <t xml:space="preserve">Askari Mart </t>
  </si>
  <si>
    <t xml:space="preserve">Mustafa Mart </t>
  </si>
  <si>
    <t xml:space="preserve">Address: Green city </t>
  </si>
  <si>
    <t xml:space="preserve">Haji Mart </t>
  </si>
  <si>
    <t>Address: Green City</t>
  </si>
  <si>
    <t xml:space="preserve">Ayan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</si>
</sst>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Makkah Store</v>
      </c>
      <c r="T3" s="301">
        <f>+'1'!P35</f>
        <v>1149.9472126144067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Hikma store</v>
      </c>
      <c r="T5" s="301">
        <f>+'3'!P35</f>
        <v>16203.789503771184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Hikma Shop 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65</v>
      </c>
      <c r="I7" s="235">
        <f>(G7*D7)*F7+H7*F7</f>
        <v>3410.0625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272.80500000000001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119.35218750000001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3017.9053125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644.4915254237286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18.311984189618645</v>
      </c>
      <c r="P7" s="310">
        <f>M7+N7+O7</f>
        <v>3680.7088221133472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Askari Mart 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59</v>
      </c>
      <c r="I8" s="236">
        <f t="shared" ref="I8:I14" si="0">(G8*D8)*F8+H8*F8</f>
        <v>3095.2874999999999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247.62299999999999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108.33506250000002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2739.3294375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584.99999999999977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16.621647187499999</v>
      </c>
      <c r="P8" s="311">
        <f t="shared" ref="P8:P15" si="2">M8+N8+O8</f>
        <v>3340.9510846874996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Mustafa Mart 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84</v>
      </c>
      <c r="I9" s="236">
        <f t="shared" si="0"/>
        <v>4406.8499999999995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352.54799999999994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154.23975000000002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3900.0622499999995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832.88135593220306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23.664718029661017</v>
      </c>
      <c r="P9" s="311">
        <f t="shared" si="2"/>
        <v>4756.6083239618638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Haji Mart </v>
      </c>
      <c r="T9" s="301">
        <f>+'7'!P35</f>
        <v>1620.3789503771186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28.085476881355937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Ayan Mart </v>
      </c>
      <c r="T10" s="301">
        <f>+'8'!P35</f>
        <v>940.86347552542372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66</v>
      </c>
      <c r="I11" s="236">
        <f t="shared" si="0"/>
        <v>4794.24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383.53920000000005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167.79840000000002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4242.9023999999999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906.10169491525426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25.745020474576275</v>
      </c>
      <c r="P11" s="311">
        <f t="shared" si="2"/>
        <v>5174.7491153898309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104</v>
      </c>
      <c r="I12" s="236">
        <f t="shared" si="0"/>
        <v>7554.56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604.36480000000017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264.40960000000001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6685.7856000000002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1427.7966101694917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40.567911050847464</v>
      </c>
      <c r="P12" s="311">
        <f t="shared" si="2"/>
        <v>8154.1501212203393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11.25</v>
      </c>
      <c r="H16" s="113">
        <f t="shared" ref="H16:M16" si="3">SUM(H7:H15)</f>
        <v>450</v>
      </c>
      <c r="I16" s="114">
        <f t="shared" si="3"/>
        <v>28491.08</v>
      </c>
      <c r="J16" s="274">
        <f>SUM(J7:J15)</f>
        <v>2279.2864000000004</v>
      </c>
      <c r="K16" s="275">
        <f t="shared" si="3"/>
        <v>997.18780000000015</v>
      </c>
      <c r="L16" s="276">
        <f t="shared" si="3"/>
        <v>0</v>
      </c>
      <c r="M16" s="232">
        <f t="shared" si="3"/>
        <v>25214.605799999998</v>
      </c>
      <c r="N16" s="233">
        <f>SUM(N7:N15)</f>
        <v>5384.7457627118638</v>
      </c>
      <c r="O16" s="101">
        <f>SUM(O7:O15)</f>
        <v>152.99675781355936</v>
      </c>
      <c r="P16" s="113">
        <f>SUM(P7:P15)</f>
        <v>30752.348320525423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28491.08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2279.2864000000004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997.18780000000015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25214.605800000001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5384.7457627118638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30599.351562711865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152.99675781355936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30752.348320525423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30752.348320525423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1065.3899999999999</v>
      </c>
      <c r="J25" s="274">
        <f>SUM(J16:J24)</f>
        <v>85.231200000000001</v>
      </c>
      <c r="K25" s="275">
        <f t="shared" si="10"/>
        <v>37.288650000000004</v>
      </c>
      <c r="L25" s="276">
        <f t="shared" si="10"/>
        <v>0</v>
      </c>
      <c r="M25" s="232">
        <f t="shared" si="10"/>
        <v>942.87014999999997</v>
      </c>
      <c r="N25" s="233">
        <f>SUM(N16:N24)</f>
        <v>201.35593220338978</v>
      </c>
      <c r="O25" s="101">
        <f>SUM(O16:O24)</f>
        <v>5.721130411016949</v>
      </c>
      <c r="P25" s="234">
        <f>SUM(P16:P24)</f>
        <v>1149.9472126144067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1065.3899999999999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85.231200000000001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37.288650000000004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942.87014999999997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1144.2260822033898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5.721130411016949</v>
      </c>
    </row>
    <row r="35" spans="2:16" ht="15.75" customHeight="1" thickBot="1" x14ac:dyDescent="0.4">
      <c r="N35" s="374" t="s">
        <v>88</v>
      </c>
      <c r="O35" s="375"/>
      <c r="P35" s="297">
        <f>+P33+P34</f>
        <v>1149.9472126144067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1501.23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120.0984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52.543050000000008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1328.5885499999999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1612.3173635593221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74" t="s">
        <v>88</v>
      </c>
      <c r="O35" s="375"/>
      <c r="P35" s="297">
        <f>+P33+P34</f>
        <v>1620.3789503771186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2026-09-24T11:08:15Z</dcterms:modified>
</cp:coreProperties>
</file>