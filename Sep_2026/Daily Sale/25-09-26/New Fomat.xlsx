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D0DB897-D435-49F1-BE3F-7AEC9E0367C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<sst xmlns="http://schemas.openxmlformats.org/spreadsheetml/2006/main" count="3948" uniqueCount="515">
  <si>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</si>
  <si>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</si>
  <si>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</si>
  <si>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</si>
  <si>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</si>
  <si>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</si>
  <si>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</si>
  <si>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</si>
  <si>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</si>
  <si>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</si>
  <si>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</si>
  <si>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</si>
  <si>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</si>
  <si>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</si>
  <si>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</si>
  <si>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</si>
  <si>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</si>
  <si>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</si>
  <si>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</si>
  <si>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</si>
  <si>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</si>
  <si>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</si>
  <si>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</si>
  <si>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</si>
  <si>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</si>
  <si>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</si>
  <si>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</si>
  <si>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</si>
  <si>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</si>
  <si>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</si>
  <si>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</si>
  <si>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</si>
  <si>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</si>
  <si>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</si>
  <si>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</si>
  <si>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</si>
  <si>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</si>
  <si>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</si>
  <si>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</si>
  <si>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</si>
  <si>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</si>
  <si>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</si>
  <si>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</si>
  <si>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</si>
  <si>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</si>
  <si>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</si>
  <si>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</si>
  <si>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</si>
  <si>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</si>
  <si>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</si>
  <si>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</si>
  <si>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</si>
  <si>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</si>
  <si>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</si>
  <si>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</si>
  <si>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</si>
  <si>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</si>
  <si>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</si>
  <si>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</si>
  <si>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</si>
  <si>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</si>
  <si>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</si>
  <si>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</si>
  <si>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</si>
  <si>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</si>
  <si>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</si>
  <si>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</si>
  <si>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</si>
  <si>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</si>
  <si>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</si>
  <si>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</si>
  <si>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</si>
  <si>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</si>
  <si>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</si>
  <si>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</si>
  <si>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</si>
  <si>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</si>
  <si>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</si>
  <si>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</si>
  <si>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</si>
  <si>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</si>
  <si>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</si>
  <si>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</si>
  <si>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</si>
  <si>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</si>
  <si>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</si>
  <si>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</si>
  <si>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</si>
  <si>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</si>
  <si>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</si>
  <si>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</si>
  <si>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</si>
  <si>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</si>
  <si>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</si>
  <si>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</si>
  <si>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</si>
  <si>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</si>
  <si>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</si>
  <si>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</si>
  <si>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</si>
  <si>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</si>
  <si>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</si>
  <si>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</si>
  <si>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</si>
  <si>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</si>
  <si>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</si>
  <si>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</si>
  <si>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</si>
  <si>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</si>
  <si>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</si>
  <si>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</si>
  <si>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</si>
  <si>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</si>
  <si>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</si>
  <si>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</si>
  <si>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</si>
  <si>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</si>
  <si>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</si>
  <si>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</si>
  <si>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</si>
  <si>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</si>
  <si>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</si>
  <si>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</si>
  <si>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</si>
  <si>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</si>
  <si>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</si>
  <si>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</si>
  <si>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</si>
  <si>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</si>
  <si>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</si>
  <si>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</si>
  <si>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</si>
  <si>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</si>
  <si>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</si>
  <si>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</si>
  <si>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</si>
  <si>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</si>
  <si>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</si>
  <si>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</si>
  <si>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</si>
  <si>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</si>
  <si>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</si>
  <si>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</si>
  <si>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</si>
  <si>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</si>
  <si>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</si>
  <si>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</si>
  <si>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</si>
  <si>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</si>
  <si>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</si>
  <si>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</si>
  <si>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</si>
  <si>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</si>
  <si>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</si>
  <si>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</si>
  <si>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</si>
  <si>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</si>
  <si>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</si>
  <si>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</si>
  <si>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</si>
  <si>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</si>
  <si>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</si>
  <si>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</si>
  <si>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</si>
  <si>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</si>
  <si>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</si>
  <si>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</si>
  <si>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</si>
  <si>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</si>
  <si>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</si>
  <si>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</si>
  <si>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</si>
  <si>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</si>
  <si>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</si>
  <si>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</si>
  <si>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</si>
  <si>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</si>
  <si>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</si>
  <si>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</si>
  <si>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</si>
  <si>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</si>
  <si>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</si>
  <si>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</si>
  <si>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</si>
  <si>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</si>
  <si>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</si>
  <si>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</si>
  <si>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</si>
  <si>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</si>
  <si>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</si>
  <si>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</si>
  <si>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</si>
  <si>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</si>
  <si>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</si>
  <si>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</si>
  <si>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</si>
  <si>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</si>
  <si>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</si>
  <si>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</si>
  <si>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</si>
  <si>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</si>
  <si>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</si>
  <si>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</si>
  <si>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</si>
  <si>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</si>
  <si>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</si>
  <si>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</si>
  <si>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</si>
  <si>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</si>
  <si>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</si>
  <si>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</si>
  <si>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</si>
  <si>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</si>
  <si>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</si>
  <si>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</si>
  <si>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</si>
  <si>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</si>
  <si>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</si>
  <si>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</si>
  <si>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</si>
  <si>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</si>
  <si>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</si>
  <si>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</si>
  <si>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</si>
  <si>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</si>
  <si>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</si>
  <si>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</si>
  <si>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</si>
  <si>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</si>
  <si>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</si>
  <si>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</si>
  <si>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</si>
  <si>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</si>
  <si>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</si>
  <si>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</si>
  <si>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</si>
  <si>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</si>
  <si>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</si>
  <si>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</si>
  <si>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</si>
  <si>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</si>
  <si>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</si>
  <si>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</si>
  <si>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</si>
  <si>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</si>
  <si>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</si>
  <si>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</si>
  <si>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</si>
  <si>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</si>
  <si>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</si>
  <si>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</si>
  <si>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</si>
  <si>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</si>
  <si>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</si>
  <si>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</si>
  <si>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</si>
  <si>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</si>
  <si>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</si>
  <si>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</si>
  <si>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</si>
  <si>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</si>
  <si>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</si>
  <si>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</si>
  <si>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</si>
  <si>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</si>
  <si>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</si>
  <si>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</si>
  <si>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</si>
  <si>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</si>
  <si>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</si>
  <si>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</si>
  <si>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</si>
  <si>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</si>
  <si>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</si>
  <si>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</si>
  <si>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</si>
  <si>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</si>
  <si>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</si>
  <si>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</si>
  <si>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</si>
  <si>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</si>
  <si>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</si>
  <si>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</si>
  <si>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</si>
  <si>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</si>
  <si>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</si>
  <si>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</si>
  <si>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</si>
  <si>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</si>
  <si>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</si>
  <si>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</si>
  <si>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</si>
  <si>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</si>
  <si>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</si>
  <si>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</si>
  <si>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</si>
  <si>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</si>
  <si>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</si>
  <si>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</si>
  <si>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</si>
  <si>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</si>
  <si>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</si>
  <si>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</si>
  <si>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</si>
  <si>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</si>
  <si>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</si>
  <si>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</si>
  <si>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</si>
  <si>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</si>
  <si>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</si>
  <si>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</si>
  <si>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</si>
  <si>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</si>
  <si>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</si>
  <si>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</si>
  <si>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</si>
  <si>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</si>
  <si>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</si>
  <si>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</si>
  <si>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</si>
  <si>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</si>
  <si>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</si>
  <si>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</si>
  <si>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</si>
  <si>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</si>
  <si>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</si>
  <si>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</si>
  <si>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</si>
  <si>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</si>
  <si>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</si>
  <si>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</si>
  <si>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</si>
  <si>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</si>
  <si>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</si>
  <si>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</si>
  <si>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</si>
  <si>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</si>
  <si>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</si>
  <si>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</si>
  <si>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</si>
  <si>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</si>
  <si>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</si>
  <si>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</si>
  <si>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</si>
  <si>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</si>
  <si>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</si>
  <si>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</si>
  <si>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</si>
  <si>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</si>
  <si>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</si>
  <si>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</si>
  <si>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</si>
  <si>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</si>
  <si>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</si>
  <si>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</si>
  <si>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</si>
  <si>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</si>
  <si>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</si>
  <si>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</si>
  <si>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</si>
  <si>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</si>
  <si>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</si>
  <si>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</si>
  <si>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</si>
  <si>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</si>
  <si>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</si>
  <si>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</si>
  <si>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</si>
  <si>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</si>
  <si>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</si>
  <si>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</si>
  <si>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</si>
  <si>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</si>
  <si>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</si>
  <si>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</si>
  <si>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</si>
  <si>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</si>
  <si>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</si>
  <si>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</si>
  <si>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</si>
  <si>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</si>
  <si>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</si>
  <si>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</si>
  <si>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</si>
  <si>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</si>
  <si>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</si>
  <si>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</si>
  <si>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</si>
  <si>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</si>
  <si>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</si>
  <si>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</si>
  <si>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</si>
  <si>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</si>
  <si>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</si>
  <si>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</si>
  <si>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</si>
  <si>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</si>
  <si>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</si>
  <si>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</si>
  <si>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</si>
  <si>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</si>
  <si>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</si>
  <si>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</si>
  <si>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</si>
  <si>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</si>
  <si>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</si>
  <si>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</si>
  <si>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</si>
  <si>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</si>
  <si>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</si>
  <si>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</si>
  <si>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</si>
  <si>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</si>
  <si>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</si>
  <si>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</si>
  <si>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</si>
  <si>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</si>
  <si>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</si>
  <si>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</si>
  <si>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</si>
  <si>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</si>
  <si>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</si>
  <si>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</si>
  <si>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</si>
  <si>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</si>
  <si>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</si>
  <si>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</si>
  <si>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</si>
  <si>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</si>
  <si>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</si>
  <si>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</si>
  <si>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</si>
  <si>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</si>
  <si>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</si>
  <si>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</si>
  <si>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</si>
  <si>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</si>
  <si>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</si>
  <si>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</si>
  <si>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</si>
  <si>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</si>
  <si>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</si>
  <si>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</si>
  <si>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</si>
  <si>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</si>
  <si>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</si>
  <si>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</si>
  <si>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</si>
  <si>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</si>
  <si>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</si>
  <si>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</si>
  <si>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</si>
  <si>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</si>
  <si>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</si>
  <si>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</si>
  <si>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</si>
  <si>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</si>
  <si>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</si>
  <si>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</si>
  <si>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</si>
  <si>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</si>
  <si>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</si>
  <si>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</si>
  <si>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</si>
  <si>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</si>
  <si>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</si>
  <si>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</si>
  <si>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</si>
  <si>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</si>
  <si>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</si>
  <si>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</si>
  <si>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</si>
  <si>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</si>
  <si>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</si>
  <si>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</si>
  <si>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</si>
  <si>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</si>
  <si>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</si>
  <si>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</si>
  <si>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</si>
  <si>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</si>
  <si>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</si>
  <si>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</si>
  <si>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</si>
  <si>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</si>
  <si>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</si>
  <si>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</si>
  <si>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</si>
  <si>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</si>
  <si>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</si>
  <si>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</si>
  <si>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</si>
  <si>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</si>
  <si>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</si>
  <si>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</si>
  <si>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</si>
  <si>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</si>
  <si>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</si>
  <si>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</si>
  <si>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</si>
  <si>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</si>
  <si>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</si>
  <si>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</si>
  <si>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</si>
  <si>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</si>
  <si>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</si>
  <si>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</si>
  <si>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</si>
  <si>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</si>
  <si>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</si>
  <si>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</si>
  <si>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</si>
  <si>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</si>
  <si>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Peer Cash N Carry </t>
  </si>
  <si>
    <t>Address: Zahore Ilahi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</si>
</sst>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Peer Cash N Carry </v>
      </c>
      <c r="T3" s="301">
        <f>+'1'!P35</f>
        <v>7951.0211368855926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Peer Cash N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Peer Cash N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Peer Cash N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104.92500000000001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907.60124999999994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5.5295316737288127</v>
      </c>
      <c r="P7" s="310">
        <f>M7+N7+O7</f>
        <v>1111.4358664194913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Peer Cash N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104.92500000000001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907.60124999999994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5.5295316737288127</v>
      </c>
      <c r="P8" s="311">
        <f t="shared" ref="P8:P15" si="2">M8+N8+O8</f>
        <v>1111.4358664194913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Peer Cash N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104.92500000000001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907.60124999999994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5.5295316737288127</v>
      </c>
      <c r="P9" s="311">
        <f t="shared" si="2"/>
        <v>1111.4358664194913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Peer Cash N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1256.672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7.6562413559322033</v>
      </c>
      <c r="P10" s="311">
        <f t="shared" si="2"/>
        <v>1538.9045125423729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Peer Cash N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1256.672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7.6562413559322033</v>
      </c>
      <c r="P11" s="311">
        <f t="shared" si="2"/>
        <v>1538.9045125423729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Peer Cash N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145.28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1256.672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7.6562413559322033</v>
      </c>
      <c r="P12" s="311">
        <f t="shared" si="2"/>
        <v>1538.9045125423729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Peer Cash N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Peer Cash N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Peer Cash N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Peer Cash N Carry 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</v>
      </c>
      <c r="H16" s="113">
        <f t="shared" ref="H16:M16" si="3">SUM(H7:H15)</f>
        <v>120</v>
      </c>
      <c r="I16" s="114">
        <f t="shared" si="3"/>
        <v>7506.1500000000005</v>
      </c>
      <c r="J16" s="274">
        <f>SUM(J7:J15)</f>
        <v>750.61500000000001</v>
      </c>
      <c r="K16" s="275">
        <f t="shared" si="3"/>
        <v>262.71525000000003</v>
      </c>
      <c r="L16" s="276">
        <f t="shared" si="3"/>
        <v>0</v>
      </c>
      <c r="M16" s="232">
        <f t="shared" si="3"/>
        <v>6492.8197500000006</v>
      </c>
      <c r="N16" s="233">
        <f>SUM(N7:N15)</f>
        <v>1418.6440677966098</v>
      </c>
      <c r="O16" s="101">
        <f>SUM(O7:O15)</f>
        <v>39.55731908898305</v>
      </c>
      <c r="P16" s="113">
        <f>SUM(P7:P15)</f>
        <v>7951.0211368855917</v>
      </c>
      <c r="Q16" s="128">
        <f>SUM(Q7:Q15)</f>
        <v>0</v>
      </c>
      <c r="R16" s="313">
        <v>14</v>
      </c>
      <c r="S16" s="315" t="str">
        <f>+'14'!A6:A6</f>
        <v xml:space="preserve">Peer Cash N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Peer Cash N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Peer Cash N Carry 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7506.1500000000005</v>
      </c>
      <c r="R19" s="299">
        <v>17</v>
      </c>
      <c r="S19" s="300" t="str">
        <f>+'17'!A6:A6</f>
        <v xml:space="preserve">Peer Cash N Carry 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750.61500000000001</v>
      </c>
      <c r="R20" s="299">
        <v>18</v>
      </c>
      <c r="S20" s="300" t="str">
        <f>+'18'!A6:A6</f>
        <v xml:space="preserve">Peer Cash N Carry 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262.71525000000003</v>
      </c>
      <c r="R21" s="299">
        <v>19</v>
      </c>
      <c r="S21" s="300" t="str">
        <f>+'19'!A6:A6</f>
        <v xml:space="preserve">Peer Cash N Carry 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6492.8197500000006</v>
      </c>
      <c r="R22" s="299">
        <v>20</v>
      </c>
      <c r="S22" s="300" t="str">
        <f>+'20'!A6:A6</f>
        <v xml:space="preserve">Peer Cash N Carry 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1418.6440677966098</v>
      </c>
      <c r="R23" s="299">
        <v>21</v>
      </c>
      <c r="S23" s="300" t="str">
        <f>+'21'!A6:A6</f>
        <v xml:space="preserve">Peer Cash N Carry 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7911.4638177966099</v>
      </c>
      <c r="R24" s="299">
        <v>22</v>
      </c>
      <c r="S24" s="300" t="str">
        <f>+'22'!A6:A6</f>
        <v xml:space="preserve">Peer Cash N Carry 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39.55731908898305</v>
      </c>
      <c r="R25" s="299">
        <v>23</v>
      </c>
      <c r="S25" s="300" t="str">
        <f>+'23'!A6:A6</f>
        <v xml:space="preserve">Peer Cash N Carry 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7951.0211368855926</v>
      </c>
      <c r="R26" s="299">
        <v>24</v>
      </c>
      <c r="S26" s="300" t="str">
        <f>+'24'!A6:A6</f>
        <v xml:space="preserve">Peer Cash N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 xml:space="preserve">Peer Cash N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Peer Cash N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Peer Cash N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Peer Cash N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Peer Cash N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Peer Cash N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7951.0211368855926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S31" sqref="S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104.92500000000001</v>
      </c>
      <c r="K16" s="127">
        <f>$I16*T16</f>
        <v>36.723750000000003</v>
      </c>
      <c r="L16" s="118">
        <f>$I16*U16</f>
        <v>0</v>
      </c>
      <c r="M16" s="229">
        <f>I16-SUM(J16:L16)</f>
        <v>907.60124999999994</v>
      </c>
      <c r="N16" s="248">
        <f>+(G16*D16+H16)*V16</f>
        <v>198.30508474576263</v>
      </c>
      <c r="O16" s="238">
        <f>(N16+M16)*$O$15</f>
        <v>5.5295316737288127</v>
      </c>
      <c r="P16" s="118">
        <f>M16+N16+O16</f>
        <v>1111.4358664194913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104.92500000000001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907.60124999999994</v>
      </c>
      <c r="N17" s="277">
        <f t="shared" ref="N17:N24" si="3">+(G17*D17+H17)*V17</f>
        <v>198.30508474576263</v>
      </c>
      <c r="O17" s="239">
        <f t="shared" ref="O17:O24" si="4">(N17+M17)*$O$15</f>
        <v>5.5295316737288127</v>
      </c>
      <c r="P17" s="119">
        <f t="shared" ref="P17:P24" si="5">M17+N17+O17</f>
        <v>1111.4358664194913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104.92500000000001</v>
      </c>
      <c r="K18" s="128">
        <f t="shared" si="1"/>
        <v>36.723750000000003</v>
      </c>
      <c r="L18" s="119">
        <f t="shared" si="1"/>
        <v>0</v>
      </c>
      <c r="M18" s="230">
        <f t="shared" si="2"/>
        <v>907.60124999999994</v>
      </c>
      <c r="N18" s="277">
        <f t="shared" si="3"/>
        <v>198.30508474576263</v>
      </c>
      <c r="O18" s="239">
        <f t="shared" si="4"/>
        <v>5.5295316737288127</v>
      </c>
      <c r="P18" s="119">
        <f t="shared" si="5"/>
        <v>1111.4358664194913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145.28</v>
      </c>
      <c r="K19" s="128">
        <f t="shared" si="1"/>
        <v>50.848000000000006</v>
      </c>
      <c r="L19" s="119">
        <f t="shared" si="1"/>
        <v>0</v>
      </c>
      <c r="M19" s="230">
        <f t="shared" si="2"/>
        <v>1256.672</v>
      </c>
      <c r="N19" s="277">
        <f t="shared" si="3"/>
        <v>274.57627118644069</v>
      </c>
      <c r="O19" s="239">
        <f t="shared" si="4"/>
        <v>7.6562413559322033</v>
      </c>
      <c r="P19" s="119">
        <f t="shared" si="5"/>
        <v>1538.9045125423729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145.28</v>
      </c>
      <c r="K20" s="128">
        <f t="shared" si="1"/>
        <v>50.848000000000006</v>
      </c>
      <c r="L20" s="119">
        <f t="shared" si="1"/>
        <v>0</v>
      </c>
      <c r="M20" s="230">
        <f t="shared" si="2"/>
        <v>1256.672</v>
      </c>
      <c r="N20" s="277">
        <f t="shared" si="3"/>
        <v>274.57627118644069</v>
      </c>
      <c r="O20" s="239">
        <f t="shared" si="4"/>
        <v>7.6562413559322033</v>
      </c>
      <c r="P20" s="119">
        <f t="shared" si="5"/>
        <v>1538.9045125423729</v>
      </c>
      <c r="Q20" s="319"/>
      <c r="R20">
        <f>P20/21</f>
        <v>73.281167263922526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145.28</v>
      </c>
      <c r="K21" s="128">
        <f t="shared" si="1"/>
        <v>50.848000000000006</v>
      </c>
      <c r="L21" s="119">
        <f t="shared" si="1"/>
        <v>0</v>
      </c>
      <c r="M21" s="230">
        <f t="shared" si="2"/>
        <v>1256.672</v>
      </c>
      <c r="N21" s="277">
        <f t="shared" si="3"/>
        <v>274.57627118644069</v>
      </c>
      <c r="O21" s="239">
        <f t="shared" si="4"/>
        <v>7.6562413559322033</v>
      </c>
      <c r="P21" s="119">
        <f t="shared" si="5"/>
        <v>1538.9045125423729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7506.1500000000005</v>
      </c>
      <c r="J25" s="274">
        <f>SUM(J16:J24)</f>
        <v>750.61500000000001</v>
      </c>
      <c r="K25" s="275">
        <f t="shared" si="10"/>
        <v>262.71525000000003</v>
      </c>
      <c r="L25" s="276">
        <f t="shared" si="10"/>
        <v>0</v>
      </c>
      <c r="M25" s="232">
        <f t="shared" si="10"/>
        <v>6492.8197500000006</v>
      </c>
      <c r="N25" s="233">
        <f>SUM(N16:N24)</f>
        <v>1418.6440677966098</v>
      </c>
      <c r="O25" s="101">
        <f>SUM(O16:O24)</f>
        <v>39.55731908898305</v>
      </c>
      <c r="P25" s="234">
        <f>SUM(P16:P24)</f>
        <v>7951.0211368855917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7506.1500000000005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750.61500000000001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262.71525000000003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6492.8197500000006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1418.6440677966098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7911.4638177966099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39.55731908898305</v>
      </c>
    </row>
    <row r="35" spans="2:16" ht="15.75" customHeight="1" thickBot="1" x14ac:dyDescent="0.4">
      <c r="N35" s="374" t="s">
        <v>88</v>
      </c>
      <c r="O35" s="375"/>
      <c r="P35" s="297">
        <f>+P33+P34</f>
        <v>7951.0211368855926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2026-09-25T07:04:22Z</dcterms:modified>
</cp:coreProperties>
</file>