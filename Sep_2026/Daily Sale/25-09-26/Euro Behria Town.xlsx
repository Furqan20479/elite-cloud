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A50A9E1-BFD1-405A-A14E-A61A4B6E2D46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 s="1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K20" i="53"/>
  <c r="L20" i="53"/>
  <c r="J20" i="53"/>
  <c r="K20" i="43"/>
  <c r="L20" i="43"/>
  <c r="J20" i="43"/>
  <c r="M20" i="43" s="1"/>
  <c r="O20" i="43" s="1"/>
  <c r="P20" i="43" s="1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53" l="1"/>
  <c r="O20" i="53" s="1"/>
  <c r="P20" i="53" s="1"/>
  <c r="M21" i="52"/>
  <c r="O21" i="52" s="1"/>
  <c r="P21" i="52" s="1"/>
  <c r="J25" i="61"/>
  <c r="P29" i="61" s="1"/>
  <c r="M17" i="56"/>
  <c r="O17" i="56" s="1"/>
  <c r="P17" i="56" s="1"/>
  <c r="J7" i="62"/>
  <c r="M21" i="53"/>
  <c r="O21" i="53" s="1"/>
  <c r="P21" i="53" s="1"/>
  <c r="M17" i="72"/>
  <c r="O17" i="72" s="1"/>
  <c r="P17" i="72" s="1"/>
  <c r="M16" i="64"/>
  <c r="O16" i="64" s="1"/>
  <c r="P16" i="64" s="1"/>
  <c r="M17" i="60"/>
  <c r="O17" i="60" s="1"/>
  <c r="P17" i="60" s="1"/>
  <c r="M22" i="43"/>
  <c r="M16" i="65"/>
  <c r="M22" i="63"/>
  <c r="O22" i="63" s="1"/>
  <c r="P22" i="63" s="1"/>
  <c r="M16" i="48"/>
  <c r="M16" i="60"/>
  <c r="M16" i="58"/>
  <c r="M16" i="59"/>
  <c r="O16" i="59" s="1"/>
  <c r="P16" i="59" s="1"/>
  <c r="M21" i="51"/>
  <c r="M16" i="66"/>
  <c r="M16" i="44"/>
  <c r="M20" i="70"/>
  <c r="O20" i="70" s="1"/>
  <c r="P20" i="70" s="1"/>
  <c r="M16" i="72"/>
  <c r="M21" i="68"/>
  <c r="O21" i="68" s="1"/>
  <c r="P21" i="68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7" i="45"/>
  <c r="P17" i="45" s="1"/>
  <c r="O23" i="66"/>
  <c r="P23" i="66" s="1"/>
  <c r="O16" i="58"/>
  <c r="P16" i="58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53"/>
  <c r="P25" i="53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<sst xmlns="http://schemas.openxmlformats.org/spreadsheetml/2006/main" count="3883" uniqueCount="512">
  <si>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</si>
  <si>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</si>
  <si>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</si>
  <si>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</si>
  <si>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</si>
  <si>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</si>
  <si>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</si>
  <si>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</si>
  <si>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</si>
  <si>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</si>
  <si>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</si>
  <si>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</si>
  <si>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</si>
  <si>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</si>
  <si>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</si>
  <si>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</si>
  <si>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</si>
  <si>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</si>
  <si>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</si>
  <si>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</si>
  <si>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</si>
  <si>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</si>
  <si>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</si>
  <si>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</si>
  <si>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</si>
  <si>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</si>
  <si>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</si>
  <si>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</si>
  <si>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</si>
  <si>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</si>
  <si>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</si>
  <si>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</si>
  <si>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</si>
  <si>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</si>
  <si>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</si>
  <si>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</si>
  <si>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</si>
  <si>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</si>
  <si>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</si>
  <si>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</si>
  <si>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</si>
  <si>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</si>
  <si>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</si>
  <si>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</si>
  <si>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</si>
  <si>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</si>
  <si>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</si>
  <si>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</si>
  <si>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</si>
  <si>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</si>
  <si>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</si>
  <si>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</si>
  <si>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</si>
  <si>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</si>
  <si>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</si>
  <si>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</si>
  <si>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</si>
  <si>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</si>
  <si>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</si>
  <si>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</si>
  <si>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</si>
  <si>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</si>
  <si>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</si>
  <si>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</si>
  <si>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</si>
  <si>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</si>
  <si>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</si>
  <si>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</si>
  <si>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</si>
  <si>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</si>
  <si>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</si>
  <si>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</si>
  <si>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</si>
  <si>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</si>
  <si>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</si>
  <si>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</si>
  <si>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</si>
  <si>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</si>
  <si>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</si>
  <si>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</si>
  <si>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</si>
  <si>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</si>
  <si>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</si>
  <si>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</si>
  <si>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</si>
  <si>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</si>
  <si>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</si>
  <si>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</si>
  <si>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</si>
  <si>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</si>
  <si>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</si>
  <si>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</si>
  <si>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</si>
  <si>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</si>
  <si>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</si>
  <si>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</si>
  <si>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</si>
  <si>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</si>
  <si>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</si>
  <si>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</si>
  <si>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</si>
  <si>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</si>
  <si>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</si>
  <si>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</si>
  <si>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</si>
  <si>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</si>
  <si>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</si>
  <si>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</si>
  <si>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</si>
  <si>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</si>
  <si>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</si>
  <si>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</si>
  <si>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</si>
  <si>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</si>
  <si>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</si>
  <si>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</si>
  <si>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</si>
  <si>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</si>
  <si>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</si>
  <si>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</si>
  <si>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</si>
  <si>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</si>
  <si>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</si>
  <si>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</si>
  <si>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</si>
  <si>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</si>
  <si>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</si>
  <si>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</si>
  <si>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</si>
  <si>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</si>
  <si>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</si>
  <si>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</si>
  <si>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</si>
  <si>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</si>
  <si>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</si>
  <si>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</si>
  <si>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</si>
  <si>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</si>
  <si>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</si>
  <si>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</si>
  <si>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</si>
  <si>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</si>
  <si>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</si>
  <si>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</si>
  <si>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</si>
  <si>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</si>
  <si>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</si>
  <si>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</si>
  <si>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</si>
  <si>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</si>
  <si>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</si>
  <si>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</si>
  <si>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</si>
  <si>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</si>
  <si>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</si>
  <si>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</si>
  <si>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</si>
  <si>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</si>
  <si>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</si>
  <si>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</si>
  <si>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</si>
  <si>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</si>
  <si>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</si>
  <si>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</si>
  <si>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</si>
  <si>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</si>
  <si>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</si>
  <si>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</si>
  <si>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</si>
  <si>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</si>
  <si>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</si>
  <si>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</si>
  <si>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</si>
  <si>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</si>
  <si>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</si>
  <si>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</si>
  <si>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</si>
  <si>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</si>
  <si>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</si>
  <si>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</si>
  <si>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</si>
  <si>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</si>
  <si>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</si>
  <si>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</si>
  <si>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</si>
  <si>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</si>
  <si>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</si>
  <si>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</si>
  <si>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</si>
  <si>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</si>
  <si>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</si>
  <si>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</si>
  <si>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</si>
  <si>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</si>
  <si>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</si>
  <si>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</si>
  <si>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</si>
  <si>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</si>
  <si>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</si>
  <si>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</si>
  <si>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</si>
  <si>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</si>
  <si>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</si>
  <si>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</si>
  <si>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</si>
  <si>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</si>
  <si>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</si>
  <si>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</si>
  <si>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</si>
  <si>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</si>
  <si>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</si>
  <si>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</si>
  <si>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</si>
  <si>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</si>
  <si>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</si>
  <si>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</si>
  <si>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</si>
  <si>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</si>
  <si>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</si>
  <si>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</si>
  <si>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</si>
  <si>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</si>
  <si>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</si>
  <si>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</si>
  <si>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</si>
  <si>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</si>
  <si>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</si>
  <si>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</si>
  <si>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</si>
  <si>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</si>
  <si>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</si>
  <si>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</si>
  <si>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</si>
  <si>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</si>
  <si>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</si>
  <si>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</si>
  <si>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</si>
  <si>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</si>
  <si>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</si>
  <si>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</si>
  <si>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</si>
  <si>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</si>
  <si>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</si>
  <si>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</si>
  <si>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</si>
  <si>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</si>
  <si>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</si>
  <si>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</si>
  <si>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</si>
  <si>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</si>
  <si>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</si>
  <si>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</si>
  <si>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</si>
  <si>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</si>
  <si>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</si>
  <si>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</si>
  <si>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</si>
  <si>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</si>
  <si>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</si>
  <si>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</si>
  <si>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</si>
  <si>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</si>
  <si>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</si>
  <si>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</si>
  <si>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</si>
  <si>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</si>
  <si>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</si>
  <si>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</si>
  <si>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</si>
  <si>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</si>
  <si>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</si>
  <si>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</si>
  <si>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</si>
  <si>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</si>
  <si>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</si>
  <si>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</si>
  <si>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</si>
  <si>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</si>
  <si>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</si>
  <si>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</si>
  <si>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</si>
  <si>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</si>
  <si>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</si>
  <si>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</si>
  <si>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</si>
  <si>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</si>
  <si>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</si>
  <si>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</si>
  <si>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</si>
  <si>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</si>
  <si>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</si>
  <si>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</si>
  <si>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</si>
  <si>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</si>
  <si>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</si>
  <si>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</si>
  <si>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</si>
  <si>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</si>
  <si>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</si>
  <si>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</si>
  <si>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</si>
  <si>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</si>
  <si>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</si>
  <si>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</si>
  <si>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</si>
  <si>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</si>
  <si>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</si>
  <si>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</si>
  <si>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</si>
  <si>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</si>
  <si>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</si>
  <si>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</si>
  <si>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</si>
  <si>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</si>
  <si>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</si>
  <si>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</si>
  <si>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</si>
  <si>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</si>
  <si>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</si>
  <si>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</si>
  <si>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</si>
  <si>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</si>
  <si>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</si>
  <si>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</si>
  <si>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</si>
  <si>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</si>
  <si>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</si>
  <si>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</si>
  <si>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</si>
  <si>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</si>
  <si>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</si>
  <si>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</si>
  <si>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</si>
  <si>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</si>
  <si>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</si>
  <si>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</si>
  <si>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</si>
  <si>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</si>
  <si>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</si>
  <si>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</si>
  <si>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</si>
  <si>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</si>
  <si>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</si>
  <si>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</si>
  <si>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</si>
  <si>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</si>
  <si>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</si>
  <si>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</si>
  <si>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</si>
  <si>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</si>
  <si>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</si>
  <si>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</si>
  <si>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</si>
  <si>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</si>
  <si>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</si>
  <si>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</si>
  <si>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</si>
  <si>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</si>
  <si>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</si>
  <si>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</si>
  <si>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</si>
  <si>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</si>
  <si>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</si>
  <si>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</si>
  <si>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</si>
  <si>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</si>
  <si>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</si>
  <si>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</si>
  <si>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</si>
  <si>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</si>
  <si>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</si>
  <si>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</si>
  <si>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</si>
  <si>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</si>
  <si>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</si>
  <si>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</si>
  <si>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</si>
  <si>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</si>
  <si>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</si>
  <si>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</si>
  <si>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</si>
  <si>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</si>
  <si>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</si>
  <si>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</si>
  <si>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</si>
  <si>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</si>
  <si>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</si>
  <si>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</si>
  <si>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</si>
  <si>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</si>
  <si>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</si>
  <si>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</si>
  <si>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</si>
  <si>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</si>
  <si>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</si>
  <si>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</si>
  <si>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</si>
  <si>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</si>
  <si>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</si>
  <si>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</si>
  <si>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</si>
  <si>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</si>
  <si>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</si>
  <si>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</si>
  <si>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</si>
  <si>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</si>
  <si>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</si>
  <si>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</si>
  <si>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</si>
  <si>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</si>
  <si>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</si>
  <si>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</si>
  <si>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</si>
  <si>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</si>
  <si>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</si>
  <si>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</si>
  <si>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</si>
  <si>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</si>
  <si>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</si>
  <si>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</si>
  <si>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</si>
  <si>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</si>
  <si>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</si>
  <si>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</si>
  <si>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</si>
  <si>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</si>
  <si>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</si>
  <si>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</si>
  <si>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</si>
  <si>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</si>
  <si>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</si>
  <si>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</si>
  <si>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</si>
  <si>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</si>
  <si>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</si>
  <si>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</si>
  <si>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</si>
  <si>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</si>
  <si>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</si>
  <si>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</si>
  <si>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</si>
  <si>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</si>
  <si>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</si>
  <si>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</si>
  <si>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</si>
  <si>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</si>
  <si>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</si>
  <si>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</si>
  <si>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</si>
  <si>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</si>
  <si>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</si>
  <si>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</si>
  <si>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</si>
  <si>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</si>
  <si>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</si>
  <si>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</si>
  <si>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</si>
  <si>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</si>
  <si>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</si>
  <si>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</si>
  <si>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</si>
  <si>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</si>
  <si>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</si>
  <si>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</si>
  <si>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</si>
  <si>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</si>
  <si>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</si>
  <si>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</si>
  <si>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</si>
  <si>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</si>
  <si>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</si>
  <si>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</si>
  <si>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</si>
  <si>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</si>
  <si>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</si>
  <si>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</si>
  <si>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</si>
  <si>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</si>
  <si>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</si>
  <si>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</si>
  <si>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</si>
  <si>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</si>
  <si>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</si>
  <si>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</si>
  <si>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</si>
  <si>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</si>
  <si>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</si>
  <si>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</si>
  <si>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</si>
  <si>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</si>
  <si>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</si>
  <si>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</si>
  <si>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</si>
  <si>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</si>
  <si>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</si>
  <si>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</si>
  <si>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</si>
  <si>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</si>
  <si>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</si>
  <si>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Date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</si>
  <si>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</si>
  <si>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</si>
  <si>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</si>
  <si>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</si>
  <si>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</si>
  <si>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</si>
  <si>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</si>
  <si>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</si>
  <si>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NTN: 4890950-8</t>
  </si>
  <si>
    <t xml:space="preserve">Address:Behria Town </t>
  </si>
  <si>
    <t>Euro Store</t>
  </si>
  <si>
    <t>Invoice No # :0001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</si>
</sst>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9" fontId="18" fillId="0" borderId="48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4" t="s">
        <v>498</v>
      </c>
      <c r="F2" s="375"/>
      <c r="G2" s="375"/>
      <c r="H2" s="372" t="s">
        <v>500</v>
      </c>
      <c r="I2" s="372"/>
      <c r="J2" s="373"/>
      <c r="R2" s="369" t="s">
        <v>497</v>
      </c>
      <c r="S2" s="370"/>
      <c r="T2" s="371"/>
    </row>
    <row r="3" spans="1:20 16377:16378" ht="21.75" customHeight="1" thickBot="1" x14ac:dyDescent="0.4">
      <c r="A3" s="383" t="s">
        <v>92</v>
      </c>
      <c r="B3" s="383"/>
      <c r="C3" s="383"/>
      <c r="E3" s="378" t="s">
        <v>499</v>
      </c>
      <c r="F3" s="379"/>
      <c r="G3" s="379"/>
      <c r="H3" s="376">
        <f>+'1'!N4:N4</f>
        <v>46290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>Euro Store</v>
      </c>
      <c r="T3" s="301">
        <f>+'1'!P35</f>
        <v>152985.47813771185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Euro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34" t="s">
        <v>51</v>
      </c>
      <c r="B5" s="335"/>
      <c r="C5" s="338" t="s">
        <v>90</v>
      </c>
      <c r="D5" s="115" t="s">
        <v>52</v>
      </c>
      <c r="E5" s="340" t="s">
        <v>58</v>
      </c>
      <c r="F5" s="341"/>
      <c r="G5" s="342" t="s">
        <v>54</v>
      </c>
      <c r="H5" s="343"/>
      <c r="I5" s="344" t="s">
        <v>77</v>
      </c>
      <c r="J5" s="381" t="s">
        <v>55</v>
      </c>
      <c r="K5" s="342"/>
      <c r="L5" s="343"/>
      <c r="M5" s="335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Euro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36"/>
      <c r="B6" s="337"/>
      <c r="C6" s="33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5"/>
      <c r="J6" s="143" t="s">
        <v>59</v>
      </c>
      <c r="K6" s="144" t="s">
        <v>39</v>
      </c>
      <c r="L6" s="145" t="s">
        <v>493</v>
      </c>
      <c r="M6" s="337"/>
      <c r="N6" s="34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Euro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400</v>
      </c>
      <c r="I7" s="235">
        <f>(G7*D7)*F7+H7*F7</f>
        <v>20985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2937.9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734.47500000000002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17312.625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3966.1016949152527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106.39363347457628</v>
      </c>
      <c r="P7" s="118">
        <f>M7+N7+O7</f>
        <v>21385.120328389832</v>
      </c>
      <c r="Q7" s="142"/>
      <c r="R7" s="299">
        <v>5</v>
      </c>
      <c r="S7" s="300" t="str">
        <f>+'5'!A6:A6</f>
        <v>Euro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400</v>
      </c>
      <c r="I8" s="236">
        <f t="shared" ref="I8:I14" si="0">(G8*D8)*F8+H8*F8</f>
        <v>20985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2937.9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734.47500000000002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17312.625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3966.1016949152527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106.39363347457628</v>
      </c>
      <c r="P8" s="119">
        <f t="shared" ref="P8:P15" si="2">M8+N8+O8</f>
        <v>21385.120328389832</v>
      </c>
      <c r="R8" s="299">
        <v>6</v>
      </c>
      <c r="S8" s="300" t="str">
        <f>+'6'!A6:A6</f>
        <v>Euro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400</v>
      </c>
      <c r="I9" s="236">
        <f t="shared" si="0"/>
        <v>20985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2937.9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734.47500000000002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17312.625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3966.1016949152527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106.39363347457628</v>
      </c>
      <c r="P9" s="119">
        <f t="shared" si="2"/>
        <v>21385.120328389832</v>
      </c>
      <c r="R9" s="299">
        <v>7</v>
      </c>
      <c r="S9" s="300" t="str">
        <f>+'7'!A6:A6</f>
        <v>Euro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400</v>
      </c>
      <c r="I10" s="236">
        <f t="shared" si="0"/>
        <v>29056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4067.8400000000006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1016.9600000000002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23971.199999999997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5491.5254237288136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147.31362711864406</v>
      </c>
      <c r="P10" s="119">
        <f t="shared" si="2"/>
        <v>29610.039050847456</v>
      </c>
      <c r="R10" s="299">
        <v>8</v>
      </c>
      <c r="S10" s="300" t="str">
        <f>+'8'!A6:A6</f>
        <v>Euro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400</v>
      </c>
      <c r="I11" s="236">
        <f t="shared" si="0"/>
        <v>29056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4067.8400000000006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1016.9600000000002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23971.199999999997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5491.5254237288136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147.31362711864406</v>
      </c>
      <c r="P11" s="119">
        <f t="shared" si="2"/>
        <v>29610.039050847456</v>
      </c>
      <c r="R11" s="299">
        <v>9</v>
      </c>
      <c r="S11" s="300" t="str">
        <f>+'9'!A6:A6</f>
        <v>Euro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400</v>
      </c>
      <c r="I12" s="236">
        <f t="shared" si="0"/>
        <v>29056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4067.8400000000006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1016.9600000000002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23971.199999999997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5491.5254237288136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147.31362711864406</v>
      </c>
      <c r="P12" s="119">
        <f t="shared" si="2"/>
        <v>29610.039050847456</v>
      </c>
      <c r="R12" s="299">
        <v>10</v>
      </c>
      <c r="S12" s="300" t="str">
        <f>+'10'!A6:A6</f>
        <v>Euro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Euro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Euro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Euro Store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6"/>
      <c r="C16" s="346" t="s">
        <v>40</v>
      </c>
      <c r="D16" s="346"/>
      <c r="E16" s="346"/>
      <c r="F16" s="347"/>
      <c r="G16" s="117">
        <f t="shared" ref="G16:M16" si="3">SUM(G7:G15)</f>
        <v>0</v>
      </c>
      <c r="H16" s="113">
        <f t="shared" si="3"/>
        <v>2400</v>
      </c>
      <c r="I16" s="114">
        <f t="shared" si="3"/>
        <v>150123</v>
      </c>
      <c r="J16" s="274">
        <f>SUM(J7:J15)</f>
        <v>21017.22</v>
      </c>
      <c r="K16" s="275">
        <f t="shared" si="3"/>
        <v>5254.3050000000003</v>
      </c>
      <c r="L16" s="276">
        <f t="shared" si="3"/>
        <v>0</v>
      </c>
      <c r="M16" s="232">
        <f t="shared" si="3"/>
        <v>123851.47499999999</v>
      </c>
      <c r="N16" s="233">
        <f>SUM(N7:N15)</f>
        <v>28372.881355932201</v>
      </c>
      <c r="O16" s="101">
        <f>SUM(O7:O15)</f>
        <v>761.12178177966098</v>
      </c>
      <c r="P16" s="234">
        <f>SUM(P7:P15)</f>
        <v>152985.47813771185</v>
      </c>
      <c r="R16" s="299">
        <v>14</v>
      </c>
      <c r="S16" s="300" t="str">
        <f>+'14'!A6:A6</f>
        <v>Euro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Euro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Euro Store</v>
      </c>
      <c r="T18" s="301">
        <f>+'16'!P35</f>
        <v>0</v>
      </c>
    </row>
    <row r="19" spans="1:20" ht="21.75" customHeight="1" x14ac:dyDescent="0.35">
      <c r="B19" s="348" t="s">
        <v>64</v>
      </c>
      <c r="C19" s="349"/>
      <c r="D19" s="349"/>
      <c r="E19" s="349"/>
      <c r="F19" s="349"/>
      <c r="G19" s="349"/>
      <c r="H19" s="349"/>
      <c r="I19" s="349"/>
      <c r="J19" s="349"/>
      <c r="K19" s="349"/>
      <c r="L19" s="350"/>
      <c r="N19" s="357" t="s">
        <v>60</v>
      </c>
      <c r="O19" s="358"/>
      <c r="P19" s="139">
        <f>I16</f>
        <v>150123</v>
      </c>
      <c r="R19" s="299">
        <v>17</v>
      </c>
      <c r="S19" s="300" t="str">
        <f>+'17'!A6:A6</f>
        <v>Euro Store</v>
      </c>
      <c r="T19" s="301">
        <f>+'17'!P35</f>
        <v>0</v>
      </c>
    </row>
    <row r="20" spans="1:20" ht="21.75" customHeight="1" x14ac:dyDescent="0.35">
      <c r="B20" s="351"/>
      <c r="C20" s="352"/>
      <c r="D20" s="352"/>
      <c r="E20" s="352"/>
      <c r="F20" s="352"/>
      <c r="G20" s="352"/>
      <c r="H20" s="352"/>
      <c r="I20" s="352"/>
      <c r="J20" s="352"/>
      <c r="K20" s="352"/>
      <c r="L20" s="353"/>
      <c r="N20" s="359" t="s">
        <v>85</v>
      </c>
      <c r="O20" s="360"/>
      <c r="P20" s="140">
        <f>+J16</f>
        <v>21017.22</v>
      </c>
      <c r="R20" s="299">
        <v>18</v>
      </c>
      <c r="S20" s="300" t="str">
        <f>+'18'!A6:A6</f>
        <v>Euro Store</v>
      </c>
      <c r="T20" s="301">
        <f>+'18'!P35</f>
        <v>0</v>
      </c>
    </row>
    <row r="21" spans="1:20" ht="21.75" customHeight="1" x14ac:dyDescent="0.35">
      <c r="B21" s="351"/>
      <c r="C21" s="352"/>
      <c r="D21" s="352"/>
      <c r="E21" s="352"/>
      <c r="F21" s="352"/>
      <c r="G21" s="352"/>
      <c r="H21" s="352"/>
      <c r="I21" s="352"/>
      <c r="J21" s="352"/>
      <c r="K21" s="352"/>
      <c r="L21" s="353"/>
      <c r="N21" s="359" t="s">
        <v>86</v>
      </c>
      <c r="O21" s="360"/>
      <c r="P21" s="140">
        <f>+K16+L16</f>
        <v>5254.3050000000003</v>
      </c>
      <c r="R21" s="299">
        <v>19</v>
      </c>
      <c r="S21" s="300" t="str">
        <f>+'19'!A6:A6</f>
        <v>Euro Store</v>
      </c>
      <c r="T21" s="301">
        <f>+'19'!P35</f>
        <v>0</v>
      </c>
    </row>
    <row r="22" spans="1:20" ht="21.75" customHeight="1" x14ac:dyDescent="0.35">
      <c r="B22" s="351"/>
      <c r="C22" s="352"/>
      <c r="D22" s="352"/>
      <c r="E22" s="352"/>
      <c r="F22" s="352"/>
      <c r="G22" s="352"/>
      <c r="H22" s="352"/>
      <c r="I22" s="352"/>
      <c r="J22" s="352"/>
      <c r="K22" s="352"/>
      <c r="L22" s="353"/>
      <c r="M22" s="131"/>
      <c r="N22" s="359" t="s">
        <v>87</v>
      </c>
      <c r="O22" s="360"/>
      <c r="P22" s="140">
        <f>P19-P20-P21</f>
        <v>123851.47500000001</v>
      </c>
      <c r="R22" s="299">
        <v>20</v>
      </c>
      <c r="S22" s="300" t="str">
        <f>+'20'!A6:A6</f>
        <v>Euro Store</v>
      </c>
      <c r="T22" s="301">
        <f>+'20'!P35</f>
        <v>0</v>
      </c>
    </row>
    <row r="23" spans="1:20" ht="21.75" customHeight="1" x14ac:dyDescent="0.35">
      <c r="B23" s="351"/>
      <c r="C23" s="352"/>
      <c r="D23" s="352"/>
      <c r="E23" s="352"/>
      <c r="F23" s="352"/>
      <c r="G23" s="352"/>
      <c r="H23" s="352"/>
      <c r="I23" s="352"/>
      <c r="J23" s="352"/>
      <c r="K23" s="352"/>
      <c r="L23" s="353"/>
      <c r="M23" s="131"/>
      <c r="N23" s="136" t="s">
        <v>61</v>
      </c>
      <c r="O23" s="133">
        <v>0.18</v>
      </c>
      <c r="P23" s="140">
        <f>+N16</f>
        <v>28372.881355932201</v>
      </c>
      <c r="R23" s="299">
        <v>21</v>
      </c>
      <c r="S23" s="300" t="str">
        <f>+'21'!A6:A6</f>
        <v>Euro Store</v>
      </c>
      <c r="T23" s="301">
        <f>+'21'!P35</f>
        <v>0</v>
      </c>
    </row>
    <row r="24" spans="1:20" ht="21.75" customHeight="1" x14ac:dyDescent="0.35">
      <c r="B24" s="351"/>
      <c r="C24" s="352"/>
      <c r="D24" s="352"/>
      <c r="E24" s="352"/>
      <c r="F24" s="352"/>
      <c r="G24" s="352"/>
      <c r="H24" s="352"/>
      <c r="I24" s="352"/>
      <c r="J24" s="352"/>
      <c r="K24" s="352"/>
      <c r="L24" s="353"/>
      <c r="M24" s="131"/>
      <c r="N24" s="361" t="s">
        <v>76</v>
      </c>
      <c r="O24" s="362"/>
      <c r="P24" s="140">
        <f>P22+P23</f>
        <v>152224.35635593219</v>
      </c>
      <c r="R24" s="299">
        <v>22</v>
      </c>
      <c r="S24" s="300" t="str">
        <f>+'22'!A6:A6</f>
        <v>Euro Store</v>
      </c>
      <c r="T24" s="301">
        <f>+'22'!P35</f>
        <v>0</v>
      </c>
    </row>
    <row r="25" spans="1:20" ht="21.75" customHeight="1" thickBot="1" x14ac:dyDescent="0.4">
      <c r="B25" s="354"/>
      <c r="C25" s="355"/>
      <c r="D25" s="355"/>
      <c r="E25" s="355"/>
      <c r="F25" s="355"/>
      <c r="G25" s="355"/>
      <c r="H25" s="355"/>
      <c r="I25" s="355"/>
      <c r="J25" s="355"/>
      <c r="K25" s="355"/>
      <c r="L25" s="356"/>
      <c r="M25" s="99"/>
      <c r="N25" s="138" t="s">
        <v>83</v>
      </c>
      <c r="O25" s="137" t="e">
        <f>IF(#REF!="Filer",0.5%,2.5%)</f>
        <v>#REF!</v>
      </c>
      <c r="P25" s="140">
        <f>+O16</f>
        <v>761.12178177966098</v>
      </c>
      <c r="R25" s="299">
        <v>23</v>
      </c>
      <c r="S25" s="300" t="str">
        <f>+'23'!A6:A6</f>
        <v>Euro Store</v>
      </c>
      <c r="T25" s="301">
        <f>+'23'!P35</f>
        <v>0</v>
      </c>
    </row>
    <row r="26" spans="1:20" ht="21.75" customHeight="1" thickBot="1" x14ac:dyDescent="0.4">
      <c r="N26" s="363" t="s">
        <v>88</v>
      </c>
      <c r="O26" s="364"/>
      <c r="P26" s="297">
        <f>+P24+P25</f>
        <v>152985.47813771185</v>
      </c>
      <c r="R26" s="299">
        <v>24</v>
      </c>
      <c r="S26" s="300" t="str">
        <f>+'24'!A6:A6</f>
        <v>Euro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5"/>
      <c r="D27" s="365"/>
      <c r="E27" s="365"/>
      <c r="F27" s="365"/>
      <c r="G27" s="365"/>
      <c r="H27" s="365"/>
      <c r="I27" s="366"/>
      <c r="J27" s="367"/>
      <c r="K27" s="368"/>
      <c r="R27" s="299">
        <v>25</v>
      </c>
      <c r="S27" s="300" t="str">
        <f>+'25'!A6:A6</f>
        <v>Euro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Euro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Euro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Euro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Euro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Euro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152985.47813771185</v>
      </c>
    </row>
    <row r="44" spans="2:20" x14ac:dyDescent="0.35">
      <c r="B44" t="s">
        <v>502</v>
      </c>
    </row>
    <row r="45" spans="2:20" x14ac:dyDescent="0.35">
      <c r="B45" t="s">
        <v>503</v>
      </c>
    </row>
    <row r="46" spans="2:20" x14ac:dyDescent="0.35">
      <c r="B46" t="s">
        <v>504</v>
      </c>
    </row>
    <row r="47" spans="2:20" x14ac:dyDescent="0.35">
      <c r="B47" t="s">
        <v>505</v>
      </c>
    </row>
    <row r="48" spans="2:20" x14ac:dyDescent="0.35">
      <c r="B48" t="s">
        <v>506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9" workbookViewId="0">
      <selection activeCell="J27" sqref="J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511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v>46290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46289</v>
      </c>
      <c r="O5" s="383"/>
      <c r="P5" s="383"/>
      <c r="R5" s="85"/>
      <c r="S5" s="266"/>
    </row>
    <row r="6" spans="1:22 16383:16384" ht="17.25" customHeight="1" x14ac:dyDescent="0.4">
      <c r="A6" s="389" t="s">
        <v>510</v>
      </c>
      <c r="B6" s="389"/>
      <c r="C6" s="389"/>
      <c r="F6" s="85"/>
      <c r="G6" s="86"/>
      <c r="K6" s="384" t="s">
        <v>69</v>
      </c>
      <c r="L6" s="384"/>
      <c r="M6" s="384"/>
      <c r="N6" s="386" t="s">
        <v>502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508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404">
        <v>0.14000000000000001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400</v>
      </c>
      <c r="I16" s="235">
        <f>(G16*D16)*F16+H16*F16</f>
        <v>20985</v>
      </c>
      <c r="J16" s="271">
        <f>$I16*S16</f>
        <v>2937.9</v>
      </c>
      <c r="K16" s="127">
        <f>$I16*T16</f>
        <v>734.47500000000002</v>
      </c>
      <c r="L16" s="118">
        <f>$I16*U16</f>
        <v>0</v>
      </c>
      <c r="M16" s="229">
        <f>I16-SUM(J16:L16)</f>
        <v>17312.625</v>
      </c>
      <c r="N16" s="248">
        <f>+(G16*D16+H16)*V16</f>
        <v>3966.1016949152527</v>
      </c>
      <c r="O16" s="238">
        <f>(N16+M16)*$O$15</f>
        <v>106.39363347457628</v>
      </c>
      <c r="P16" s="118">
        <f>M16+N16+O16</f>
        <v>21385.120328389832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400</v>
      </c>
      <c r="I17" s="236">
        <f t="shared" ref="I17:I23" si="0">(G17*D17)*F17+H17*F17</f>
        <v>20985</v>
      </c>
      <c r="J17" s="272">
        <f t="shared" ref="J17:L24" si="1">$I17*S17</f>
        <v>2937.9</v>
      </c>
      <c r="K17" s="128">
        <f>$I17*T17</f>
        <v>734.47500000000002</v>
      </c>
      <c r="L17" s="119">
        <f>$I17*U17</f>
        <v>0</v>
      </c>
      <c r="M17" s="230">
        <f t="shared" ref="M17:M24" si="2">I17-SUM(J17:L17)</f>
        <v>17312.625</v>
      </c>
      <c r="N17" s="277">
        <f t="shared" ref="N17:N24" si="3">+(G17*D17+H17)*V17</f>
        <v>3966.1016949152527</v>
      </c>
      <c r="O17" s="239">
        <f t="shared" ref="O17:O24" si="4">(N17+M17)*$O$15</f>
        <v>106.39363347457628</v>
      </c>
      <c r="P17" s="119">
        <f t="shared" ref="P17:P24" si="5">M17+N17+O17</f>
        <v>21385.120328389832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400</v>
      </c>
      <c r="I18" s="236">
        <f t="shared" ref="I18:I21" si="7">(G18*D18)*F18+H18*F18</f>
        <v>20985</v>
      </c>
      <c r="J18" s="272">
        <f t="shared" si="1"/>
        <v>2937.9</v>
      </c>
      <c r="K18" s="128">
        <f t="shared" si="1"/>
        <v>734.47500000000002</v>
      </c>
      <c r="L18" s="119">
        <f t="shared" si="1"/>
        <v>0</v>
      </c>
      <c r="M18" s="230">
        <f t="shared" si="2"/>
        <v>17312.625</v>
      </c>
      <c r="N18" s="277">
        <f t="shared" si="3"/>
        <v>3966.1016949152527</v>
      </c>
      <c r="O18" s="239">
        <f t="shared" si="4"/>
        <v>106.39363347457628</v>
      </c>
      <c r="P18" s="119">
        <f t="shared" si="5"/>
        <v>21385.120328389832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400</v>
      </c>
      <c r="I19" s="236">
        <f t="shared" si="7"/>
        <v>29056</v>
      </c>
      <c r="J19" s="272">
        <f t="shared" si="1"/>
        <v>4067.8400000000006</v>
      </c>
      <c r="K19" s="128">
        <f t="shared" si="1"/>
        <v>1016.9600000000002</v>
      </c>
      <c r="L19" s="119">
        <f t="shared" si="1"/>
        <v>0</v>
      </c>
      <c r="M19" s="230">
        <f t="shared" si="2"/>
        <v>23971.199999999997</v>
      </c>
      <c r="N19" s="277">
        <f t="shared" si="3"/>
        <v>5491.5254237288136</v>
      </c>
      <c r="O19" s="239">
        <f t="shared" si="4"/>
        <v>147.31362711864406</v>
      </c>
      <c r="P19" s="119">
        <f t="shared" si="5"/>
        <v>29610.039050847456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400</v>
      </c>
      <c r="I20" s="236">
        <f t="shared" si="7"/>
        <v>29056</v>
      </c>
      <c r="J20" s="272">
        <f t="shared" si="1"/>
        <v>4067.8400000000006</v>
      </c>
      <c r="K20" s="128">
        <f t="shared" si="1"/>
        <v>1016.9600000000002</v>
      </c>
      <c r="L20" s="119">
        <f t="shared" si="1"/>
        <v>0</v>
      </c>
      <c r="M20" s="230">
        <f t="shared" si="2"/>
        <v>23971.199999999997</v>
      </c>
      <c r="N20" s="277">
        <f t="shared" si="3"/>
        <v>5491.5254237288136</v>
      </c>
      <c r="O20" s="239">
        <f t="shared" si="4"/>
        <v>147.31362711864406</v>
      </c>
      <c r="P20" s="119">
        <f t="shared" si="5"/>
        <v>29610.039050847456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400</v>
      </c>
      <c r="I21" s="236">
        <f t="shared" si="7"/>
        <v>29056</v>
      </c>
      <c r="J21" s="272">
        <f t="shared" si="1"/>
        <v>4067.8400000000006</v>
      </c>
      <c r="K21" s="128">
        <f t="shared" si="1"/>
        <v>1016.9600000000002</v>
      </c>
      <c r="L21" s="119">
        <f t="shared" si="1"/>
        <v>0</v>
      </c>
      <c r="M21" s="230">
        <f t="shared" si="2"/>
        <v>23971.199999999997</v>
      </c>
      <c r="N21" s="277">
        <f t="shared" si="3"/>
        <v>5491.5254237288136</v>
      </c>
      <c r="O21" s="239">
        <f t="shared" si="4"/>
        <v>147.31362711864406</v>
      </c>
      <c r="P21" s="119">
        <f t="shared" si="5"/>
        <v>29610.039050847456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" si="8">SUM(G16:G24)</f>
        <v>0</v>
      </c>
      <c r="H25" s="113">
        <f t="shared" ref="H25" si="9">SUM(H16:H24)</f>
        <v>2400</v>
      </c>
      <c r="I25" s="114">
        <f t="shared" ref="I25:M25" si="10">SUM(I16:I24)</f>
        <v>150123</v>
      </c>
      <c r="J25" s="274">
        <f>SUM(J16:J24)</f>
        <v>21017.22</v>
      </c>
      <c r="K25" s="275">
        <f t="shared" si="10"/>
        <v>5254.3050000000003</v>
      </c>
      <c r="L25" s="276">
        <f t="shared" si="10"/>
        <v>0</v>
      </c>
      <c r="M25" s="232">
        <f t="shared" si="10"/>
        <v>123851.47499999999</v>
      </c>
      <c r="N25" s="233">
        <f>SUM(N16:N24)</f>
        <v>28372.881355932201</v>
      </c>
      <c r="O25" s="101">
        <f>SUM(O16:O24)</f>
        <v>761.12178177966098</v>
      </c>
      <c r="P25" s="234">
        <f>SUM(P16:P24)</f>
        <v>152985.47813771185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150123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21017.22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5254.3050000000003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123851.47500000001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28372.881355932201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152224.35635593219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761.12178177966098</v>
      </c>
    </row>
    <row r="35" spans="2:16" ht="15.75" customHeight="1" thickBot="1" x14ac:dyDescent="0.4">
      <c r="N35" s="363" t="s">
        <v>88</v>
      </c>
      <c r="O35" s="364"/>
      <c r="P35" s="297">
        <f>+P33+P34</f>
        <v>152985.47813771185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511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v>46290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46289</v>
      </c>
      <c r="O5" s="383"/>
      <c r="P5" s="383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84" t="s">
        <v>69</v>
      </c>
      <c r="L6" s="384"/>
      <c r="M6" s="384"/>
      <c r="N6" s="386" t="s">
        <v>504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508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404">
        <v>0.14000000000000001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511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v>46290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46289</v>
      </c>
      <c r="O5" s="383"/>
      <c r="P5" s="383"/>
      <c r="R5" s="85"/>
      <c r="S5" s="266"/>
    </row>
    <row r="6" spans="1:22 16383:16384" ht="18.75" customHeight="1" x14ac:dyDescent="0.4">
      <c r="A6" s="389" t="s">
        <v>510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508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404">
        <v>0.14000000000000001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511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v>46290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46289</v>
      </c>
      <c r="O5" s="383"/>
      <c r="P5" s="383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508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404">
        <v>0.14000000000000001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511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v>46290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46289</v>
      </c>
      <c r="O5" s="383"/>
      <c r="P5" s="383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508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404">
        <v>0.14000000000000001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511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v>46290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46289</v>
      </c>
      <c r="O5" s="383"/>
      <c r="P5" s="383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508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404">
        <v>0.14000000000000001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511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v>46290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46289</v>
      </c>
      <c r="O5" s="383"/>
      <c r="P5" s="383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508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404">
        <v>0.14000000000000001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511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v>46290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46289</v>
      </c>
      <c r="O5" s="383"/>
      <c r="P5" s="383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508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404">
        <v>0.14000000000000001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511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v>46290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46289</v>
      </c>
      <c r="O5" s="383"/>
      <c r="P5" s="383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508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404">
        <v>0.14000000000000001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511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v>46290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46289</v>
      </c>
      <c r="O5" s="383"/>
      <c r="P5" s="383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508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404">
        <v>0.14000000000000001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511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v>46290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46289</v>
      </c>
      <c r="O5" s="383"/>
      <c r="P5" s="383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508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404">
        <v>0.14000000000000001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511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v>46290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46289</v>
      </c>
      <c r="O5" s="383"/>
      <c r="P5" s="383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508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404">
        <v>0.14000000000000001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511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v>46290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46289</v>
      </c>
      <c r="O5" s="383"/>
      <c r="P5" s="383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508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404">
        <v>0.14000000000000001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511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v>46290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46289</v>
      </c>
      <c r="O5" s="383"/>
      <c r="P5" s="383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508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404">
        <v>0.14000000000000001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511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v>46290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46289</v>
      </c>
      <c r="O5" s="383"/>
      <c r="P5" s="383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508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404">
        <v>0.14000000000000001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511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v>46290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46289</v>
      </c>
      <c r="O5" s="383"/>
      <c r="P5" s="383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508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404">
        <v>0.14000000000000001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511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v>46290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46289</v>
      </c>
      <c r="O5" s="383"/>
      <c r="P5" s="383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508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404">
        <v>0.14000000000000001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511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v>46290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46289</v>
      </c>
      <c r="O5" s="383"/>
      <c r="P5" s="383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508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404">
        <v>0.14000000000000001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511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v>46290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46289</v>
      </c>
      <c r="O5" s="383"/>
      <c r="P5" s="383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508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404">
        <v>0.14000000000000001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511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v>46290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46289</v>
      </c>
      <c r="O5" s="383"/>
      <c r="P5" s="383"/>
      <c r="R5" s="85"/>
      <c r="S5" s="266"/>
    </row>
    <row r="6" spans="1:22 16383:16384" ht="18.75" customHeight="1" x14ac:dyDescent="0.4">
      <c r="A6" s="389" t="s">
        <v>510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508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404">
        <v>0.14000000000000001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511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v>46290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46289</v>
      </c>
      <c r="O5" s="383"/>
      <c r="P5" s="383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508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404">
        <v>0.14000000000000001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511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v>46290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46289</v>
      </c>
      <c r="O5" s="383"/>
      <c r="P5" s="383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508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404">
        <v>0.14000000000000001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511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v>46290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46289</v>
      </c>
      <c r="O5" s="383"/>
      <c r="P5" s="383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508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404">
        <v>0.14000000000000001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511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v>46290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46289</v>
      </c>
      <c r="O5" s="383"/>
      <c r="P5" s="383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508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404">
        <v>0.14000000000000001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511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v>46290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46289</v>
      </c>
      <c r="O5" s="383"/>
      <c r="P5" s="383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508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404">
        <v>0.14000000000000001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511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v>46290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46289</v>
      </c>
      <c r="O5" s="383"/>
      <c r="P5" s="383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508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404">
        <v>0.14000000000000001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511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v>46290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46289</v>
      </c>
      <c r="O5" s="383"/>
      <c r="P5" s="383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508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404">
        <v>0.14000000000000001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511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v>46290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46289</v>
      </c>
      <c r="O5" s="383"/>
      <c r="P5" s="383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508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404">
        <v>0.14000000000000001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511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v>46290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46289</v>
      </c>
      <c r="O5" s="383"/>
      <c r="P5" s="383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508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404">
        <v>0.14000000000000001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511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501</v>
      </c>
      <c r="B4" s="383"/>
      <c r="C4" s="383"/>
      <c r="F4" s="85"/>
      <c r="G4" s="1"/>
      <c r="K4" s="384" t="s">
        <v>44</v>
      </c>
      <c r="L4" s="384"/>
      <c r="M4" s="384"/>
      <c r="N4" s="387">
        <v>46290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46289</v>
      </c>
      <c r="O5" s="383"/>
      <c r="P5" s="383"/>
      <c r="R5" s="85"/>
      <c r="S5" s="266"/>
    </row>
    <row r="6" spans="1:22 16383:16384" ht="15" customHeight="1" x14ac:dyDescent="0.4">
      <c r="A6" s="389" t="s">
        <v>510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508</v>
      </c>
      <c r="B7" s="384"/>
      <c r="C7" s="384"/>
      <c r="F7" s="85"/>
      <c r="G7" s="86"/>
      <c r="K7" s="384" t="s">
        <v>66</v>
      </c>
      <c r="L7" s="384"/>
      <c r="M7" s="384"/>
      <c r="N7" s="386" t="s">
        <v>507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509</v>
      </c>
      <c r="B8" s="390"/>
      <c r="C8" s="390"/>
      <c r="F8" s="85"/>
      <c r="G8" s="86"/>
      <c r="K8" s="384" t="s">
        <v>67</v>
      </c>
      <c r="L8" s="384"/>
      <c r="M8" s="384"/>
      <c r="N8" s="386" t="s">
        <v>507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404">
        <v>0.14000000000000001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46291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46290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4" t="s">
        <v>51</v>
      </c>
      <c r="B14" s="335"/>
      <c r="C14" s="338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3"/>
      <c r="I14" s="344" t="s">
        <v>77</v>
      </c>
      <c r="J14" s="342" t="s">
        <v>55</v>
      </c>
      <c r="K14" s="343"/>
      <c r="L14" s="34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6"/>
      <c r="B15" s="337"/>
      <c r="C15" s="33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5"/>
      <c r="J15" s="144" t="s">
        <v>39</v>
      </c>
      <c r="K15" s="145" t="s">
        <v>59</v>
      </c>
      <c r="L15" s="34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50"/>
      <c r="M28" s="357" t="s">
        <v>60</v>
      </c>
      <c r="N28" s="358"/>
      <c r="O28" s="139">
        <f>I25</f>
        <v>1452.8</v>
      </c>
    </row>
    <row r="29" spans="1:18 16383:16383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3"/>
      <c r="M29" s="359" t="s">
        <v>85</v>
      </c>
      <c r="N29" s="360"/>
      <c r="O29" s="140">
        <f>K25</f>
        <v>0</v>
      </c>
    </row>
    <row r="30" spans="1:18 16383:16383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3"/>
      <c r="M30" s="359" t="s">
        <v>86</v>
      </c>
      <c r="N30" s="360"/>
      <c r="O30" s="140">
        <f>J25</f>
        <v>50.848000000000006</v>
      </c>
    </row>
    <row r="31" spans="1:18 16383:16383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3"/>
      <c r="L31" s="131"/>
      <c r="M31" s="359" t="s">
        <v>87</v>
      </c>
      <c r="N31" s="360"/>
      <c r="O31" s="140">
        <f>O28-O29-O30</f>
        <v>1401.952</v>
      </c>
    </row>
    <row r="32" spans="1:18 16383:16383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3"/>
      <c r="L33" s="131"/>
      <c r="M33" s="361" t="s">
        <v>76</v>
      </c>
      <c r="N33" s="362"/>
      <c r="O33" s="140">
        <f>O31+O32</f>
        <v>1710.3814400000001</v>
      </c>
    </row>
    <row r="34" spans="2:15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3" t="s">
        <v>88</v>
      </c>
      <c r="N35" s="364"/>
      <c r="O35" s="141">
        <f>O28-O29+O31+O34</f>
        <v>2897.511536</v>
      </c>
    </row>
    <row r="36" spans="2:15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4" t="s">
        <v>439</v>
      </c>
      <c r="E1" s="326" t="s">
        <v>58</v>
      </c>
      <c r="F1" s="326"/>
      <c r="G1" s="327" t="s">
        <v>440</v>
      </c>
      <c r="H1" s="327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6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8" t="s">
        <v>58</v>
      </c>
      <c r="F7" s="398"/>
      <c r="G7" s="399" t="s">
        <v>440</v>
      </c>
      <c r="H7" s="327"/>
      <c r="I7" s="328" t="s">
        <v>441</v>
      </c>
      <c r="J7" s="329"/>
      <c r="K7" s="328" t="s">
        <v>442</v>
      </c>
      <c r="L7" s="329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4" t="s">
        <v>439</v>
      </c>
      <c r="D1" s="326" t="s">
        <v>58</v>
      </c>
      <c r="E1" s="326"/>
      <c r="F1" s="327" t="s">
        <v>440</v>
      </c>
      <c r="G1" s="327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6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2026-09-25T04:31:02Z</dcterms:modified>
</cp:coreProperties>
</file>