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A65DD05-4CF0-47D0-B794-0FEF3CF0F3A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<sst xmlns="http://schemas.openxmlformats.org/spreadsheetml/2006/main" count="3883" uniqueCount="512">
  <si>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</si>
  <si>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</si>
  <si>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</si>
  <si>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</si>
  <si>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</si>
  <si>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</si>
  <si>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</si>
  <si>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</si>
  <si>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</si>
  <si>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</si>
  <si>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</si>
  <si>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</si>
  <si>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</si>
  <si>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</si>
  <si>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</si>
  <si>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</si>
  <si>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</si>
  <si>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</si>
  <si>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</si>
  <si>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</si>
  <si>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</si>
  <si>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</si>
  <si>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</si>
  <si>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</si>
  <si>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</si>
  <si>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</si>
  <si>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</si>
  <si>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</si>
  <si>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</si>
  <si>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</si>
  <si>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</si>
  <si>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</si>
  <si>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</si>
  <si>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</si>
  <si>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</si>
  <si>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</si>
  <si>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</si>
  <si>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</si>
  <si>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</si>
  <si>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</si>
  <si>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</si>
  <si>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</si>
  <si>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</si>
  <si>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</si>
  <si>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</si>
  <si>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</si>
  <si>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</si>
  <si>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</si>
  <si>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</si>
  <si>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</si>
  <si>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</si>
  <si>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</si>
  <si>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</si>
  <si>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</si>
  <si>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</si>
  <si>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</si>
  <si>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</si>
  <si>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</si>
  <si>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</si>
  <si>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</si>
  <si>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</si>
  <si>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</si>
  <si>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</si>
  <si>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</si>
  <si>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</si>
  <si>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</si>
  <si>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</si>
  <si>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</si>
  <si>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</si>
  <si>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</si>
  <si>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</si>
  <si>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</si>
  <si>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</si>
  <si>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</si>
  <si>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</si>
  <si>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</si>
  <si>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</si>
  <si>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</si>
  <si>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</si>
  <si>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</si>
  <si>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</si>
  <si>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</si>
  <si>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</si>
  <si>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</si>
  <si>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</si>
  <si>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</si>
  <si>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</si>
  <si>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</si>
  <si>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</si>
  <si>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</si>
  <si>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</si>
  <si>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</si>
  <si>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</si>
  <si>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</si>
  <si>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</si>
  <si>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</si>
  <si>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</si>
  <si>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</si>
  <si>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</si>
  <si>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</si>
  <si>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</si>
  <si>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</si>
  <si>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</si>
  <si>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</si>
  <si>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</si>
  <si>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</si>
  <si>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</si>
  <si>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</si>
  <si>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</si>
  <si>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</si>
  <si>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</si>
  <si>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</si>
  <si>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</si>
  <si>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</si>
  <si>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</si>
  <si>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</si>
  <si>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</si>
  <si>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</si>
  <si>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</si>
  <si>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</si>
  <si>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</si>
  <si>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</si>
  <si>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</si>
  <si>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</si>
  <si>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</si>
  <si>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</si>
  <si>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</si>
  <si>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</si>
  <si>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</si>
  <si>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</si>
  <si>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</si>
  <si>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</si>
  <si>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</si>
  <si>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</si>
  <si>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</si>
  <si>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</si>
  <si>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</si>
  <si>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</si>
  <si>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</si>
  <si>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</si>
  <si>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</si>
  <si>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</si>
  <si>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</si>
  <si>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</si>
  <si>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</si>
  <si>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</si>
  <si>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</si>
  <si>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</si>
  <si>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</si>
  <si>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</si>
  <si>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</si>
  <si>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</si>
  <si>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</si>
  <si>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</si>
  <si>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</si>
  <si>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</si>
  <si>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</si>
  <si>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</si>
  <si>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</si>
  <si>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</si>
  <si>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</si>
  <si>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</si>
  <si>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</si>
  <si>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</si>
  <si>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</si>
  <si>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</si>
  <si>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</si>
  <si>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</si>
  <si>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</si>
  <si>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</si>
  <si>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</si>
  <si>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</si>
  <si>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</si>
  <si>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</si>
  <si>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</si>
  <si>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</si>
  <si>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</si>
  <si>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</si>
  <si>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</si>
  <si>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</si>
  <si>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</si>
  <si>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</si>
  <si>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</si>
  <si>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</si>
  <si>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</si>
  <si>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</si>
  <si>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</si>
  <si>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</si>
  <si>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</si>
  <si>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</si>
  <si>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</si>
  <si>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</si>
  <si>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</si>
  <si>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</si>
  <si>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</si>
  <si>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</si>
  <si>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</si>
  <si>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</si>
  <si>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</si>
  <si>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</si>
  <si>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</si>
  <si>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</si>
  <si>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</si>
  <si>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</si>
  <si>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</si>
  <si>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</si>
  <si>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</si>
  <si>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</si>
  <si>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</si>
  <si>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</si>
  <si>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</si>
  <si>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</si>
  <si>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</si>
  <si>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</si>
  <si>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</si>
  <si>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</si>
  <si>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</si>
  <si>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</si>
  <si>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</si>
  <si>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</si>
  <si>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</si>
  <si>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</si>
  <si>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</si>
  <si>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</si>
  <si>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</si>
  <si>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</si>
  <si>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</si>
  <si>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</si>
  <si>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</si>
  <si>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</si>
  <si>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</si>
  <si>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</si>
  <si>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</si>
  <si>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</si>
  <si>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</si>
  <si>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</si>
  <si>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</si>
  <si>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</si>
  <si>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</si>
  <si>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</si>
  <si>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</si>
  <si>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</si>
  <si>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</si>
  <si>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</si>
  <si>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</si>
  <si>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</si>
  <si>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</si>
  <si>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</si>
  <si>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</si>
  <si>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</si>
  <si>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</si>
  <si>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</si>
  <si>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</si>
  <si>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</si>
  <si>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</si>
  <si>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</si>
  <si>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</si>
  <si>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</si>
  <si>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</si>
  <si>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</si>
  <si>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</si>
  <si>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</si>
  <si>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</si>
  <si>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</si>
  <si>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</si>
  <si>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</si>
  <si>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</si>
  <si>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</si>
  <si>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</si>
  <si>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</si>
  <si>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</si>
  <si>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</si>
  <si>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</si>
  <si>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</si>
  <si>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</si>
  <si>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</si>
  <si>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</si>
  <si>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</si>
  <si>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</si>
  <si>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</si>
  <si>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</si>
  <si>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</si>
  <si>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</si>
  <si>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</si>
  <si>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</si>
  <si>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</si>
  <si>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</si>
  <si>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</si>
  <si>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</si>
  <si>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</si>
  <si>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</si>
  <si>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</si>
  <si>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</si>
  <si>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</si>
  <si>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</si>
  <si>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</si>
  <si>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</si>
  <si>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</si>
  <si>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</si>
  <si>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</si>
  <si>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</si>
  <si>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</si>
  <si>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</si>
  <si>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</si>
  <si>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</si>
  <si>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</si>
  <si>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</si>
  <si>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</si>
  <si>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</si>
  <si>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</si>
  <si>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</si>
  <si>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</si>
  <si>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</si>
  <si>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</si>
  <si>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</si>
  <si>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</si>
  <si>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</si>
  <si>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</si>
  <si>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</si>
  <si>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</si>
  <si>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</si>
  <si>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</si>
  <si>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</si>
  <si>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</si>
  <si>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</si>
  <si>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</si>
  <si>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</si>
  <si>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</si>
  <si>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</si>
  <si>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</si>
  <si>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</si>
  <si>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</si>
  <si>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</si>
  <si>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</si>
  <si>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</si>
  <si>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</si>
  <si>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</si>
  <si>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</si>
  <si>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</si>
  <si>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</si>
  <si>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</si>
  <si>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</si>
  <si>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</si>
  <si>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</si>
  <si>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</si>
  <si>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</si>
  <si>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</si>
  <si>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</si>
  <si>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</si>
  <si>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</si>
  <si>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</si>
  <si>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</si>
  <si>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</si>
  <si>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</si>
  <si>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</si>
  <si>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</si>
  <si>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</si>
  <si>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</si>
  <si>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</si>
  <si>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</si>
  <si>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</si>
  <si>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</si>
  <si>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</si>
  <si>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</si>
  <si>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</si>
  <si>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</si>
  <si>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</si>
  <si>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</si>
  <si>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</si>
  <si>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</si>
  <si>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</si>
  <si>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</si>
  <si>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</si>
  <si>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</si>
  <si>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</si>
  <si>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</si>
  <si>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</si>
  <si>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</si>
  <si>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</si>
  <si>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</si>
  <si>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</si>
  <si>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</si>
  <si>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</si>
  <si>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</si>
  <si>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</si>
  <si>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</si>
  <si>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</si>
  <si>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</si>
  <si>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</si>
  <si>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</si>
  <si>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</si>
  <si>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</si>
  <si>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</si>
  <si>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</si>
  <si>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</si>
  <si>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</si>
  <si>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</si>
  <si>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</si>
  <si>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</si>
  <si>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</si>
  <si>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</si>
  <si>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</si>
  <si>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</si>
  <si>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</si>
  <si>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</si>
  <si>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</si>
  <si>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</si>
  <si>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</si>
  <si>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</si>
  <si>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</si>
  <si>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</si>
  <si>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</si>
  <si>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</si>
  <si>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</si>
  <si>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</si>
  <si>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</si>
  <si>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</si>
  <si>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</si>
  <si>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</si>
  <si>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</si>
  <si>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</si>
  <si>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</si>
  <si>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</si>
  <si>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</si>
  <si>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</si>
  <si>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</si>
  <si>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</si>
  <si>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</si>
  <si>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</si>
  <si>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</si>
  <si>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</si>
  <si>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</si>
  <si>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</si>
  <si>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</si>
  <si>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</si>
  <si>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</si>
  <si>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</si>
  <si>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</si>
  <si>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</si>
  <si>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</si>
  <si>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</si>
  <si>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</si>
  <si>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</si>
  <si>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</si>
  <si>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</si>
  <si>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</si>
  <si>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</si>
  <si>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</si>
  <si>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</si>
  <si>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</si>
  <si>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</si>
  <si>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</si>
  <si>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</si>
  <si>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</si>
  <si>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</si>
  <si>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</si>
  <si>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</si>
  <si>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</si>
  <si>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</si>
  <si>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</si>
  <si>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</si>
  <si>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</si>
  <si>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</si>
  <si>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</si>
  <si>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</si>
  <si>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</si>
  <si>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</si>
  <si>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</si>
  <si>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</si>
  <si>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</si>
  <si>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</si>
  <si>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</si>
  <si>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</si>
  <si>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</si>
  <si>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</si>
  <si>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</si>
  <si>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</si>
  <si>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</si>
  <si>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</si>
  <si>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</si>
  <si>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</si>
  <si>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</si>
  <si>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</si>
  <si>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</si>
  <si>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</si>
  <si>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</si>
  <si>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</si>
  <si>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</si>
  <si>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</si>
  <si>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</si>
  <si>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</si>
  <si>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</si>
  <si>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</si>
  <si>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</si>
  <si>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</si>
  <si>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</si>
  <si>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</si>
  <si>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</si>
  <si>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</si>
  <si>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</si>
  <si>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</si>
  <si>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</si>
  <si>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</si>
  <si>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</si>
  <si>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</si>
  <si>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</si>
  <si>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</si>
  <si>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</si>
  <si>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NTN: 4890950-8</t>
  </si>
  <si>
    <t xml:space="preserve">Address:Behria Town </t>
  </si>
  <si>
    <t>Euro Store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</si>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</sst>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9" t="s">
        <v>91</v>
      </c>
      <c r="B2" s="359"/>
      <c r="C2" s="359"/>
      <c r="E2" s="346" t="s">
        <v>498</v>
      </c>
      <c r="F2" s="347"/>
      <c r="G2" s="347"/>
      <c r="H2" s="344" t="s">
        <v>500</v>
      </c>
      <c r="I2" s="344"/>
      <c r="J2" s="345"/>
      <c r="R2" s="341" t="s">
        <v>497</v>
      </c>
      <c r="S2" s="342"/>
      <c r="T2" s="343"/>
    </row>
    <row r="3" spans="1:20 16377:16378" ht="21.75" customHeight="1" thickBot="1" x14ac:dyDescent="0.4">
      <c r="A3" s="360" t="s">
        <v>92</v>
      </c>
      <c r="B3" s="360"/>
      <c r="C3" s="360"/>
      <c r="E3" s="350" t="s">
        <v>499</v>
      </c>
      <c r="F3" s="351"/>
      <c r="G3" s="351"/>
      <c r="H3" s="348">
        <f>+'1'!N4:N4</f>
        <v>46290</v>
      </c>
      <c r="I3" s="348"/>
      <c r="J3" s="349"/>
      <c r="K3" s="361" t="s">
        <v>43</v>
      </c>
      <c r="L3" s="361"/>
      <c r="M3" s="361"/>
      <c r="N3" s="360"/>
      <c r="O3" s="360"/>
      <c r="P3" s="360"/>
      <c r="R3" s="299">
        <v>1</v>
      </c>
      <c r="S3" s="300" t="str">
        <f>+'1'!A6:A6</f>
        <v>Euro Store</v>
      </c>
      <c r="T3" s="301">
        <f>+'1'!P35</f>
        <v>152985.47813771185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0" t="s">
        <v>51</v>
      </c>
      <c r="B5" s="352"/>
      <c r="C5" s="382" t="s">
        <v>90</v>
      </c>
      <c r="D5" s="115" t="s">
        <v>52</v>
      </c>
      <c r="E5" s="384" t="s">
        <v>58</v>
      </c>
      <c r="F5" s="385"/>
      <c r="G5" s="357" t="s">
        <v>54</v>
      </c>
      <c r="H5" s="358"/>
      <c r="I5" s="386" t="s">
        <v>77</v>
      </c>
      <c r="J5" s="356" t="s">
        <v>55</v>
      </c>
      <c r="K5" s="357"/>
      <c r="L5" s="358"/>
      <c r="M5" s="352" t="s">
        <v>84</v>
      </c>
      <c r="N5" s="354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1"/>
      <c r="B6" s="353"/>
      <c r="C6" s="38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53"/>
      <c r="N6" s="35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106.39363347457628</v>
      </c>
      <c r="P7" s="118">
        <f>M7+N7+O7</f>
        <v>21385.120328389832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2937.9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17312.625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106.39363347457628</v>
      </c>
      <c r="P8" s="119">
        <f t="shared" ref="P8:P15" si="2">M8+N8+O8</f>
        <v>21385.120328389832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400</v>
      </c>
      <c r="I9" s="236">
        <f t="shared" si="0"/>
        <v>20985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2937.9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734.47500000000002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17312.625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3966.1016949152527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106.39363347457628</v>
      </c>
      <c r="P9" s="119">
        <f t="shared" si="2"/>
        <v>21385.120328389832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4067.8400000000006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23971.199999999997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147.31362711864406</v>
      </c>
      <c r="P10" s="119">
        <f t="shared" si="2"/>
        <v>29610.039050847456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4067.8400000000006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1016.9600000000002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23971.199999999997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147.31362711864406</v>
      </c>
      <c r="P11" s="119">
        <f t="shared" si="2"/>
        <v>29610.039050847456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4067.8400000000006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23971.199999999997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147.31362711864406</v>
      </c>
      <c r="P12" s="119">
        <f t="shared" si="2"/>
        <v>29610.039050847456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62">
        <f>COUNT(A7:A15)</f>
        <v>0</v>
      </c>
      <c r="B16" s="363"/>
      <c r="C16" s="363" t="s">
        <v>40</v>
      </c>
      <c r="D16" s="363"/>
      <c r="E16" s="363"/>
      <c r="F16" s="364"/>
      <c r="G16" s="117">
        <f t="shared" ref="G16:M16" si="3">SUM(G7:G15)</f>
        <v>0</v>
      </c>
      <c r="H16" s="113">
        <f t="shared" si="3"/>
        <v>2400</v>
      </c>
      <c r="I16" s="114">
        <f t="shared" si="3"/>
        <v>150123</v>
      </c>
      <c r="J16" s="274">
        <f>SUM(J7:J15)</f>
        <v>21017.22</v>
      </c>
      <c r="K16" s="275">
        <f t="shared" si="3"/>
        <v>5254.3050000000003</v>
      </c>
      <c r="L16" s="276">
        <f t="shared" si="3"/>
        <v>0</v>
      </c>
      <c r="M16" s="232">
        <f t="shared" si="3"/>
        <v>123851.47499999999</v>
      </c>
      <c r="N16" s="233">
        <f>SUM(N7:N15)</f>
        <v>28372.881355932201</v>
      </c>
      <c r="O16" s="101">
        <f>SUM(O7:O15)</f>
        <v>761.12178177966098</v>
      </c>
      <c r="P16" s="234">
        <f>SUM(P7:P15)</f>
        <v>152985.47813771185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65" t="s">
        <v>64</v>
      </c>
      <c r="C19" s="366"/>
      <c r="D19" s="366"/>
      <c r="E19" s="366"/>
      <c r="F19" s="366"/>
      <c r="G19" s="366"/>
      <c r="H19" s="366"/>
      <c r="I19" s="366"/>
      <c r="J19" s="366"/>
      <c r="K19" s="366"/>
      <c r="L19" s="367"/>
      <c r="N19" s="374" t="s">
        <v>60</v>
      </c>
      <c r="O19" s="375"/>
      <c r="P19" s="139">
        <f>I16</f>
        <v>150123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68"/>
      <c r="C20" s="369"/>
      <c r="D20" s="369"/>
      <c r="E20" s="369"/>
      <c r="F20" s="369"/>
      <c r="G20" s="369"/>
      <c r="H20" s="369"/>
      <c r="I20" s="369"/>
      <c r="J20" s="369"/>
      <c r="K20" s="369"/>
      <c r="L20" s="370"/>
      <c r="N20" s="376" t="s">
        <v>85</v>
      </c>
      <c r="O20" s="377"/>
      <c r="P20" s="140">
        <f>+J16</f>
        <v>21017.22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68"/>
      <c r="C21" s="369"/>
      <c r="D21" s="369"/>
      <c r="E21" s="369"/>
      <c r="F21" s="369"/>
      <c r="G21" s="369"/>
      <c r="H21" s="369"/>
      <c r="I21" s="369"/>
      <c r="J21" s="369"/>
      <c r="K21" s="369"/>
      <c r="L21" s="370"/>
      <c r="N21" s="376" t="s">
        <v>86</v>
      </c>
      <c r="O21" s="377"/>
      <c r="P21" s="140">
        <f>+K16+L16</f>
        <v>5254.3050000000003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70"/>
      <c r="M22" s="131"/>
      <c r="N22" s="376" t="s">
        <v>87</v>
      </c>
      <c r="O22" s="377"/>
      <c r="P22" s="140">
        <f>P19-P20-P21</f>
        <v>123851.47500000001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68"/>
      <c r="C23" s="369"/>
      <c r="D23" s="369"/>
      <c r="E23" s="369"/>
      <c r="F23" s="369"/>
      <c r="G23" s="369"/>
      <c r="H23" s="369"/>
      <c r="I23" s="369"/>
      <c r="J23" s="369"/>
      <c r="K23" s="369"/>
      <c r="L23" s="370"/>
      <c r="M23" s="131"/>
      <c r="N23" s="136" t="s">
        <v>61</v>
      </c>
      <c r="O23" s="133">
        <v>0.18</v>
      </c>
      <c r="P23" s="140">
        <f>+N16</f>
        <v>28372.881355932201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68"/>
      <c r="C24" s="369"/>
      <c r="D24" s="369"/>
      <c r="E24" s="369"/>
      <c r="F24" s="369"/>
      <c r="G24" s="369"/>
      <c r="H24" s="369"/>
      <c r="I24" s="369"/>
      <c r="J24" s="369"/>
      <c r="K24" s="369"/>
      <c r="L24" s="370"/>
      <c r="M24" s="131"/>
      <c r="N24" s="378" t="s">
        <v>76</v>
      </c>
      <c r="O24" s="379"/>
      <c r="P24" s="140">
        <f>P22+P23</f>
        <v>152224.35635593219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71"/>
      <c r="C25" s="372"/>
      <c r="D25" s="372"/>
      <c r="E25" s="372"/>
      <c r="F25" s="372"/>
      <c r="G25" s="372"/>
      <c r="H25" s="372"/>
      <c r="I25" s="372"/>
      <c r="J25" s="372"/>
      <c r="K25" s="372"/>
      <c r="L25" s="373"/>
      <c r="M25" s="99"/>
      <c r="N25" s="138" t="s">
        <v>83</v>
      </c>
      <c r="O25" s="137" t="e">
        <f>IF(#REF!="Filer",0.5%,2.5%)</f>
        <v>#REF!</v>
      </c>
      <c r="P25" s="140">
        <f>+O16</f>
        <v>761.12178177966098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35" t="s">
        <v>88</v>
      </c>
      <c r="O26" s="336"/>
      <c r="P26" s="297">
        <f>+P24+P25</f>
        <v>152985.47813771185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7"/>
      <c r="D27" s="337"/>
      <c r="E27" s="337"/>
      <c r="F27" s="337"/>
      <c r="G27" s="337"/>
      <c r="H27" s="337"/>
      <c r="I27" s="338"/>
      <c r="J27" s="339"/>
      <c r="K27" s="340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152985.47813771185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7.2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502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2937.9</v>
      </c>
      <c r="K16" s="127">
        <f>$I16*T16</f>
        <v>734.47500000000002</v>
      </c>
      <c r="L16" s="118">
        <f>$I16*U16</f>
        <v>0</v>
      </c>
      <c r="M16" s="229">
        <f>I16-SUM(J16:L16)</f>
        <v>17312.625</v>
      </c>
      <c r="N16" s="248">
        <f>+(G16*D16+H16)*V16</f>
        <v>3966.1016949152527</v>
      </c>
      <c r="O16" s="238">
        <f>(N16+M16)*$O$15</f>
        <v>106.39363347457628</v>
      </c>
      <c r="P16" s="118">
        <f>M16+N16+O16</f>
        <v>21385.120328389832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400</v>
      </c>
      <c r="I17" s="236">
        <f t="shared" ref="I17:I23" si="0">(G17*D17)*F17+H17*F17</f>
        <v>20985</v>
      </c>
      <c r="J17" s="272">
        <f t="shared" ref="J17:L24" si="1">$I17*S17</f>
        <v>2937.9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17312.625</v>
      </c>
      <c r="N17" s="277">
        <f t="shared" ref="N17:N24" si="3">+(G17*D17+H17)*V17</f>
        <v>3966.1016949152527</v>
      </c>
      <c r="O17" s="239">
        <f t="shared" ref="O17:O24" si="4">(N17+M17)*$O$15</f>
        <v>106.39363347457628</v>
      </c>
      <c r="P17" s="119">
        <f t="shared" ref="P17:P24" si="5">M17+N17+O17</f>
        <v>21385.120328389832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400</v>
      </c>
      <c r="I18" s="236">
        <f t="shared" ref="I18:I21" si="7">(G18*D18)*F18+H18*F18</f>
        <v>20985</v>
      </c>
      <c r="J18" s="272">
        <f t="shared" si="1"/>
        <v>2937.9</v>
      </c>
      <c r="K18" s="128">
        <f t="shared" si="1"/>
        <v>734.47500000000002</v>
      </c>
      <c r="L18" s="119">
        <f t="shared" si="1"/>
        <v>0</v>
      </c>
      <c r="M18" s="230">
        <f t="shared" si="2"/>
        <v>17312.625</v>
      </c>
      <c r="N18" s="277">
        <f t="shared" si="3"/>
        <v>3966.1016949152527</v>
      </c>
      <c r="O18" s="239">
        <f t="shared" si="4"/>
        <v>106.39363347457628</v>
      </c>
      <c r="P18" s="119">
        <f t="shared" si="5"/>
        <v>21385.120328389832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4067.8400000000006</v>
      </c>
      <c r="K19" s="128">
        <f t="shared" si="1"/>
        <v>1016.9600000000002</v>
      </c>
      <c r="L19" s="119">
        <f t="shared" si="1"/>
        <v>0</v>
      </c>
      <c r="M19" s="230">
        <f t="shared" si="2"/>
        <v>23971.199999999997</v>
      </c>
      <c r="N19" s="277">
        <f t="shared" si="3"/>
        <v>5491.5254237288136</v>
      </c>
      <c r="O19" s="239">
        <f t="shared" si="4"/>
        <v>147.31362711864406</v>
      </c>
      <c r="P19" s="119">
        <f t="shared" si="5"/>
        <v>29610.039050847456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400</v>
      </c>
      <c r="I20" s="236">
        <f t="shared" si="7"/>
        <v>29056</v>
      </c>
      <c r="J20" s="272">
        <f t="shared" si="1"/>
        <v>4067.8400000000006</v>
      </c>
      <c r="K20" s="128">
        <f t="shared" si="1"/>
        <v>1016.9600000000002</v>
      </c>
      <c r="L20" s="119">
        <f t="shared" si="1"/>
        <v>0</v>
      </c>
      <c r="M20" s="230">
        <f t="shared" si="2"/>
        <v>23971.199999999997</v>
      </c>
      <c r="N20" s="277">
        <f t="shared" si="3"/>
        <v>5491.5254237288136</v>
      </c>
      <c r="O20" s="239">
        <f t="shared" si="4"/>
        <v>147.31362711864406</v>
      </c>
      <c r="P20" s="119">
        <f t="shared" si="5"/>
        <v>29610.039050847456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1016.9600000000002</v>
      </c>
      <c r="L21" s="119">
        <f t="shared" si="1"/>
        <v>0</v>
      </c>
      <c r="M21" s="230">
        <f t="shared" si="2"/>
        <v>23971.199999999997</v>
      </c>
      <c r="N21" s="277">
        <f t="shared" si="3"/>
        <v>5491.5254237288136</v>
      </c>
      <c r="O21" s="239">
        <f t="shared" si="4"/>
        <v>147.31362711864406</v>
      </c>
      <c r="P21" s="119">
        <f t="shared" si="5"/>
        <v>29610.039050847456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150123</v>
      </c>
      <c r="J25" s="274">
        <f>SUM(J16:J24)</f>
        <v>21017.22</v>
      </c>
      <c r="K25" s="275">
        <f t="shared" si="10"/>
        <v>5254.3050000000003</v>
      </c>
      <c r="L25" s="276">
        <f t="shared" si="10"/>
        <v>0</v>
      </c>
      <c r="M25" s="232">
        <f t="shared" si="10"/>
        <v>123851.47499999999</v>
      </c>
      <c r="N25" s="233">
        <f>SUM(N16:N24)</f>
        <v>28372.881355932201</v>
      </c>
      <c r="O25" s="101">
        <f>SUM(O16:O24)</f>
        <v>761.12178177966098</v>
      </c>
      <c r="P25" s="234">
        <f>SUM(P16:P24)</f>
        <v>152985.47813771185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150123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21017.22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5254.3050000000003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123851.47500000001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28372.881355932201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152224.35635593219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761.12178177966098</v>
      </c>
    </row>
    <row r="35" spans="2:16" ht="15.75" customHeight="1" thickBot="1" x14ac:dyDescent="0.4">
      <c r="N35" s="335" t="s">
        <v>88</v>
      </c>
      <c r="O35" s="336"/>
      <c r="P35" s="297">
        <f>+P33+P34</f>
        <v>152985.47813771185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504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8.7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8.7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511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508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509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9" t="s">
        <v>91</v>
      </c>
      <c r="B2" s="359"/>
      <c r="C2" s="359"/>
    </row>
    <row r="3" spans="1:18 16382:16383" ht="15" customHeight="1" x14ac:dyDescent="0.35">
      <c r="A3" s="360" t="s">
        <v>92</v>
      </c>
      <c r="B3" s="360"/>
      <c r="C3" s="360"/>
      <c r="F3" s="85"/>
      <c r="G3" s="1"/>
      <c r="J3" s="361" t="s">
        <v>43</v>
      </c>
      <c r="K3" s="361"/>
      <c r="L3" s="361"/>
      <c r="M3" s="360"/>
      <c r="N3" s="360"/>
      <c r="O3" s="36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0" t="s">
        <v>65</v>
      </c>
      <c r="B4" s="360"/>
      <c r="C4" s="360"/>
      <c r="F4" s="85"/>
      <c r="G4" s="1"/>
      <c r="J4" s="361" t="s">
        <v>44</v>
      </c>
      <c r="K4" s="361"/>
      <c r="L4" s="361"/>
      <c r="M4" s="391">
        <f ca="1">TODAY()+1</f>
        <v>46292</v>
      </c>
      <c r="N4" s="391"/>
      <c r="O4" s="39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61" t="s">
        <v>45</v>
      </c>
      <c r="K5" s="361"/>
      <c r="L5" s="361"/>
      <c r="M5" s="391">
        <f ca="1">M4-1</f>
        <v>46291</v>
      </c>
      <c r="N5" s="360"/>
      <c r="O5" s="360"/>
      <c r="Q5" s="85"/>
      <c r="R5" s="1"/>
    </row>
    <row r="6" spans="1:18 16382:16383" ht="15" customHeight="1" x14ac:dyDescent="0.35">
      <c r="A6" s="361" t="s">
        <v>94</v>
      </c>
      <c r="B6" s="361"/>
      <c r="C6" s="361"/>
      <c r="F6" s="85"/>
      <c r="G6" s="86"/>
      <c r="J6" s="361" t="s">
        <v>69</v>
      </c>
      <c r="K6" s="361"/>
      <c r="L6" s="361"/>
      <c r="M6" s="390" t="s">
        <v>62</v>
      </c>
      <c r="N6" s="390"/>
      <c r="O6" s="39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1" t="s">
        <v>73</v>
      </c>
      <c r="B7" s="361"/>
      <c r="C7" s="361"/>
      <c r="F7" s="85"/>
      <c r="G7" s="86"/>
      <c r="J7" s="361" t="s">
        <v>66</v>
      </c>
      <c r="K7" s="361"/>
      <c r="L7" s="361"/>
      <c r="M7" s="390" t="s">
        <v>70</v>
      </c>
      <c r="N7" s="390"/>
      <c r="O7" s="39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61" t="s">
        <v>67</v>
      </c>
      <c r="K8" s="361"/>
      <c r="L8" s="361"/>
      <c r="M8" s="390" t="s">
        <v>71</v>
      </c>
      <c r="N8" s="390"/>
      <c r="O8" s="390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61" t="s">
        <v>68</v>
      </c>
      <c r="K9" s="361"/>
      <c r="L9" s="361"/>
      <c r="M9" s="390" t="s">
        <v>104</v>
      </c>
      <c r="N9" s="390"/>
      <c r="O9" s="390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61" t="s">
        <v>46</v>
      </c>
      <c r="K10" s="361"/>
      <c r="L10" s="361"/>
      <c r="M10" s="360" t="s">
        <v>47</v>
      </c>
      <c r="N10" s="360"/>
      <c r="O10" s="36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1" t="s">
        <v>48</v>
      </c>
      <c r="K11" s="361"/>
      <c r="L11" s="361"/>
      <c r="M11" s="360" t="s">
        <v>49</v>
      </c>
      <c r="N11" s="360"/>
      <c r="O11" s="36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1" t="s">
        <v>50</v>
      </c>
      <c r="K12" s="361"/>
      <c r="L12" s="361"/>
      <c r="M12" s="360"/>
      <c r="N12" s="360"/>
      <c r="O12" s="36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0" t="s">
        <v>51</v>
      </c>
      <c r="B14" s="352"/>
      <c r="C14" s="382" t="s">
        <v>90</v>
      </c>
      <c r="D14" s="88" t="s">
        <v>52</v>
      </c>
      <c r="E14" s="95" t="s">
        <v>74</v>
      </c>
      <c r="F14" s="115" t="s">
        <v>53</v>
      </c>
      <c r="G14" s="356" t="s">
        <v>54</v>
      </c>
      <c r="H14" s="358"/>
      <c r="I14" s="386" t="s">
        <v>77</v>
      </c>
      <c r="J14" s="357" t="s">
        <v>55</v>
      </c>
      <c r="K14" s="358"/>
      <c r="L14" s="38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1"/>
      <c r="B15" s="353"/>
      <c r="C15" s="38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7"/>
      <c r="M28" s="374" t="s">
        <v>60</v>
      </c>
      <c r="N28" s="375"/>
      <c r="O28" s="139">
        <f>I25</f>
        <v>1452.8</v>
      </c>
    </row>
    <row r="29" spans="1:18 16383:16383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70"/>
      <c r="M29" s="376" t="s">
        <v>85</v>
      </c>
      <c r="N29" s="377"/>
      <c r="O29" s="140">
        <f>K25</f>
        <v>0</v>
      </c>
    </row>
    <row r="30" spans="1:18 16383:16383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70"/>
      <c r="M30" s="376" t="s">
        <v>86</v>
      </c>
      <c r="N30" s="377"/>
      <c r="O30" s="140">
        <f>J25</f>
        <v>50.848000000000006</v>
      </c>
    </row>
    <row r="31" spans="1:18 16383:16383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70"/>
      <c r="L31" s="131"/>
      <c r="M31" s="376" t="s">
        <v>87</v>
      </c>
      <c r="N31" s="377"/>
      <c r="O31" s="140">
        <f>O28-O29-O30</f>
        <v>1401.952</v>
      </c>
    </row>
    <row r="32" spans="1:18 16383:16383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7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70"/>
      <c r="L33" s="131"/>
      <c r="M33" s="378" t="s">
        <v>76</v>
      </c>
      <c r="N33" s="379"/>
      <c r="O33" s="140">
        <f>O31+O32</f>
        <v>1710.3814400000001</v>
      </c>
    </row>
    <row r="34" spans="2:15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5" t="s">
        <v>88</v>
      </c>
      <c r="N35" s="336"/>
      <c r="O35" s="141">
        <f>O28-O29+O31+O34</f>
        <v>2897.511536</v>
      </c>
    </row>
    <row r="36" spans="2:15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401" t="s">
        <v>441</v>
      </c>
      <c r="J1" s="401"/>
      <c r="K1" s="401" t="s">
        <v>442</v>
      </c>
      <c r="L1" s="401"/>
      <c r="M1" s="396" t="s">
        <v>484</v>
      </c>
      <c r="N1" s="397"/>
      <c r="O1" s="398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9" t="s">
        <v>476</v>
      </c>
      <c r="D6" s="399"/>
      <c r="E6" s="399"/>
      <c r="F6" s="399"/>
      <c r="G6" s="399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5" t="s">
        <v>58</v>
      </c>
      <c r="F7" s="395"/>
      <c r="G7" s="393" t="s">
        <v>440</v>
      </c>
      <c r="H7" s="328"/>
      <c r="I7" s="329" t="s">
        <v>441</v>
      </c>
      <c r="J7" s="330"/>
      <c r="K7" s="329" t="s">
        <v>442</v>
      </c>
      <c r="L7" s="330"/>
      <c r="M7" s="396" t="s">
        <v>484</v>
      </c>
      <c r="N7" s="397"/>
      <c r="O7" s="398"/>
      <c r="P7" s="256" t="s">
        <v>475</v>
      </c>
      <c r="Q7" s="242" t="s">
        <v>473</v>
      </c>
      <c r="R7" s="394" t="s">
        <v>475</v>
      </c>
      <c r="S7" s="394" t="s">
        <v>485</v>
      </c>
      <c r="T7" s="392" t="s">
        <v>486</v>
      </c>
      <c r="U7" s="392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3"/>
      <c r="U8" s="39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0" t="s">
        <v>477</v>
      </c>
      <c r="D12" s="400"/>
      <c r="E12" s="400"/>
      <c r="F12" s="400"/>
      <c r="G12" s="400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6" t="s">
        <v>484</v>
      </c>
      <c r="N13" s="397"/>
      <c r="O13" s="398"/>
      <c r="P13" s="256" t="s">
        <v>475</v>
      </c>
      <c r="Q13" s="242" t="s">
        <v>473</v>
      </c>
      <c r="R13" s="394" t="s">
        <v>475</v>
      </c>
      <c r="S13" s="394" t="s">
        <v>485</v>
      </c>
      <c r="T13" s="392" t="s">
        <v>486</v>
      </c>
      <c r="U13" s="392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3"/>
      <c r="U14" s="39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9" t="s">
        <v>478</v>
      </c>
      <c r="D19" s="399"/>
      <c r="E19" s="399"/>
      <c r="F19" s="399"/>
      <c r="G19" s="399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6" t="s">
        <v>484</v>
      </c>
      <c r="N20" s="397"/>
      <c r="O20" s="398"/>
      <c r="P20" s="256" t="s">
        <v>475</v>
      </c>
      <c r="Q20" s="242" t="s">
        <v>473</v>
      </c>
      <c r="R20" s="394" t="s">
        <v>475</v>
      </c>
      <c r="S20" s="394" t="s">
        <v>485</v>
      </c>
      <c r="T20" s="392" t="s">
        <v>486</v>
      </c>
      <c r="U20" s="392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3"/>
      <c r="U21" s="39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9" t="s">
        <v>479</v>
      </c>
      <c r="D26" s="399"/>
      <c r="E26" s="399"/>
      <c r="F26" s="399"/>
      <c r="G26" s="399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6" t="s">
        <v>484</v>
      </c>
      <c r="N27" s="397"/>
      <c r="O27" s="398"/>
      <c r="P27" s="256" t="s">
        <v>475</v>
      </c>
      <c r="Q27" s="242" t="s">
        <v>473</v>
      </c>
      <c r="R27" s="394" t="s">
        <v>475</v>
      </c>
      <c r="S27" s="394" t="s">
        <v>485</v>
      </c>
      <c r="T27" s="392" t="s">
        <v>486</v>
      </c>
      <c r="U27" s="392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3"/>
      <c r="U28" s="39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401" t="s">
        <v>441</v>
      </c>
      <c r="I1" s="401"/>
      <c r="J1" s="401" t="s">
        <v>442</v>
      </c>
      <c r="K1" s="401"/>
      <c r="L1" s="396" t="s">
        <v>484</v>
      </c>
      <c r="M1" s="397"/>
      <c r="N1" s="398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2026-09-26T04:31:46Z</dcterms:modified>
</cp:coreProperties>
</file>