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92B41A8-2E05-4A69-92AA-85BF3F675A33}" xr6:coauthVersionLast="47" xr6:coauthVersionMax="47" xr10:uidLastSave="{00000000-0000-0000-0000-000000000000}"/>
  <bookViews>
    <workbookView xWindow="-110" yWindow="-110" windowWidth="19420" windowHeight="10420" tabRatio="948" firstSheet="3" activeTab="11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 s="1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8" i="48" l="1"/>
  <c r="M20" i="48"/>
  <c r="O20" i="48" s="1"/>
  <c r="P20" i="48" s="1"/>
  <c r="M16" i="48"/>
  <c r="J7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<sst xmlns="http://schemas.openxmlformats.org/spreadsheetml/2006/main" count="3948" uniqueCount="525">
  <si>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</si>
  <si>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</si>
  <si>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</si>
  <si>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</si>
  <si>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</si>
  <si>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</si>
  <si>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</si>
  <si>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</si>
  <si>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</si>
  <si>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</si>
  <si>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</si>
  <si>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</si>
  <si>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</si>
  <si>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</si>
  <si>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</si>
  <si>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</si>
  <si>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</si>
  <si>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</si>
  <si>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</si>
  <si>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</si>
  <si>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</si>
  <si>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</si>
  <si>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</si>
  <si>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</si>
  <si>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</si>
  <si>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</si>
  <si>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</si>
  <si>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</si>
  <si>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</si>
  <si>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</si>
  <si>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</si>
  <si>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</si>
  <si>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</si>
  <si>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</si>
  <si>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</si>
  <si>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</si>
  <si>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</si>
  <si>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</si>
  <si>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</si>
  <si>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</si>
  <si>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</si>
  <si>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</si>
  <si>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</si>
  <si>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</si>
  <si>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</si>
  <si>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</si>
  <si>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</si>
  <si>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</si>
  <si>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</si>
  <si>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</si>
  <si>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</si>
  <si>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</si>
  <si>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</si>
  <si>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</si>
  <si>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</si>
  <si>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</si>
  <si>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</si>
  <si>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</si>
  <si>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</si>
  <si>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</si>
  <si>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</si>
  <si>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</si>
  <si>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</si>
  <si>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</si>
  <si>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</si>
  <si>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</si>
  <si>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</si>
  <si>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</si>
  <si>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</si>
  <si>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</si>
  <si>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</si>
  <si>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</si>
  <si>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</si>
  <si>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</si>
  <si>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</si>
  <si>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</si>
  <si>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</si>
  <si>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</si>
  <si>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</si>
  <si>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</si>
  <si>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</si>
  <si>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</si>
  <si>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</si>
  <si>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</si>
  <si>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</si>
  <si>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</si>
  <si>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</si>
  <si>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</si>
  <si>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</si>
  <si>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</si>
  <si>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</si>
  <si>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</si>
  <si>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</si>
  <si>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</si>
  <si>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</si>
  <si>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</si>
  <si>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</si>
  <si>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</si>
  <si>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</si>
  <si>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</si>
  <si>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</si>
  <si>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</si>
  <si>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</si>
  <si>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</si>
  <si>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</si>
  <si>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</si>
  <si>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</si>
  <si>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</si>
  <si>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</si>
  <si>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</si>
  <si>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</si>
  <si>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</si>
  <si>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</si>
  <si>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</si>
  <si>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</si>
  <si>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</si>
  <si>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</si>
  <si>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</si>
  <si>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</si>
  <si>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</si>
  <si>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</si>
  <si>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</si>
  <si>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</si>
  <si>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</si>
  <si>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</si>
  <si>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</si>
  <si>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</si>
  <si>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</si>
  <si>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</si>
  <si>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</si>
  <si>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</si>
  <si>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</si>
  <si>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</si>
  <si>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</si>
  <si>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</si>
  <si>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</si>
  <si>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</si>
  <si>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</si>
  <si>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</si>
  <si>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</si>
  <si>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</si>
  <si>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</si>
  <si>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</si>
  <si>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</si>
  <si>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</si>
  <si>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</si>
  <si>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</si>
  <si>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</si>
  <si>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</si>
  <si>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</si>
  <si>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</si>
  <si>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</si>
  <si>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</si>
  <si>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</si>
  <si>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</si>
  <si>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</si>
  <si>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</si>
  <si>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</si>
  <si>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</si>
  <si>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</si>
  <si>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</si>
  <si>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</si>
  <si>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</si>
  <si>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</si>
  <si>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</si>
  <si>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</si>
  <si>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</si>
  <si>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</si>
  <si>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</si>
  <si>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</si>
  <si>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</si>
  <si>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</si>
  <si>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</si>
  <si>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</si>
  <si>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</si>
  <si>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</si>
  <si>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</si>
  <si>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</si>
  <si>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</si>
  <si>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</si>
  <si>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</si>
  <si>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</si>
  <si>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</si>
  <si>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</si>
  <si>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</si>
  <si>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</si>
  <si>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</si>
  <si>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</si>
  <si>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</si>
  <si>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</si>
  <si>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</si>
  <si>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</si>
  <si>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</si>
  <si>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</si>
  <si>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</si>
  <si>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</si>
  <si>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</si>
  <si>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</si>
  <si>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</si>
  <si>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</si>
  <si>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</si>
  <si>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</si>
  <si>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</si>
  <si>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</si>
  <si>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</si>
  <si>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</si>
  <si>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</si>
  <si>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</si>
  <si>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</si>
  <si>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</si>
  <si>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</si>
  <si>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</si>
  <si>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</si>
  <si>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</si>
  <si>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</si>
  <si>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</si>
  <si>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</si>
  <si>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</si>
  <si>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</si>
  <si>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</si>
  <si>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</si>
  <si>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</si>
  <si>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</si>
  <si>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</si>
  <si>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</si>
  <si>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</si>
  <si>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</si>
  <si>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</si>
  <si>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</si>
  <si>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</si>
  <si>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</si>
  <si>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</si>
  <si>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</si>
  <si>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</si>
  <si>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</si>
  <si>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</si>
  <si>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</si>
  <si>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</si>
  <si>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</si>
  <si>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</si>
  <si>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</si>
  <si>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</si>
  <si>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</si>
  <si>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</si>
  <si>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</si>
  <si>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</si>
  <si>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</si>
  <si>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</si>
  <si>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</si>
  <si>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</si>
  <si>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</si>
  <si>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</si>
  <si>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</si>
  <si>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</si>
  <si>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</si>
  <si>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</si>
  <si>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</si>
  <si>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</si>
  <si>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</si>
  <si>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</si>
  <si>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</si>
  <si>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</si>
  <si>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</si>
  <si>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</si>
  <si>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</si>
  <si>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</si>
  <si>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</si>
  <si>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</si>
  <si>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</si>
  <si>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</si>
  <si>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</si>
  <si>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</si>
  <si>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</si>
  <si>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</si>
  <si>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</si>
  <si>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</si>
  <si>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</si>
  <si>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</si>
  <si>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</si>
  <si>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</si>
  <si>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</si>
  <si>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</si>
  <si>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</si>
  <si>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</si>
  <si>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</si>
  <si>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</si>
  <si>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</si>
  <si>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</si>
  <si>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</si>
  <si>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</si>
  <si>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</si>
  <si>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</si>
  <si>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</si>
  <si>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</si>
  <si>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</si>
  <si>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</si>
  <si>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</si>
  <si>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</si>
  <si>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</si>
  <si>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</si>
  <si>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</si>
  <si>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</si>
  <si>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</si>
  <si>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</si>
  <si>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</si>
  <si>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</si>
  <si>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</si>
  <si>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</si>
  <si>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</si>
  <si>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</si>
  <si>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</si>
  <si>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</si>
  <si>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</si>
  <si>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</si>
  <si>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</si>
  <si>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</si>
  <si>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</si>
  <si>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</si>
  <si>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</si>
  <si>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</si>
  <si>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</si>
  <si>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</si>
  <si>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</si>
  <si>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</si>
  <si>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</si>
  <si>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</si>
  <si>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</si>
  <si>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</si>
  <si>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</si>
  <si>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</si>
  <si>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</si>
  <si>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</si>
  <si>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</si>
  <si>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</si>
  <si>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</si>
  <si>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</si>
  <si>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</si>
  <si>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</si>
  <si>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</si>
  <si>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</si>
  <si>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</si>
  <si>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</si>
  <si>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</si>
  <si>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</si>
  <si>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</si>
  <si>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</si>
  <si>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</si>
  <si>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</si>
  <si>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</si>
  <si>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</si>
  <si>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</si>
  <si>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</si>
  <si>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</si>
  <si>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</si>
  <si>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</si>
  <si>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</si>
  <si>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</si>
  <si>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</si>
  <si>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</si>
  <si>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</si>
  <si>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</si>
  <si>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</si>
  <si>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</si>
  <si>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</si>
  <si>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</si>
  <si>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</si>
  <si>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</si>
  <si>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</si>
  <si>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</si>
  <si>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</si>
  <si>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</si>
  <si>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</si>
  <si>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</si>
  <si>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</si>
  <si>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</si>
  <si>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</si>
  <si>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</si>
  <si>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</si>
  <si>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</si>
  <si>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</si>
  <si>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</si>
  <si>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</si>
  <si>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</si>
  <si>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</si>
  <si>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</si>
  <si>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</si>
  <si>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</si>
  <si>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</si>
  <si>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</si>
  <si>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</si>
  <si>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</si>
  <si>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</si>
  <si>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</si>
  <si>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</si>
  <si>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</si>
  <si>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</si>
  <si>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</si>
  <si>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</si>
  <si>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</si>
  <si>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</si>
  <si>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</si>
  <si>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</si>
  <si>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</si>
  <si>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</si>
  <si>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</si>
  <si>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</si>
  <si>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</si>
  <si>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</si>
  <si>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</si>
  <si>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</si>
  <si>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</si>
  <si>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</si>
  <si>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</si>
  <si>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</si>
  <si>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</si>
  <si>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</si>
  <si>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</si>
  <si>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</si>
  <si>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</si>
  <si>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</si>
  <si>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</si>
  <si>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</si>
  <si>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</si>
  <si>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</si>
  <si>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</si>
  <si>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</si>
  <si>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</si>
  <si>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</si>
  <si>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</si>
  <si>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</si>
  <si>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</si>
  <si>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</si>
  <si>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</si>
  <si>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</si>
  <si>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</si>
  <si>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</si>
  <si>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</si>
  <si>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</si>
  <si>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</si>
  <si>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</si>
  <si>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</si>
  <si>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</si>
  <si>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</si>
  <si>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</si>
  <si>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</si>
  <si>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</si>
  <si>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</si>
  <si>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</si>
  <si>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</si>
  <si>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</si>
  <si>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</si>
  <si>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</si>
  <si>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</si>
  <si>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</si>
  <si>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</si>
  <si>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</si>
  <si>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</si>
  <si>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</si>
  <si>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</si>
  <si>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</si>
  <si>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</si>
  <si>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</si>
  <si>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</si>
  <si>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</si>
  <si>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</si>
  <si>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</si>
  <si>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</si>
  <si>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</si>
  <si>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</si>
  <si>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</si>
  <si>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</si>
  <si>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</si>
  <si>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</si>
  <si>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</si>
  <si>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</si>
  <si>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</si>
  <si>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</si>
  <si>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</si>
  <si>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</si>
  <si>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</si>
  <si>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</si>
  <si>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</si>
  <si>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</si>
  <si>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</si>
  <si>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</si>
  <si>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</si>
  <si>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</si>
  <si>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</si>
  <si>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</si>
  <si>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</si>
  <si>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</si>
  <si>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</si>
  <si>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</si>
  <si>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</si>
  <si>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</si>
  <si>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</si>
  <si>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</si>
  <si>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</si>
  <si>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</si>
  <si>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</si>
  <si>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</si>
  <si>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</si>
  <si>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</si>
  <si>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</si>
  <si>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</si>
  <si>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</si>
  <si>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</si>
  <si>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</si>
  <si>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</si>
  <si>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</si>
  <si>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</si>
  <si>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</si>
  <si>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</si>
  <si>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Furqan</t>
  </si>
  <si>
    <t>Ar GS</t>
  </si>
  <si>
    <t>Address: Goseazam Bazar</t>
  </si>
  <si>
    <t>Saleem Store</t>
  </si>
  <si>
    <t>Haji Rafeeq Store</t>
  </si>
  <si>
    <t>New Alfalah Bakery</t>
  </si>
  <si>
    <t>Waqas Store</t>
  </si>
  <si>
    <t>Address: Pepsi Gate no 3</t>
  </si>
  <si>
    <t>Malik Kareyan Store</t>
  </si>
  <si>
    <t>Address: Nasir Colony</t>
  </si>
  <si>
    <t xml:space="preserve">Peer Cash N Carry </t>
  </si>
  <si>
    <t>Address: Zahore Ellahi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</si>
</sst>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4" sqref="S4:S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46290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Ar GS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Saleem Store</v>
      </c>
      <c r="T4" s="301">
        <f>+'2'!P35</f>
        <v>6185.3160641949153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Haji Rafeeq Store</v>
      </c>
      <c r="T5" s="301">
        <f>+'3'!P35</f>
        <v>940.86347552542372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New Alfalah Bakery</v>
      </c>
      <c r="T6" s="301">
        <f>+'4'!P35</f>
        <v>3136.2115850847458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310">
        <f>M7+N7+O7</f>
        <v>2265.051582838983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Waqas Store</v>
      </c>
      <c r="T7" s="301">
        <f>+'5'!P35</f>
        <v>2265.051582838983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Malik Kareyan Store</v>
      </c>
      <c r="T8" s="301">
        <f>+'6'!P35</f>
        <v>1359.0309497033895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64</v>
      </c>
      <c r="I9" s="236">
        <f t="shared" si="0"/>
        <v>3357.6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268.608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117.51600000000001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2971.4759999999997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634.57627118644041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18.030261355932204</v>
      </c>
      <c r="P9" s="311">
        <f t="shared" si="2"/>
        <v>3624.0825325423721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6</v>
      </c>
      <c r="R9" s="313">
        <v>7</v>
      </c>
      <c r="S9" s="300" t="str">
        <f>+'7'!A6:A6</f>
        <v xml:space="preserve">Peer Cash N Carry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36</v>
      </c>
      <c r="I10" s="236">
        <f t="shared" si="0"/>
        <v>2615.04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209.20320000000001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91.52640000000001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2314.3103999999998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494.23728813559319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14.042738440677965</v>
      </c>
      <c r="P10" s="311">
        <f t="shared" si="2"/>
        <v>2822.5904265762711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33</v>
      </c>
      <c r="I11" s="236">
        <f t="shared" si="0"/>
        <v>2397.12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191.7696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83.899200000000008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2121.4512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453.05084745762713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12.872510237288136</v>
      </c>
      <c r="P11" s="311">
        <f t="shared" si="2"/>
        <v>2587.3745576949154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33</v>
      </c>
      <c r="I12" s="236">
        <f t="shared" si="0"/>
        <v>2397.12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191.76960000000003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83.899200000000008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2121.4512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453.05084745762713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12.872510237288136</v>
      </c>
      <c r="P12" s="311">
        <f t="shared" si="2"/>
        <v>2587.3745576949154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5.15</v>
      </c>
      <c r="H16" s="113">
        <f t="shared" ref="H16:M16" si="3">SUM(H7:H15)</f>
        <v>206</v>
      </c>
      <c r="I16" s="114">
        <f t="shared" si="3"/>
        <v>12865.380000000001</v>
      </c>
      <c r="J16" s="274">
        <f>SUM(J7:J15)</f>
        <v>1029.2303999999999</v>
      </c>
      <c r="K16" s="275">
        <f t="shared" si="3"/>
        <v>450.28830000000005</v>
      </c>
      <c r="L16" s="276">
        <f t="shared" si="3"/>
        <v>0</v>
      </c>
      <c r="M16" s="232">
        <f t="shared" si="3"/>
        <v>11385.861299999999</v>
      </c>
      <c r="N16" s="233">
        <f>SUM(N7:N15)</f>
        <v>2431.5254237288132</v>
      </c>
      <c r="O16" s="101">
        <f>SUM(O7:O15)</f>
        <v>69.086933618644068</v>
      </c>
      <c r="P16" s="113">
        <f>SUM(P7:P15)</f>
        <v>13886.473657347457</v>
      </c>
      <c r="Q16" s="128">
        <f>SUM(Q7:Q15)</f>
        <v>6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12865.380000000001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1029.2303999999999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450.28830000000005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11385.8613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2431.5254237288132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13817.386723728814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69.086933618644068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13886.473657347458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13886.473657347458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4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6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90</v>
      </c>
      <c r="I25" s="114">
        <f t="shared" si="7"/>
        <v>5730.5</v>
      </c>
      <c r="J25" s="274">
        <f>SUM(J16:J24)</f>
        <v>458.44</v>
      </c>
      <c r="K25" s="275">
        <f t="shared" si="7"/>
        <v>200.56750000000002</v>
      </c>
      <c r="L25" s="276">
        <f t="shared" si="7"/>
        <v>0</v>
      </c>
      <c r="M25" s="232">
        <f t="shared" si="7"/>
        <v>5071.4925000000003</v>
      </c>
      <c r="N25" s="233">
        <f>SUM(N16:N24)</f>
        <v>1083.050847457627</v>
      </c>
      <c r="O25" s="101">
        <f>SUM(O16:O24)</f>
        <v>30.772716737288132</v>
      </c>
      <c r="P25" s="234">
        <f>SUM(P16:P24)</f>
        <v>6185.3160641949162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5730.5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458.44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200.56750000000002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5071.4925000000003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1083.050847457627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6154.5433474576275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30.772716737288139</v>
      </c>
    </row>
    <row r="35" spans="2:16" ht="15.75" customHeight="1" thickBot="1" x14ac:dyDescent="0.4">
      <c r="N35" s="345" t="s">
        <v>88</v>
      </c>
      <c r="O35" s="346"/>
      <c r="P35" s="297">
        <f>+P33+P34</f>
        <v>6185.3160641949153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119">
        <f t="shared" si="5"/>
        <v>235.21586888135593</v>
      </c>
      <c r="Q20" s="319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119">
        <f t="shared" si="5"/>
        <v>235.21586888135593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871.68000000000006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69.734400000000008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30.508800000000004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771.43680000000006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936.18256271186442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5" t="s">
        <v>88</v>
      </c>
      <c r="O35" s="346"/>
      <c r="P35" s="297">
        <f>+P33+P34</f>
        <v>940.86347552542372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520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24</v>
      </c>
      <c r="I18" s="236">
        <f t="shared" si="0"/>
        <v>1259.0999999999999</v>
      </c>
      <c r="J18" s="272">
        <f t="shared" si="1"/>
        <v>100.72799999999999</v>
      </c>
      <c r="K18" s="128">
        <f t="shared" si="1"/>
        <v>44.0685</v>
      </c>
      <c r="L18" s="119">
        <f t="shared" si="1"/>
        <v>0</v>
      </c>
      <c r="M18" s="230">
        <f t="shared" si="2"/>
        <v>1114.3035</v>
      </c>
      <c r="N18" s="277">
        <f t="shared" si="3"/>
        <v>237.96610169491515</v>
      </c>
      <c r="O18" s="239">
        <f t="shared" si="4"/>
        <v>6.7613480084745756</v>
      </c>
      <c r="P18" s="119">
        <f t="shared" si="5"/>
        <v>1359.0309497033898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1259.0999999999999</v>
      </c>
      <c r="J25" s="274">
        <f>SUM(J16:J24)</f>
        <v>100.72799999999999</v>
      </c>
      <c r="K25" s="275">
        <f t="shared" si="7"/>
        <v>44.0685</v>
      </c>
      <c r="L25" s="276">
        <f t="shared" si="7"/>
        <v>0</v>
      </c>
      <c r="M25" s="232">
        <f t="shared" si="7"/>
        <v>1114.3035</v>
      </c>
      <c r="N25" s="233">
        <f>SUM(N16:N24)</f>
        <v>237.96610169491515</v>
      </c>
      <c r="O25" s="101">
        <f>SUM(O16:O24)</f>
        <v>6.7613480084745756</v>
      </c>
      <c r="P25" s="234">
        <f>SUM(P16:P24)</f>
        <v>1359.0309497033898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1259.0999999999999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100.72799999999999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44.0685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1114.3034999999998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237.96610169491515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1352.2696016949149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6.7613480084745747</v>
      </c>
    </row>
    <row r="35" spans="2:16" ht="15.75" customHeight="1" thickBot="1" x14ac:dyDescent="0.4">
      <c r="N35" s="345" t="s">
        <v>88</v>
      </c>
      <c r="O35" s="346"/>
      <c r="P35" s="297">
        <f>+P33+P34</f>
        <v>1359.0309497033895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abSelected="1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46296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46295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2026-09-30T10:27:49Z</dcterms:modified>
</cp:coreProperties>
</file>