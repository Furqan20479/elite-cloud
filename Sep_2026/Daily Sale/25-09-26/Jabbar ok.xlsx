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7FDA79A-D2E8-4DBD-B2C1-E4A666F187E5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7" l="1"/>
  <c r="O20" i="47" s="1"/>
  <c r="P20" i="47" s="1"/>
  <c r="R20" i="47" s="1"/>
  <c r="K12" i="62"/>
  <c r="M21" i="44"/>
  <c r="O21" i="44" s="1"/>
  <c r="P21" i="44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<sst xmlns="http://schemas.openxmlformats.org/spreadsheetml/2006/main" count="3948" uniqueCount="526">
  <si>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</si>
  <si>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</si>
  <si>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</si>
  <si>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</si>
  <si>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</si>
  <si>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</si>
  <si>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</si>
  <si>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</si>
  <si>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</si>
  <si>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</si>
  <si>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</si>
  <si>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</si>
  <si>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</si>
  <si>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</si>
  <si>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</si>
  <si>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</si>
  <si>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</si>
  <si>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</si>
  <si>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</si>
  <si>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</si>
  <si>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</si>
  <si>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</si>
  <si>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</si>
  <si>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</si>
  <si>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</si>
  <si>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</si>
  <si>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</si>
  <si>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</si>
  <si>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</si>
  <si>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</si>
  <si>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</si>
  <si>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</si>
  <si>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</si>
  <si>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</si>
  <si>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</si>
  <si>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</si>
  <si>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</si>
  <si>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</si>
  <si>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</si>
  <si>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</si>
  <si>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</si>
  <si>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</si>
  <si>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</si>
  <si>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</si>
  <si>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</si>
  <si>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</si>
  <si>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</si>
  <si>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</si>
  <si>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</si>
  <si>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</si>
  <si>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</si>
  <si>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</si>
  <si>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</si>
  <si>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</si>
  <si>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</si>
  <si>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</si>
  <si>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</si>
  <si>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</si>
  <si>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</si>
  <si>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</si>
  <si>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</si>
  <si>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</si>
  <si>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</si>
  <si>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</si>
  <si>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</si>
  <si>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</si>
  <si>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</si>
  <si>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</si>
  <si>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</si>
  <si>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</si>
  <si>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</si>
  <si>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</si>
  <si>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</si>
  <si>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</si>
  <si>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</si>
  <si>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</si>
  <si>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</si>
  <si>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</si>
  <si>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</si>
  <si>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</si>
  <si>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</si>
  <si>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</si>
  <si>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</si>
  <si>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</si>
  <si>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</si>
  <si>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</si>
  <si>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</si>
  <si>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</si>
  <si>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</si>
  <si>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</si>
  <si>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</si>
  <si>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</si>
  <si>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</si>
  <si>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</si>
  <si>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</si>
  <si>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</si>
  <si>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</si>
  <si>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</si>
  <si>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</si>
  <si>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</si>
  <si>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</si>
  <si>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</si>
  <si>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</si>
  <si>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</si>
  <si>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</si>
  <si>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</si>
  <si>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</si>
  <si>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</si>
  <si>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</si>
  <si>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</si>
  <si>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</si>
  <si>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</si>
  <si>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</si>
  <si>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</si>
  <si>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</si>
  <si>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</si>
  <si>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</si>
  <si>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</si>
  <si>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</si>
  <si>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</si>
  <si>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</si>
  <si>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</si>
  <si>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</si>
  <si>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</si>
  <si>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</si>
  <si>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</si>
  <si>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</si>
  <si>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</si>
  <si>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</si>
  <si>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</si>
  <si>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</si>
  <si>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</si>
  <si>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</si>
  <si>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</si>
  <si>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</si>
  <si>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</si>
  <si>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</si>
  <si>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</si>
  <si>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</si>
  <si>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</si>
  <si>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</si>
  <si>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</si>
  <si>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</si>
  <si>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</si>
  <si>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</si>
  <si>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</si>
  <si>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</si>
  <si>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</si>
  <si>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</si>
  <si>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</si>
  <si>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</si>
  <si>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</si>
  <si>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</si>
  <si>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</si>
  <si>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</si>
  <si>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</si>
  <si>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</si>
  <si>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</si>
  <si>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</si>
  <si>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</si>
  <si>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</si>
  <si>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</si>
  <si>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</si>
  <si>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</si>
  <si>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</si>
  <si>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</si>
  <si>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</si>
  <si>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</si>
  <si>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</si>
  <si>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</si>
  <si>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</si>
  <si>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</si>
  <si>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</si>
  <si>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</si>
  <si>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</si>
  <si>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</si>
  <si>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</si>
  <si>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</si>
  <si>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</si>
  <si>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</si>
  <si>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</si>
  <si>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</si>
  <si>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</si>
  <si>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</si>
  <si>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</si>
  <si>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</si>
  <si>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</si>
  <si>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</si>
  <si>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</si>
  <si>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</si>
  <si>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</si>
  <si>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</si>
  <si>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</si>
  <si>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</si>
  <si>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</si>
  <si>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</si>
  <si>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</si>
  <si>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</si>
  <si>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</si>
  <si>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</si>
  <si>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</si>
  <si>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</si>
  <si>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</si>
  <si>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</si>
  <si>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</si>
  <si>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</si>
  <si>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</si>
  <si>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</si>
  <si>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</si>
  <si>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</si>
  <si>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</si>
  <si>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</si>
  <si>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</si>
  <si>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</si>
  <si>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</si>
  <si>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</si>
  <si>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</si>
  <si>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</si>
  <si>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</si>
  <si>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</si>
  <si>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</si>
  <si>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</si>
  <si>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</si>
  <si>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</si>
  <si>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</si>
  <si>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</si>
  <si>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</si>
  <si>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</si>
  <si>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</si>
  <si>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</si>
  <si>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</si>
  <si>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</si>
  <si>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</si>
  <si>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</si>
  <si>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</si>
  <si>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</si>
  <si>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</si>
  <si>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</si>
  <si>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</si>
  <si>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</si>
  <si>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</si>
  <si>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</si>
  <si>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</si>
  <si>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</si>
  <si>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</si>
  <si>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</si>
  <si>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</si>
  <si>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</si>
  <si>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</si>
  <si>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</si>
  <si>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</si>
  <si>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</si>
  <si>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</si>
  <si>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</si>
  <si>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</si>
  <si>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</si>
  <si>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</si>
  <si>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</si>
  <si>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</si>
  <si>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</si>
  <si>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</si>
  <si>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</si>
  <si>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</si>
  <si>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</si>
  <si>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</si>
  <si>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</si>
  <si>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</si>
  <si>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</si>
  <si>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</si>
  <si>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</si>
  <si>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</si>
  <si>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</si>
  <si>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</si>
  <si>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</si>
  <si>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</si>
  <si>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</si>
  <si>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</si>
  <si>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</si>
  <si>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</si>
  <si>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</si>
  <si>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</si>
  <si>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</si>
  <si>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</si>
  <si>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</si>
  <si>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</si>
  <si>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</si>
  <si>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</si>
  <si>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</si>
  <si>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</si>
  <si>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</si>
  <si>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</si>
  <si>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</si>
  <si>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</si>
  <si>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</si>
  <si>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</si>
  <si>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</si>
  <si>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</si>
  <si>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</si>
  <si>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</si>
  <si>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</si>
  <si>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</si>
  <si>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</si>
  <si>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</si>
  <si>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</si>
  <si>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</si>
  <si>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</si>
  <si>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</si>
  <si>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</si>
  <si>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</si>
  <si>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</si>
  <si>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</si>
  <si>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</si>
  <si>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</si>
  <si>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</si>
  <si>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</si>
  <si>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</si>
  <si>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</si>
  <si>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</si>
  <si>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</si>
  <si>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</si>
  <si>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</si>
  <si>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</si>
  <si>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</si>
  <si>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</si>
  <si>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</si>
  <si>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</si>
  <si>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</si>
  <si>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</si>
  <si>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</si>
  <si>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</si>
  <si>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</si>
  <si>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</si>
  <si>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</si>
  <si>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</si>
  <si>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</si>
  <si>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</si>
  <si>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</si>
  <si>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</si>
  <si>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</si>
  <si>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</si>
  <si>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</si>
  <si>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</si>
  <si>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</si>
  <si>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</si>
  <si>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</si>
  <si>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</si>
  <si>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</si>
  <si>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</si>
  <si>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</si>
  <si>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</si>
  <si>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</si>
  <si>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</si>
  <si>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</si>
  <si>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</si>
  <si>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</si>
  <si>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</si>
  <si>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</si>
  <si>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</si>
  <si>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</si>
  <si>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</si>
  <si>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</si>
  <si>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</si>
  <si>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</si>
  <si>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</si>
  <si>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</si>
  <si>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</si>
  <si>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</si>
  <si>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</si>
  <si>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</si>
  <si>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</si>
  <si>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</si>
  <si>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</si>
  <si>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</si>
  <si>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</si>
  <si>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</si>
  <si>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</si>
  <si>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</si>
  <si>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</si>
  <si>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</si>
  <si>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</si>
  <si>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</si>
  <si>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</si>
  <si>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</si>
  <si>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</si>
  <si>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</si>
  <si>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</si>
  <si>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</si>
  <si>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</si>
  <si>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</si>
  <si>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</si>
  <si>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</si>
  <si>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</si>
  <si>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</si>
  <si>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</si>
  <si>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</si>
  <si>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</si>
  <si>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</si>
  <si>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</si>
  <si>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</si>
  <si>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</si>
  <si>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</si>
  <si>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</si>
  <si>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</si>
  <si>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</si>
  <si>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</si>
  <si>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</si>
  <si>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</si>
  <si>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</si>
  <si>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</si>
  <si>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</si>
  <si>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</si>
  <si>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</si>
  <si>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</si>
  <si>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</si>
  <si>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</si>
  <si>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</si>
  <si>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</si>
  <si>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</si>
  <si>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</si>
  <si>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</si>
  <si>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</si>
  <si>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</si>
  <si>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</si>
  <si>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</si>
  <si>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</si>
  <si>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</si>
  <si>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</si>
  <si>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</si>
  <si>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</si>
  <si>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</si>
  <si>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</si>
  <si>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</si>
  <si>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</si>
  <si>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</si>
  <si>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</si>
  <si>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</si>
  <si>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</si>
  <si>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</si>
  <si>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</si>
  <si>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</si>
  <si>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</si>
  <si>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</si>
  <si>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</si>
  <si>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</si>
  <si>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</si>
  <si>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</si>
  <si>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</si>
  <si>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</si>
  <si>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</si>
  <si>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</si>
  <si>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</si>
  <si>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</si>
  <si>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</si>
  <si>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</si>
  <si>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</si>
  <si>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</si>
  <si>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</si>
  <si>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</si>
  <si>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</si>
  <si>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</si>
  <si>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</si>
  <si>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</si>
  <si>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</si>
  <si>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</si>
  <si>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</si>
  <si>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</si>
  <si>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</si>
  <si>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</si>
  <si>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</si>
  <si>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</si>
  <si>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</si>
  <si>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</si>
  <si>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</si>
  <si>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</si>
  <si>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</si>
  <si>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</si>
  <si>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</si>
  <si>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</si>
  <si>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</si>
  <si>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</si>
  <si>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</si>
  <si>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</si>
  <si>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</si>
  <si>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</si>
  <si>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</si>
  <si>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</si>
  <si>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</si>
  <si>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</si>
  <si>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</si>
  <si>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</si>
  <si>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</si>
  <si>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</si>
  <si>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</si>
  <si>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</si>
  <si>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</si>
  <si>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</si>
  <si>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</si>
  <si>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</si>
  <si>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</si>
  <si>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</si>
  <si>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</si>
  <si>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</si>
  <si>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</si>
  <si>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</si>
  <si>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</si>
  <si>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</si>
  <si>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</si>
  <si>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</si>
  <si>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</si>
  <si>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</si>
  <si>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</si>
  <si>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</si>
  <si>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</si>
  <si>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</si>
  <si>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>Address: Paragon City</t>
  </si>
  <si>
    <t>Al Makkah Store</t>
  </si>
  <si>
    <t xml:space="preserve">ZB Mart </t>
  </si>
  <si>
    <t>Hikma store</t>
  </si>
  <si>
    <t xml:space="preserve">Hikma Shop </t>
  </si>
  <si>
    <t xml:space="preserve">Askari Mart </t>
  </si>
  <si>
    <t xml:space="preserve">Mustafa Mart </t>
  </si>
  <si>
    <t xml:space="preserve">Address: Green city </t>
  </si>
  <si>
    <t xml:space="preserve">Haji Mart </t>
  </si>
  <si>
    <t>Address: Green City</t>
  </si>
  <si>
    <t xml:space="preserve">Ayan Mart </t>
  </si>
  <si>
    <t xml:space="preserve">K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</si>
</sst>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4" workbookViewId="0">
      <selection activeCell="D29" sqref="D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Al Makkah Store</v>
      </c>
      <c r="T3" s="301">
        <f>+'1'!P35</f>
        <v>1149.9472126144067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ZB Mart </v>
      </c>
      <c r="T4" s="301">
        <f>+'2'!P35</f>
        <v>1359.0309497033895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Hikma store</v>
      </c>
      <c r="T5" s="301">
        <f>+'3'!P35</f>
        <v>16203.789503771184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Hikma Shop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65</v>
      </c>
      <c r="I7" s="235">
        <f>(G7*D7)*F7+H7*F7</f>
        <v>3410.0625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272.80500000000001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119.35218750000001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3017.9053125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644.4915254237286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18.311984189618645</v>
      </c>
      <c r="P7" s="310">
        <f>M7+N7+O7</f>
        <v>3680.7088221133472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Askari Mart </v>
      </c>
      <c r="T7" s="301">
        <f>+'5'!P35</f>
        <v>5401.2631679237284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59</v>
      </c>
      <c r="I8" s="236">
        <f t="shared" ref="I8:I14" si="0">(G8*D8)*F8+H8*F8</f>
        <v>3095.2874999999999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247.62299999999999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108.33506250000002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2739.3294375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584.99999999999977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16.621647187499999</v>
      </c>
      <c r="P8" s="311">
        <f t="shared" ref="P8:P15" si="2">M8+N8+O8</f>
        <v>3340.9510846874996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Mustafa Mart </v>
      </c>
      <c r="T8" s="301">
        <f>+'6'!P35</f>
        <v>3136.2115850847463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84</v>
      </c>
      <c r="I9" s="236">
        <f t="shared" si="0"/>
        <v>4406.8499999999995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352.54799999999994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154.23975000000002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3900.0622499999995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832.88135593220306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23.664718029661017</v>
      </c>
      <c r="P9" s="311">
        <f t="shared" si="2"/>
        <v>4756.6083239618638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Haji Mart </v>
      </c>
      <c r="T9" s="301">
        <f>+'7'!P35</f>
        <v>1620.3789503771186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72</v>
      </c>
      <c r="I10" s="236">
        <f t="shared" si="0"/>
        <v>5230.08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418.40640000000008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183.05280000000002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4628.6207999999997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988.47457627118638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28.085476881355937</v>
      </c>
      <c r="P10" s="311">
        <f t="shared" si="2"/>
        <v>5645.1808531525421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13</v>
      </c>
      <c r="R10" s="313">
        <v>8</v>
      </c>
      <c r="S10" s="300" t="str">
        <f>+'8'!A6:A6</f>
        <v xml:space="preserve">Ayan Mart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66</v>
      </c>
      <c r="I11" s="236">
        <f t="shared" si="0"/>
        <v>4794.24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383.53920000000005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167.79840000000002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4242.9023999999999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906.10169491525426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25.745020474576275</v>
      </c>
      <c r="P11" s="311">
        <f t="shared" si="2"/>
        <v>5174.7491153898309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13</v>
      </c>
      <c r="R11" s="313">
        <v>9</v>
      </c>
      <c r="S11" s="300" t="str">
        <f>+'9'!A6:A6</f>
        <v xml:space="preserve">K Mart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464.89600000000002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5142.9120000000003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31.206085423728815</v>
      </c>
      <c r="P12" s="311">
        <f t="shared" si="2"/>
        <v>6272.4231701694916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38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10.65</v>
      </c>
      <c r="H16" s="113">
        <f t="shared" ref="H16:M16" si="3">SUM(H7:H15)</f>
        <v>426</v>
      </c>
      <c r="I16" s="114">
        <f t="shared" si="3"/>
        <v>26747.72</v>
      </c>
      <c r="J16" s="274">
        <f>SUM(J7:J15)</f>
        <v>2139.8176000000003</v>
      </c>
      <c r="K16" s="275">
        <f t="shared" si="3"/>
        <v>936.17020000000014</v>
      </c>
      <c r="L16" s="276">
        <f t="shared" si="3"/>
        <v>0</v>
      </c>
      <c r="M16" s="232">
        <f t="shared" si="3"/>
        <v>23671.732199999999</v>
      </c>
      <c r="N16" s="233">
        <f>SUM(N7:N15)</f>
        <v>5055.2542372881344</v>
      </c>
      <c r="O16" s="101">
        <f>SUM(O7:O15)</f>
        <v>143.63493218644069</v>
      </c>
      <c r="P16" s="113">
        <f>SUM(P7:P15)</f>
        <v>28870.621369474575</v>
      </c>
      <c r="Q16" s="128">
        <f>SUM(Q7:Q15)</f>
        <v>64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26747.72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2139.8176000000003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936.17020000000014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23671.732199999999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5055.2542372881344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28726.986437288135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143.63493218644069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28870.621369474575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28870.621369474575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ref="I18:I21" si="7">(G18*D18)*F18+H18*F18</f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18</v>
      </c>
      <c r="I25" s="114">
        <f t="shared" ref="I25:M25" si="10">SUM(I16:I24)</f>
        <v>1065.3899999999999</v>
      </c>
      <c r="J25" s="274">
        <f>SUM(J16:J24)</f>
        <v>85.231200000000001</v>
      </c>
      <c r="K25" s="275">
        <f t="shared" si="10"/>
        <v>37.288650000000004</v>
      </c>
      <c r="L25" s="276">
        <f t="shared" si="10"/>
        <v>0</v>
      </c>
      <c r="M25" s="232">
        <f t="shared" si="10"/>
        <v>942.87014999999997</v>
      </c>
      <c r="N25" s="233">
        <f>SUM(N16:N24)</f>
        <v>201.35593220338978</v>
      </c>
      <c r="O25" s="101">
        <f>SUM(O16:O24)</f>
        <v>5.721130411016949</v>
      </c>
      <c r="P25" s="234">
        <f>SUM(P16:P24)</f>
        <v>1149.9472126144067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1065.3899999999999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85.231200000000001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37.288650000000004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942.87014999999997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201.35593220338978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1144.2260822033898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5.721130411016949</v>
      </c>
    </row>
    <row r="35" spans="2:16" ht="15.75" customHeight="1" thickBot="1" x14ac:dyDescent="0.4">
      <c r="N35" s="374" t="s">
        <v>88</v>
      </c>
      <c r="O35" s="375"/>
      <c r="P35" s="297">
        <f>+P33+P34</f>
        <v>1149.9472126144067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100.72799999999999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1200.9839999999999</v>
      </c>
      <c r="K25" s="275">
        <f t="shared" si="7"/>
        <v>525.43050000000005</v>
      </c>
      <c r="L25" s="276">
        <f t="shared" si="7"/>
        <v>0</v>
      </c>
      <c r="M25" s="232">
        <f t="shared" si="7"/>
        <v>13285.8855</v>
      </c>
      <c r="N25" s="233">
        <f>SUM(N16:N24)</f>
        <v>2837.2881355932195</v>
      </c>
      <c r="O25" s="101">
        <f>SUM(O16:O24)</f>
        <v>80.615868177966092</v>
      </c>
      <c r="P25" s="234">
        <f>SUM(P16:P24)</f>
        <v>16203.789503771186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15012.300000000001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1200.9839999999999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525.43050000000005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13285.8855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16123.173635593219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80.615868177966092</v>
      </c>
    </row>
    <row r="35" spans="2:16" ht="15.75" customHeight="1" thickBot="1" x14ac:dyDescent="0.4">
      <c r="N35" s="374" t="s">
        <v>88</v>
      </c>
      <c r="O35" s="375"/>
      <c r="P35" s="297">
        <f>+P33+P34</f>
        <v>16203.789503771184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8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13</v>
      </c>
      <c r="I16" s="235">
        <f>(G16*D16)*F16+H16*F16</f>
        <v>682.01249999999993</v>
      </c>
      <c r="J16" s="271">
        <f>$I16*S16</f>
        <v>54.560999999999993</v>
      </c>
      <c r="K16" s="127">
        <f>$I16*T16</f>
        <v>23.870437500000001</v>
      </c>
      <c r="L16" s="118">
        <f>$I16*U16</f>
        <v>0</v>
      </c>
      <c r="M16" s="229">
        <f>I16-SUM(J16:L16)</f>
        <v>603.58106249999992</v>
      </c>
      <c r="N16" s="248">
        <f>+(G16*D16+H16)*V16</f>
        <v>128.89830508474572</v>
      </c>
      <c r="O16" s="238">
        <f>(N16+M16)*$O$15</f>
        <v>3.6623968379237284</v>
      </c>
      <c r="P16" s="118">
        <f>M16+N16+O16</f>
        <v>736.14176442266944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14</v>
      </c>
      <c r="I18" s="236">
        <f t="shared" si="0"/>
        <v>734.47500000000002</v>
      </c>
      <c r="J18" s="272">
        <f t="shared" si="1"/>
        <v>58.758000000000003</v>
      </c>
      <c r="K18" s="128">
        <f t="shared" si="1"/>
        <v>25.706625000000003</v>
      </c>
      <c r="L18" s="119">
        <f t="shared" si="1"/>
        <v>0</v>
      </c>
      <c r="M18" s="230">
        <f t="shared" si="2"/>
        <v>650.01037500000007</v>
      </c>
      <c r="N18" s="277">
        <f t="shared" si="3"/>
        <v>138.81355932203383</v>
      </c>
      <c r="O18" s="239">
        <f t="shared" si="4"/>
        <v>3.9441196716101694</v>
      </c>
      <c r="P18" s="119">
        <f t="shared" si="5"/>
        <v>792.76805399364412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0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26.871956059322038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5374.3912118644066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0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1501.23</v>
      </c>
      <c r="J25" s="274">
        <f>SUM(J16:J24)</f>
        <v>120.0984</v>
      </c>
      <c r="K25" s="275">
        <f t="shared" si="7"/>
        <v>52.543050000000008</v>
      </c>
      <c r="L25" s="276">
        <f t="shared" si="7"/>
        <v>0</v>
      </c>
      <c r="M25" s="232">
        <f t="shared" si="7"/>
        <v>1328.5885499999999</v>
      </c>
      <c r="N25" s="233">
        <f>SUM(N16:N24)</f>
        <v>283.72881355932202</v>
      </c>
      <c r="O25" s="101">
        <f>SUM(O16:O24)</f>
        <v>8.0615868177966092</v>
      </c>
      <c r="P25" s="234">
        <f>SUM(P16:P24)</f>
        <v>1620.3789503771186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1501.23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120.0984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52.543050000000008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1328.5885499999999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1612.3173635593221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8.061586817796611</v>
      </c>
    </row>
    <row r="35" spans="2:16" ht="15.75" customHeight="1" thickBot="1" x14ac:dyDescent="0.4">
      <c r="N35" s="374" t="s">
        <v>88</v>
      </c>
      <c r="O35" s="375"/>
      <c r="P35" s="297">
        <f>+P33+P34</f>
        <v>1620.3789503771186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1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1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2026-09-25T11:27:02Z</dcterms:modified>
</cp:coreProperties>
</file>