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4BFFB343-3013-4886-913D-9D79D7B4CEE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S19" i="11" l="1"/>
  <c r="S20" i="11"/>
  <c r="S21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<sst xmlns="http://schemas.openxmlformats.org/spreadsheetml/2006/main" count="3913" uniqueCount="519">
  <si>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</si>
  <si>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</si>
  <si>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</si>
  <si>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</si>
  <si>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</si>
  <si>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</si>
  <si>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</si>
  <si>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</si>
  <si>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</si>
  <si>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</si>
  <si>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</si>
  <si>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</si>
  <si>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</si>
  <si>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</si>
  <si>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</si>
  <si>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</si>
  <si>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</si>
  <si>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</si>
  <si>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</si>
  <si>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</si>
  <si>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</si>
  <si>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</si>
  <si>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</si>
  <si>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</si>
  <si>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</si>
  <si>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</si>
  <si>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</si>
  <si>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</si>
  <si>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</si>
  <si>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</si>
  <si>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</si>
  <si>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</si>
  <si>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</si>
  <si>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</si>
  <si>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</si>
  <si>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</si>
  <si>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</si>
  <si>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</si>
  <si>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</si>
  <si>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</si>
  <si>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</si>
  <si>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</si>
  <si>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</si>
  <si>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</si>
  <si>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</si>
  <si>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</si>
  <si>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</si>
  <si>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</si>
  <si>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</si>
  <si>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</si>
  <si>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</si>
  <si>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</si>
  <si>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</si>
  <si>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</si>
  <si>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</si>
  <si>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</si>
  <si>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</si>
  <si>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</si>
  <si>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</si>
  <si>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</si>
  <si>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</si>
  <si>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</si>
  <si>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</si>
  <si>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</si>
  <si>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</si>
  <si>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</si>
  <si>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</si>
  <si>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</si>
  <si>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</si>
  <si>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</si>
  <si>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</si>
  <si>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</si>
  <si>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</si>
  <si>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</si>
  <si>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</si>
  <si>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</si>
  <si>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</si>
  <si>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</si>
  <si>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</si>
  <si>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</si>
  <si>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</si>
  <si>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</si>
  <si>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</si>
  <si>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</si>
  <si>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</si>
  <si>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</si>
  <si>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</si>
  <si>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</si>
  <si>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</si>
  <si>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</si>
  <si>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</si>
  <si>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</si>
  <si>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</si>
  <si>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</si>
  <si>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</si>
  <si>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</si>
  <si>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</si>
  <si>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</si>
  <si>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</si>
  <si>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</si>
  <si>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</si>
  <si>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</si>
  <si>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</si>
  <si>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</si>
  <si>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</si>
  <si>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</si>
  <si>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</si>
  <si>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</si>
  <si>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</si>
  <si>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</si>
  <si>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</si>
  <si>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</si>
  <si>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</si>
  <si>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</si>
  <si>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</si>
  <si>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</si>
  <si>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</si>
  <si>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</si>
  <si>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</si>
  <si>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</si>
  <si>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</si>
  <si>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</si>
  <si>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</si>
  <si>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</si>
  <si>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</si>
  <si>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</si>
  <si>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</si>
  <si>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</si>
  <si>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</si>
  <si>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</si>
  <si>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</si>
  <si>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</si>
  <si>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</si>
  <si>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</si>
  <si>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</si>
  <si>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</si>
  <si>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</si>
  <si>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</si>
  <si>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</si>
  <si>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</si>
  <si>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</si>
  <si>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</si>
  <si>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</si>
  <si>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</si>
  <si>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</si>
  <si>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</si>
  <si>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</si>
  <si>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</si>
  <si>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</si>
  <si>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</si>
  <si>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</si>
  <si>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</si>
  <si>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</si>
  <si>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</si>
  <si>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</si>
  <si>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</si>
  <si>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</si>
  <si>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</si>
  <si>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</si>
  <si>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</si>
  <si>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</si>
  <si>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</si>
  <si>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</si>
  <si>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</si>
  <si>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</si>
  <si>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</si>
  <si>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</si>
  <si>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</si>
  <si>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</si>
  <si>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</si>
  <si>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</si>
  <si>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</si>
  <si>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</si>
  <si>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</si>
  <si>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</si>
  <si>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</si>
  <si>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</si>
  <si>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</si>
  <si>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</si>
  <si>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</si>
  <si>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</si>
  <si>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</si>
  <si>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</si>
  <si>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</si>
  <si>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</si>
  <si>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</si>
  <si>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</si>
  <si>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</si>
  <si>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</si>
  <si>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</si>
  <si>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</si>
  <si>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</si>
  <si>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</si>
  <si>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</si>
  <si>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</si>
  <si>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</si>
  <si>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</si>
  <si>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</si>
  <si>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</si>
  <si>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</si>
  <si>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</si>
  <si>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</si>
  <si>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</si>
  <si>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</si>
  <si>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</si>
  <si>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</si>
  <si>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</si>
  <si>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</si>
  <si>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</si>
  <si>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</si>
  <si>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</si>
  <si>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</si>
  <si>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</si>
  <si>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</si>
  <si>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</si>
  <si>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</si>
  <si>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</si>
  <si>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</si>
  <si>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</si>
  <si>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</si>
  <si>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</si>
  <si>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</si>
  <si>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</si>
  <si>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</si>
  <si>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</si>
  <si>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</si>
  <si>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</si>
  <si>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</si>
  <si>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</si>
  <si>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</si>
  <si>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</si>
  <si>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</si>
  <si>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</si>
  <si>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</si>
  <si>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</si>
  <si>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</si>
  <si>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</si>
  <si>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</si>
  <si>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</si>
  <si>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</si>
  <si>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</si>
  <si>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</si>
  <si>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</si>
  <si>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</si>
  <si>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</si>
  <si>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</si>
  <si>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</si>
  <si>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</si>
  <si>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</si>
  <si>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</si>
  <si>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</si>
  <si>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</si>
  <si>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</si>
  <si>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</si>
  <si>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</si>
  <si>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</si>
  <si>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</si>
  <si>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</si>
  <si>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</si>
  <si>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</si>
  <si>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</si>
  <si>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</si>
  <si>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</si>
  <si>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</si>
  <si>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</si>
  <si>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</si>
  <si>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</si>
  <si>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</si>
  <si>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</si>
  <si>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</si>
  <si>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</si>
  <si>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</si>
  <si>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</si>
  <si>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</si>
  <si>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</si>
  <si>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</si>
  <si>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</si>
  <si>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</si>
  <si>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</si>
  <si>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</si>
  <si>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</si>
  <si>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</si>
  <si>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</si>
  <si>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</si>
  <si>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</si>
  <si>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</si>
  <si>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</si>
  <si>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</si>
  <si>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</si>
  <si>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</si>
  <si>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</si>
  <si>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</si>
  <si>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</si>
  <si>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</si>
  <si>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</si>
  <si>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</si>
  <si>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</si>
  <si>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</si>
  <si>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</si>
  <si>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</si>
  <si>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</si>
  <si>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</si>
  <si>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</si>
  <si>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</si>
  <si>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</si>
  <si>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</si>
  <si>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</si>
  <si>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</si>
  <si>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</si>
  <si>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</si>
  <si>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</si>
  <si>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</si>
  <si>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</si>
  <si>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</si>
  <si>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</si>
  <si>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</si>
  <si>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</si>
  <si>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</si>
  <si>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</si>
  <si>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</si>
  <si>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</si>
  <si>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</si>
  <si>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</si>
  <si>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</si>
  <si>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</si>
  <si>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</si>
  <si>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</si>
  <si>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</si>
  <si>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</si>
  <si>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</si>
  <si>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</si>
  <si>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</si>
  <si>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</si>
  <si>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</si>
  <si>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</si>
  <si>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</si>
  <si>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</si>
  <si>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</si>
  <si>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</si>
  <si>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</si>
  <si>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</si>
  <si>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</si>
  <si>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</si>
  <si>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</si>
  <si>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</si>
  <si>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</si>
  <si>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</si>
  <si>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</si>
  <si>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</si>
  <si>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</si>
  <si>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</si>
  <si>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</si>
  <si>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</si>
  <si>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</si>
  <si>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</si>
  <si>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</si>
  <si>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</si>
  <si>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</si>
  <si>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</si>
  <si>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</si>
  <si>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</si>
  <si>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</si>
  <si>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</si>
  <si>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</si>
  <si>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</si>
  <si>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</si>
  <si>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</si>
  <si>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</si>
  <si>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</si>
  <si>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</si>
  <si>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</si>
  <si>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</si>
  <si>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</si>
  <si>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</si>
  <si>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</si>
  <si>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</si>
  <si>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</si>
  <si>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</si>
  <si>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</si>
  <si>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</si>
  <si>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</si>
  <si>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</si>
  <si>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</si>
  <si>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</si>
  <si>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</si>
  <si>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</si>
  <si>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</si>
  <si>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</si>
  <si>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</si>
  <si>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</si>
  <si>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</si>
  <si>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</si>
  <si>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</si>
  <si>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</si>
  <si>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</si>
  <si>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</si>
  <si>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</si>
  <si>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</si>
  <si>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</si>
  <si>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</si>
  <si>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</si>
  <si>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</si>
  <si>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</si>
  <si>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</si>
  <si>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</si>
  <si>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</si>
  <si>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</si>
  <si>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</si>
  <si>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</si>
  <si>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</si>
  <si>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</si>
  <si>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</si>
  <si>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</si>
  <si>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</si>
  <si>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</si>
  <si>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</si>
  <si>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</si>
  <si>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</si>
  <si>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</si>
  <si>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</si>
  <si>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</si>
  <si>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</si>
  <si>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</si>
  <si>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</si>
  <si>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</si>
  <si>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</si>
  <si>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</si>
  <si>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</si>
  <si>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</si>
  <si>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</si>
  <si>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</si>
  <si>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</si>
  <si>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</si>
  <si>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</si>
  <si>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</si>
  <si>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</si>
  <si>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</si>
  <si>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</si>
  <si>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</si>
  <si>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</si>
  <si>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</si>
  <si>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</si>
  <si>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</si>
  <si>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</si>
  <si>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</si>
  <si>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</si>
  <si>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</si>
  <si>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</si>
  <si>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</si>
  <si>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</si>
  <si>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</si>
  <si>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</si>
  <si>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</si>
  <si>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</si>
  <si>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</si>
  <si>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</si>
  <si>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</si>
  <si>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</si>
  <si>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</si>
  <si>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</si>
  <si>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</si>
  <si>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</si>
  <si>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</si>
  <si>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</si>
  <si>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</si>
  <si>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</si>
  <si>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</si>
  <si>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</si>
  <si>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</si>
  <si>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</si>
  <si>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</si>
  <si>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</si>
  <si>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</si>
  <si>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</si>
  <si>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</si>
  <si>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</si>
  <si>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</si>
  <si>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</si>
  <si>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</si>
  <si>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</si>
  <si>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</si>
  <si>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</si>
  <si>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</si>
  <si>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</si>
  <si>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</si>
  <si>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</si>
  <si>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</si>
  <si>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</si>
  <si>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</si>
  <si>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</si>
  <si>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</si>
  <si>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</si>
  <si>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</si>
  <si>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</si>
  <si>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</si>
  <si>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</si>
  <si>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</si>
  <si>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</si>
  <si>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</si>
  <si>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</si>
  <si>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</si>
  <si>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</si>
  <si>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</si>
  <si>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</si>
  <si>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</si>
  <si>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</si>
  <si>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</si>
  <si>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</si>
  <si>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</si>
  <si>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</si>
  <si>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</si>
  <si>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</si>
  <si>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</si>
  <si>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</si>
  <si>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</si>
  <si>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</si>
  <si>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Address:Multan Road</t>
  </si>
  <si>
    <t>Shakoor</t>
  </si>
  <si>
    <t>Invoice No # :001541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</si>
</sst>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517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46290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51224.848518050843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5571.5174999999999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33.80674004237288</v>
      </c>
      <c r="P9" s="119">
        <f t="shared" si="2"/>
        <v>6795.1547485169476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7714.3679999999995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46.80912813559322</v>
      </c>
      <c r="P10" s="119">
        <f t="shared" si="2"/>
        <v>9408.6347552542375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</v>
      </c>
      <c r="P11" s="119">
        <f t="shared" si="2"/>
        <v>9408.6347552542375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610.17600000000004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15428.735999999999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93.618256271186439</v>
      </c>
      <c r="P12" s="119">
        <f t="shared" si="2"/>
        <v>18817.269510508475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720</v>
      </c>
      <c r="I16" s="114">
        <f t="shared" si="3"/>
        <v>47458.2</v>
      </c>
      <c r="J16" s="274">
        <f>SUM(J7:J15)</f>
        <v>3796.6559999999999</v>
      </c>
      <c r="K16" s="275">
        <f t="shared" si="3"/>
        <v>1661.0370000000003</v>
      </c>
      <c r="L16" s="276">
        <f t="shared" si="3"/>
        <v>0</v>
      </c>
      <c r="M16" s="232">
        <f t="shared" si="3"/>
        <v>42000.506999999998</v>
      </c>
      <c r="N16" s="233">
        <f>SUM(N7:N15)</f>
        <v>8969.4915254237276</v>
      </c>
      <c r="O16" s="101">
        <f>SUM(O7:O15)</f>
        <v>254.84999262711864</v>
      </c>
      <c r="P16" s="234">
        <f>SUM(P7:P15)</f>
        <v>51224.848518050843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47458.2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3796.6559999999999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1661.0370000000003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42000.506999999998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8969.4915254237276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50969.998525423725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254.84999262711864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51224.848518050843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51224.848518050843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XFD38"/>
  <sheetViews>
    <sheetView tabSelected="1" topLeftCell="A20" workbookViewId="0">
      <selection activeCell="I26" sqref="I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518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7.2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516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503.64</v>
      </c>
      <c r="K18" s="128">
        <f t="shared" si="1"/>
        <v>220.34250000000003</v>
      </c>
      <c r="L18" s="119">
        <f t="shared" si="1"/>
        <v>0</v>
      </c>
      <c r="M18" s="230">
        <f t="shared" si="2"/>
        <v>5571.5174999999999</v>
      </c>
      <c r="N18" s="277">
        <f t="shared" si="3"/>
        <v>1189.8305084745757</v>
      </c>
      <c r="O18" s="239">
        <f t="shared" si="4"/>
        <v>33.80674004237288</v>
      </c>
      <c r="P18" s="119">
        <f t="shared" si="5"/>
        <v>6795.1547485169476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119">
        <f t="shared" si="5"/>
        <v>9408.6347552542375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697.34399999999994</v>
      </c>
      <c r="K20" s="128">
        <f t="shared" si="1"/>
        <v>305.08800000000002</v>
      </c>
      <c r="L20" s="119">
        <f t="shared" si="1"/>
        <v>0</v>
      </c>
      <c r="M20" s="230">
        <f t="shared" si="2"/>
        <v>7714.3679999999995</v>
      </c>
      <c r="N20" s="277">
        <f t="shared" si="3"/>
        <v>1647.4576271186443</v>
      </c>
      <c r="O20" s="239">
        <f t="shared" si="4"/>
        <v>46.80912813559322</v>
      </c>
      <c r="P20" s="119">
        <f t="shared" si="5"/>
        <v>9408.6347552542375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240</v>
      </c>
      <c r="I21" s="236">
        <f t="shared" si="7"/>
        <v>17433.599999999999</v>
      </c>
      <c r="J21" s="272">
        <f t="shared" si="1"/>
        <v>1394.6879999999999</v>
      </c>
      <c r="K21" s="128">
        <f t="shared" si="1"/>
        <v>610.17600000000004</v>
      </c>
      <c r="L21" s="119">
        <f t="shared" si="1"/>
        <v>0</v>
      </c>
      <c r="M21" s="230">
        <f t="shared" si="2"/>
        <v>15428.735999999999</v>
      </c>
      <c r="N21" s="277">
        <f t="shared" si="3"/>
        <v>3294.9152542372885</v>
      </c>
      <c r="O21" s="239">
        <f t="shared" si="4"/>
        <v>93.618256271186439</v>
      </c>
      <c r="P21" s="119">
        <f t="shared" si="5"/>
        <v>18817.269510508475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47458.2</v>
      </c>
      <c r="J25" s="274">
        <f>SUM(J16:J24)</f>
        <v>3796.6559999999999</v>
      </c>
      <c r="K25" s="275">
        <f t="shared" si="10"/>
        <v>1661.0370000000003</v>
      </c>
      <c r="L25" s="276">
        <f t="shared" si="10"/>
        <v>0</v>
      </c>
      <c r="M25" s="232">
        <f t="shared" si="10"/>
        <v>42000.506999999998</v>
      </c>
      <c r="N25" s="233">
        <f>SUM(N16:N24)</f>
        <v>8969.4915254237276</v>
      </c>
      <c r="O25" s="101">
        <f>SUM(O16:O24)</f>
        <v>254.84999262711864</v>
      </c>
      <c r="P25" s="234">
        <f>SUM(P16:P24)</f>
        <v>51224.848518050843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47458.2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3796.6559999999999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1661.0370000000003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42000.506999999998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8969.4915254237276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50969.998525423725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254.84999262711864</v>
      </c>
    </row>
    <row r="35" spans="2:16" ht="15.75" customHeight="1" thickBot="1" x14ac:dyDescent="0.4">
      <c r="N35" s="363" t="s">
        <v>88</v>
      </c>
      <c r="O35" s="364"/>
      <c r="P35" s="297">
        <f>+P33+P34</f>
        <v>51224.848518050843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46291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46290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2026-09-25T04:36:43Z</dcterms:modified>
</cp:coreProperties>
</file>