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F9FC79F3-C843-4BAC-B15F-746C24FDB39A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H3" i="62"/>
  <c r="N4" i="11" s="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<sst xmlns="http://schemas.openxmlformats.org/spreadsheetml/2006/main" count="3948" uniqueCount="514">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</sst>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498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46266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Shop Name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0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0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0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0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0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0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0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Summary!H3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7.2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8.7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 ca="1">'1'!N4:P4</f>
        <v>46266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 ca="1">N4-1</f>
        <v>46265</v>
      </c>
      <c r="O5" s="369"/>
      <c r="P5" s="369"/>
      <c r="R5" s="85"/>
      <c r="S5" s="266"/>
    </row>
    <row r="6" spans="1:22 16383:16384" ht="15" customHeight="1" x14ac:dyDescent="0.4">
      <c r="A6" s="398" t="s">
        <v>512</v>
      </c>
      <c r="B6" s="398"/>
      <c r="C6" s="398"/>
      <c r="F6" s="85"/>
      <c r="G6" s="86"/>
      <c r="K6" s="370" t="s">
        <v>69</v>
      </c>
      <c r="L6" s="370"/>
      <c r="M6" s="370"/>
      <c r="N6" s="399" t="str">
        <f>Summary!H2</f>
        <v>Booker Name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73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513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46267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46266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2026-09-01T11:45:21Z</dcterms:modified>
</cp:coreProperties>
</file>