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8FDE16A-FCCE-48DC-A433-D6C6C954CB5B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C11" i="69" s="1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20" i="69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C11" i="61" s="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B20" i="60"/>
  <c r="C20" i="60" s="1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C11" i="59" s="1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E16" i="53"/>
  <c r="V16" i="53" s="1"/>
  <c r="D16" i="53"/>
  <c r="C16" i="53"/>
  <c r="B16" i="53"/>
  <c r="O15" i="53"/>
  <c r="C12" i="53"/>
  <c r="N5" i="53"/>
  <c r="O34" i="52"/>
  <c r="C11" i="52" s="1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B24" i="46"/>
  <c r="C24" i="46" s="1"/>
  <c r="U23" i="46"/>
  <c r="U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53" l="1"/>
  <c r="N16" i="63"/>
  <c r="N16" i="59"/>
  <c r="N16" i="44"/>
  <c r="N24" i="48"/>
  <c r="N24" i="46"/>
  <c r="N16" i="56"/>
  <c r="N16" i="58"/>
  <c r="N16" i="4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J21" i="41"/>
  <c r="L21" i="41" s="1"/>
  <c r="K21" i="41" s="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 s="1"/>
  <c r="F5" i="15"/>
  <c r="N4" i="15"/>
  <c r="K4" i="15"/>
  <c r="I4" i="15" s="1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O13" i="41" s="1"/>
  <c r="P13" i="41" s="1"/>
  <c r="M28" i="41"/>
  <c r="K28" i="41"/>
  <c r="M5" i="4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O34" i="41" s="1"/>
  <c r="P34" i="41" s="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35" i="41" l="1"/>
  <c r="P35" i="41" s="1"/>
  <c r="O31" i="14"/>
  <c r="O47" i="41"/>
  <c r="P47" i="41" s="1"/>
  <c r="O9" i="41"/>
  <c r="P9" i="41" s="1"/>
  <c r="O5" i="41"/>
  <c r="P5" i="41" s="1"/>
  <c r="O15" i="41"/>
  <c r="P1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22" i="11" l="1"/>
  <c r="N13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M23" i="48" s="1"/>
  <c r="J23" i="51"/>
  <c r="L23" i="51"/>
  <c r="K23" i="5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M23" i="56" s="1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M24" i="66" s="1"/>
  <c r="O24" i="66" s="1"/>
  <c r="P24" i="66" s="1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M24" i="56" s="1"/>
  <c r="O24" i="56" s="1"/>
  <c r="P24" i="56" s="1"/>
  <c r="K24" i="56"/>
  <c r="L24" i="56"/>
  <c r="L24" i="43"/>
  <c r="K24" i="43"/>
  <c r="J24" i="43"/>
  <c r="M24" i="43" s="1"/>
  <c r="O24" i="43" s="1"/>
  <c r="P24" i="43" s="1"/>
  <c r="K24" i="53"/>
  <c r="L24" i="53"/>
  <c r="J24" i="53"/>
  <c r="J24" i="58"/>
  <c r="M24" i="58" s="1"/>
  <c r="K24" i="58"/>
  <c r="L24" i="58"/>
  <c r="L24" i="67"/>
  <c r="K24" i="67"/>
  <c r="J24" i="67"/>
  <c r="J24" i="72"/>
  <c r="M24" i="72" s="1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8" i="48" l="1"/>
  <c r="M23" i="59"/>
  <c r="M23" i="53"/>
  <c r="O23" i="53" s="1"/>
  <c r="P23" i="53" s="1"/>
  <c r="M24" i="65"/>
  <c r="O24" i="65" s="1"/>
  <c r="P24" i="65" s="1"/>
  <c r="M24" i="50"/>
  <c r="O24" i="50" s="1"/>
  <c r="P24" i="50" s="1"/>
  <c r="M21" i="69"/>
  <c r="O21" i="69" s="1"/>
  <c r="P21" i="69" s="1"/>
  <c r="M16" i="52"/>
  <c r="M20" i="61"/>
  <c r="O20" i="61" s="1"/>
  <c r="P20" i="61" s="1"/>
  <c r="R20" i="61" s="1"/>
  <c r="M20" i="48"/>
  <c r="O20" i="48" s="1"/>
  <c r="P20" i="48" s="1"/>
  <c r="R20" i="48" s="1"/>
  <c r="M23" i="51"/>
  <c r="O23" i="51" s="1"/>
  <c r="P23" i="51" s="1"/>
  <c r="M24" i="45"/>
  <c r="O24" i="45" s="1"/>
  <c r="P24" i="45" s="1"/>
  <c r="M24" i="46"/>
  <c r="O24" i="46" s="1"/>
  <c r="P24" i="46" s="1"/>
  <c r="M23" i="44"/>
  <c r="O23" i="44" s="1"/>
  <c r="P23" i="44" s="1"/>
  <c r="M22" i="52"/>
  <c r="O22" i="52" s="1"/>
  <c r="P22" i="52" s="1"/>
  <c r="M22" i="70"/>
  <c r="J15" i="62"/>
  <c r="M23" i="72"/>
  <c r="O23" i="72" s="1"/>
  <c r="P23" i="72" s="1"/>
  <c r="M24" i="71"/>
  <c r="M24" i="44"/>
  <c r="O24" i="44" s="1"/>
  <c r="P24" i="44" s="1"/>
  <c r="M24" i="53"/>
  <c r="O24" i="53" s="1"/>
  <c r="P24" i="53" s="1"/>
  <c r="M23" i="69"/>
  <c r="K15" i="62"/>
  <c r="L21" i="16"/>
  <c r="L17" i="16"/>
  <c r="L23" i="16"/>
  <c r="M23" i="16" s="1"/>
  <c r="N23" i="16" s="1"/>
  <c r="M23" i="66"/>
  <c r="M23" i="54"/>
  <c r="O23" i="54" s="1"/>
  <c r="P23" i="54" s="1"/>
  <c r="M23" i="52"/>
  <c r="O23" i="52" s="1"/>
  <c r="P23" i="52" s="1"/>
  <c r="M24" i="48"/>
  <c r="M20" i="50"/>
  <c r="O20" i="50" s="1"/>
  <c r="P20" i="50" s="1"/>
  <c r="R20" i="50" s="1"/>
  <c r="M17" i="72"/>
  <c r="O17" i="72" s="1"/>
  <c r="P17" i="72" s="1"/>
  <c r="M16" i="64"/>
  <c r="M16" i="60"/>
  <c r="O16" i="60" s="1"/>
  <c r="P16" i="60" s="1"/>
  <c r="M18" i="67"/>
  <c r="O18" i="67" s="1"/>
  <c r="P18" i="67" s="1"/>
  <c r="M16" i="48"/>
  <c r="M20" i="71"/>
  <c r="O20" i="71" s="1"/>
  <c r="P20" i="71" s="1"/>
  <c r="R20" i="71" s="1"/>
  <c r="M16" i="43"/>
  <c r="O16" i="43" s="1"/>
  <c r="P16" i="43" s="1"/>
  <c r="M17" i="60"/>
  <c r="O17" i="60" s="1"/>
  <c r="P17" i="60" s="1"/>
  <c r="M22" i="43"/>
  <c r="O22" i="43" s="1"/>
  <c r="P22" i="43" s="1"/>
  <c r="M16" i="65"/>
  <c r="M22" i="63"/>
  <c r="O22" i="63" s="1"/>
  <c r="P22" i="63" s="1"/>
  <c r="M16" i="72"/>
  <c r="O16" i="72" s="1"/>
  <c r="P16" i="72" s="1"/>
  <c r="M20" i="43"/>
  <c r="O20" i="43" s="1"/>
  <c r="P20" i="43" s="1"/>
  <c r="R20" i="43" s="1"/>
  <c r="M20" i="53"/>
  <c r="O20" i="53" s="1"/>
  <c r="P20" i="53" s="1"/>
  <c r="R20" i="53" s="1"/>
  <c r="M21" i="52"/>
  <c r="O21" i="52" s="1"/>
  <c r="P21" i="52" s="1"/>
  <c r="M21" i="51"/>
  <c r="O21" i="51" s="1"/>
  <c r="P21" i="51" s="1"/>
  <c r="M16" i="44"/>
  <c r="M20" i="70"/>
  <c r="O20" i="70" s="1"/>
  <c r="P20" i="70" s="1"/>
  <c r="R20" i="70" s="1"/>
  <c r="J7" i="62"/>
  <c r="K12" i="62"/>
  <c r="J25" i="61"/>
  <c r="P29" i="61" s="1"/>
  <c r="M17" i="56"/>
  <c r="O17" i="56" s="1"/>
  <c r="P17" i="56" s="1"/>
  <c r="M22" i="64"/>
  <c r="O22" i="64" s="1"/>
  <c r="P22" i="64" s="1"/>
  <c r="M20" i="47"/>
  <c r="O20" i="47" s="1"/>
  <c r="P20" i="47" s="1"/>
  <c r="R20" i="47" s="1"/>
  <c r="M18" i="53"/>
  <c r="O18" i="53" s="1"/>
  <c r="P18" i="53" s="1"/>
  <c r="M21" i="47"/>
  <c r="O21" i="47" s="1"/>
  <c r="P21" i="47" s="1"/>
  <c r="M17" i="61"/>
  <c r="O17" i="61" s="1"/>
  <c r="P17" i="61" s="1"/>
  <c r="M22" i="67"/>
  <c r="O22" i="67" s="1"/>
  <c r="P22" i="67" s="1"/>
  <c r="M20" i="57"/>
  <c r="O20" i="57" s="1"/>
  <c r="P20" i="57" s="1"/>
  <c r="R20" i="57" s="1"/>
  <c r="M21" i="43"/>
  <c r="O21" i="43" s="1"/>
  <c r="P21" i="43" s="1"/>
  <c r="M16" i="58"/>
  <c r="O16" i="58" s="1"/>
  <c r="P16" i="58" s="1"/>
  <c r="M21" i="68"/>
  <c r="O21" i="68" s="1"/>
  <c r="P21" i="68" s="1"/>
  <c r="M21" i="44"/>
  <c r="O21" i="44" s="1"/>
  <c r="P21" i="44" s="1"/>
  <c r="M17" i="44"/>
  <c r="O17" i="44" s="1"/>
  <c r="P17" i="44" s="1"/>
  <c r="M16" i="59"/>
  <c r="M16" i="66"/>
  <c r="O16" i="66" s="1"/>
  <c r="M20" i="46"/>
  <c r="O20" i="46" s="1"/>
  <c r="P20" i="46" s="1"/>
  <c r="R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L25" i="60"/>
  <c r="K25" i="46"/>
  <c r="K25" i="58"/>
  <c r="K25" i="53"/>
  <c r="K25" i="59"/>
  <c r="L25" i="43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2" i="16"/>
  <c r="N22" i="16" s="1"/>
  <c r="M21" i="11"/>
  <c r="O21" i="11" s="1"/>
  <c r="J25" i="16"/>
  <c r="O30" i="16" s="1"/>
  <c r="M24" i="16"/>
  <c r="N24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2" i="16" l="1"/>
  <c r="O24" i="16"/>
  <c r="M15" i="62"/>
  <c r="M12" i="62"/>
  <c r="P30" i="70"/>
  <c r="P31" i="70" s="1"/>
  <c r="P33" i="70" s="1"/>
  <c r="P34" i="70" s="1"/>
  <c r="P35" i="70" s="1"/>
  <c r="T30" i="62" s="1"/>
  <c r="P30" i="51"/>
  <c r="O19" i="50"/>
  <c r="P19" i="50" s="1"/>
  <c r="P30" i="50"/>
  <c r="M25" i="66"/>
  <c r="M25" i="52"/>
  <c r="O20" i="52"/>
  <c r="P20" i="52" s="1"/>
  <c r="P30" i="68"/>
  <c r="P31" i="68" s="1"/>
  <c r="P33" i="68" s="1"/>
  <c r="P34" i="68" s="1"/>
  <c r="P35" i="68" s="1"/>
  <c r="T28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4" l="1"/>
  <c r="O15" i="62"/>
  <c r="P15" i="62" s="1"/>
  <c r="O25" i="64"/>
  <c r="O12" i="62"/>
  <c r="P12" i="62" s="1"/>
  <c r="O25" i="70"/>
  <c r="P16" i="70"/>
  <c r="P25" i="70" s="1"/>
  <c r="O25" i="52"/>
  <c r="O25" i="48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O17" i="5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P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P21" i="5" s="1"/>
  <c r="K48" i="5"/>
  <c r="M48" i="5"/>
  <c r="O48" i="5" s="1"/>
  <c r="P48" i="5" s="1"/>
  <c r="I25" i="11"/>
  <c r="P28" i="11" s="1"/>
  <c r="P20" i="5"/>
  <c r="O42" i="5"/>
  <c r="P47" i="5"/>
  <c r="P10" i="5"/>
  <c r="P29" i="5"/>
  <c r="O34" i="5"/>
  <c r="O25" i="5"/>
  <c r="P17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<sst xmlns="http://schemas.openxmlformats.org/spreadsheetml/2006/main" count="3908" uniqueCount="517">
  <si>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</si>
  <si>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</si>
  <si>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</si>
  <si>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</si>
  <si>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</si>
  <si>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</si>
  <si>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</si>
  <si>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</si>
  <si>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</si>
  <si>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</si>
  <si>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</si>
  <si>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</si>
  <si>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</si>
  <si>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</si>
  <si>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</si>
  <si>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</si>
  <si>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</si>
  <si>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</si>
  <si>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</si>
  <si>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</si>
  <si>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</si>
  <si>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</si>
  <si>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</si>
  <si>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</si>
  <si>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</si>
  <si>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</si>
  <si>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</si>
  <si>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</si>
  <si>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</si>
  <si>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</si>
  <si>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</si>
  <si>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</si>
  <si>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</si>
  <si>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</si>
  <si>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</si>
  <si>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</si>
  <si>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</si>
  <si>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</si>
  <si>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</si>
  <si>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</si>
  <si>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</si>
  <si>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</si>
  <si>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</si>
  <si>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</si>
  <si>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</si>
  <si>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</si>
  <si>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</si>
  <si>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</si>
  <si>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</si>
  <si>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</si>
  <si>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</si>
  <si>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</si>
  <si>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</si>
  <si>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</si>
  <si>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</si>
  <si>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</si>
  <si>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</si>
  <si>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</si>
  <si>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</si>
  <si>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</si>
  <si>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</si>
  <si>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</si>
  <si>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</si>
  <si>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</si>
  <si>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</si>
  <si>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</si>
  <si>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</si>
  <si>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</si>
  <si>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</si>
  <si>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</si>
  <si>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</si>
  <si>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</si>
  <si>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</si>
  <si>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</si>
  <si>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</si>
  <si>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</si>
  <si>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</si>
  <si>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</si>
  <si>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</si>
  <si>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</si>
  <si>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</si>
  <si>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</si>
  <si>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</si>
  <si>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</si>
  <si>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</si>
  <si>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</si>
  <si>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</si>
  <si>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</si>
  <si>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</si>
  <si>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</si>
  <si>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</si>
  <si>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</si>
  <si>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</si>
  <si>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</si>
  <si>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</si>
  <si>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</si>
  <si>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</si>
  <si>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</si>
  <si>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</si>
  <si>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</si>
  <si>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</si>
  <si>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</si>
  <si>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</si>
  <si>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</si>
  <si>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</si>
  <si>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</si>
  <si>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</si>
  <si>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</si>
  <si>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</si>
  <si>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</si>
  <si>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</si>
  <si>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</si>
  <si>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</si>
  <si>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</si>
  <si>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</si>
  <si>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</si>
  <si>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</si>
  <si>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</si>
  <si>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</si>
  <si>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</si>
  <si>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</si>
  <si>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</si>
  <si>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</si>
  <si>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</si>
  <si>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</si>
  <si>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</si>
  <si>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</si>
  <si>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</si>
  <si>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</si>
  <si>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</si>
  <si>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</si>
  <si>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</si>
  <si>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</si>
  <si>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</si>
  <si>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</si>
  <si>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</si>
  <si>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</si>
  <si>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</si>
  <si>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</si>
  <si>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</si>
  <si>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</si>
  <si>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</si>
  <si>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</si>
  <si>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</si>
  <si>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</si>
  <si>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</si>
  <si>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</si>
  <si>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</si>
  <si>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</si>
  <si>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</si>
  <si>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</si>
  <si>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</si>
  <si>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</si>
  <si>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</si>
  <si>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</si>
  <si>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</si>
  <si>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</si>
  <si>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</si>
  <si>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</si>
  <si>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</si>
  <si>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</si>
  <si>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</si>
  <si>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</si>
  <si>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</si>
  <si>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</si>
  <si>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</si>
  <si>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</si>
  <si>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</si>
  <si>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</si>
  <si>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</si>
  <si>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</si>
  <si>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</si>
  <si>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</si>
  <si>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</si>
  <si>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</si>
  <si>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</si>
  <si>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</si>
  <si>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</si>
  <si>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</si>
  <si>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</si>
  <si>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</si>
  <si>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</si>
  <si>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</si>
  <si>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</si>
  <si>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</si>
  <si>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</si>
  <si>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</si>
  <si>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</si>
  <si>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</si>
  <si>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</si>
  <si>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</si>
  <si>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</si>
  <si>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</si>
  <si>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</si>
  <si>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</si>
  <si>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</si>
  <si>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</si>
  <si>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</si>
  <si>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</si>
  <si>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</si>
  <si>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</si>
  <si>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</si>
  <si>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</si>
  <si>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</si>
  <si>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</si>
  <si>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</si>
  <si>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</si>
  <si>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</si>
  <si>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</si>
  <si>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</si>
  <si>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</si>
  <si>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</si>
  <si>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</si>
  <si>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</si>
  <si>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</si>
  <si>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</si>
  <si>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</si>
  <si>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</si>
  <si>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</si>
  <si>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</si>
  <si>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</si>
  <si>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</si>
  <si>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</si>
  <si>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</si>
  <si>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</si>
  <si>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</si>
  <si>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</si>
  <si>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</si>
  <si>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</si>
  <si>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</si>
  <si>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</si>
  <si>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</si>
  <si>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</si>
  <si>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</si>
  <si>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</si>
  <si>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</si>
  <si>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</si>
  <si>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</si>
  <si>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</si>
  <si>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</si>
  <si>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</si>
  <si>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</si>
  <si>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</si>
  <si>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</si>
  <si>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</si>
  <si>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</si>
  <si>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</si>
  <si>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</si>
  <si>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</si>
  <si>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</si>
  <si>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</si>
  <si>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</si>
  <si>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</si>
  <si>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</si>
  <si>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</si>
  <si>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</si>
  <si>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</si>
  <si>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</si>
  <si>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</si>
  <si>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</si>
  <si>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</si>
  <si>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</si>
  <si>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</si>
  <si>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</si>
  <si>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</si>
  <si>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</si>
  <si>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</si>
  <si>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</si>
  <si>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</si>
  <si>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</si>
  <si>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</si>
  <si>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</si>
  <si>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</si>
  <si>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</si>
  <si>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</si>
  <si>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</si>
  <si>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</si>
  <si>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</si>
  <si>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</si>
  <si>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</si>
  <si>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</si>
  <si>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</si>
  <si>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</si>
  <si>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</si>
  <si>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</si>
  <si>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</si>
  <si>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</si>
  <si>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</si>
  <si>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</si>
  <si>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</si>
  <si>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</si>
  <si>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</si>
  <si>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</si>
  <si>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</si>
  <si>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</si>
  <si>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</si>
  <si>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</si>
  <si>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</si>
  <si>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</si>
  <si>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</si>
  <si>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</si>
  <si>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</si>
  <si>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</si>
  <si>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</si>
  <si>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</si>
  <si>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</si>
  <si>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</si>
  <si>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</si>
  <si>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</si>
  <si>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</si>
  <si>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</si>
  <si>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</si>
  <si>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</si>
  <si>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</si>
  <si>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</si>
  <si>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</si>
  <si>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</si>
  <si>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</si>
  <si>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</si>
  <si>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</si>
  <si>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</si>
  <si>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</si>
  <si>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</si>
  <si>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</si>
  <si>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</si>
  <si>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</si>
  <si>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</si>
  <si>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</si>
  <si>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</si>
  <si>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</si>
  <si>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</si>
  <si>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</si>
  <si>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</si>
  <si>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</si>
  <si>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</si>
  <si>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</si>
  <si>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</si>
  <si>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</si>
  <si>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</si>
  <si>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</si>
  <si>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</si>
  <si>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</si>
  <si>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</si>
  <si>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</si>
  <si>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</si>
  <si>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</si>
  <si>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</si>
  <si>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</si>
  <si>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</si>
  <si>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</si>
  <si>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</si>
  <si>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</si>
  <si>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</si>
  <si>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</si>
  <si>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</si>
  <si>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</si>
  <si>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</si>
  <si>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</si>
  <si>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</si>
  <si>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</si>
  <si>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</si>
  <si>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</si>
  <si>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</si>
  <si>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</si>
  <si>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</si>
  <si>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</si>
  <si>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</si>
  <si>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</si>
  <si>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</si>
  <si>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</si>
  <si>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</si>
  <si>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</si>
  <si>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</si>
  <si>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</si>
  <si>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</si>
  <si>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</si>
  <si>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</si>
  <si>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</si>
  <si>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</si>
  <si>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</si>
  <si>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</si>
  <si>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</si>
  <si>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</si>
  <si>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</si>
  <si>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</si>
  <si>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</si>
  <si>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</si>
  <si>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</si>
  <si>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</si>
  <si>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</si>
  <si>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</si>
  <si>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</si>
  <si>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</si>
  <si>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</si>
  <si>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</si>
  <si>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</si>
  <si>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</si>
  <si>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</si>
  <si>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</si>
  <si>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</si>
  <si>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</si>
  <si>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</si>
  <si>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</si>
  <si>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</si>
  <si>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</si>
  <si>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</si>
  <si>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</si>
  <si>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</si>
  <si>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</si>
  <si>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</si>
  <si>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</si>
  <si>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</si>
  <si>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</si>
  <si>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</si>
  <si>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</si>
  <si>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</si>
  <si>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</si>
  <si>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</si>
  <si>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</si>
  <si>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</si>
  <si>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</si>
  <si>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</si>
  <si>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</si>
  <si>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</si>
  <si>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</si>
  <si>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</si>
  <si>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</si>
  <si>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</si>
  <si>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</si>
  <si>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</si>
  <si>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</si>
  <si>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</si>
  <si>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</si>
  <si>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</si>
  <si>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</si>
  <si>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</si>
  <si>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</si>
  <si>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</si>
  <si>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</si>
  <si>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</si>
  <si>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</si>
  <si>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</si>
  <si>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</si>
  <si>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</si>
  <si>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</si>
  <si>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</si>
  <si>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</si>
  <si>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</si>
  <si>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</si>
  <si>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</si>
  <si>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</si>
  <si>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</si>
  <si>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</si>
  <si>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</si>
  <si>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</si>
  <si>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</si>
  <si>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</si>
  <si>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</si>
  <si>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</si>
  <si>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</si>
  <si>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</si>
  <si>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</si>
  <si>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</si>
  <si>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</si>
  <si>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</si>
  <si>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</si>
  <si>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</si>
  <si>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</si>
  <si>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</si>
  <si>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</si>
  <si>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</si>
  <si>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</si>
  <si>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</si>
  <si>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</si>
  <si>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</si>
  <si>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</si>
  <si>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</si>
  <si>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</si>
  <si>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</si>
  <si>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</si>
  <si>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</si>
  <si>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</si>
  <si>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</si>
  <si>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</si>
  <si>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</si>
  <si>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</si>
  <si>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</si>
  <si>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</si>
  <si>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</si>
  <si>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</si>
  <si>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</si>
  <si>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</si>
  <si>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</si>
  <si>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</si>
  <si>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</si>
  <si>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</si>
  <si>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</si>
  <si>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Booker Name</t>
  </si>
  <si>
    <t>Date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</si>
  <si>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</si>
  <si>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</si>
  <si>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</si>
  <si>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</si>
  <si>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</si>
  <si>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</si>
  <si>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</si>
  <si>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Shop Summary Shakoor</t>
  </si>
  <si>
    <t>Rainbow</t>
  </si>
  <si>
    <t>Rainbow Cash &amp; Carry</t>
  </si>
  <si>
    <t>NTN #: 3344916-3</t>
  </si>
  <si>
    <t>Invoice No # :48915616</t>
  </si>
  <si>
    <t xml:space="preserve">Address: Shadra </t>
  </si>
  <si>
    <t>Address:  Shaikhpura</t>
  </si>
  <si>
    <t>Address: Gujranwala</t>
  </si>
  <si>
    <t xml:space="preserve">Address: ISB Pindi </t>
  </si>
  <si>
    <t>Address: Sabzazaar</t>
  </si>
  <si>
    <t>Invoice No # :4512348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</si>
</sst>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3" fillId="0" borderId="0" xfId="0" applyFont="1"/>
    <xf numFmtId="3" fontId="0" fillId="0" borderId="2" xfId="0" applyNumberFormat="1" applyBorder="1" applyAlignment="1">
      <alignment horizontal="center" vertical="top" shrinkToFit="1"/>
    </xf>
    <xf numFmtId="9" fontId="18" fillId="0" borderId="48" xfId="0" applyNumberFormat="1" applyFont="1" applyBorder="1" applyAlignment="1">
      <alignment horizontal="center" vertical="center" wrapText="1"/>
    </xf>
    <xf numFmtId="3" fontId="0" fillId="0" borderId="0" xfId="0" applyNumberFormat="1"/>
    <xf numFmtId="3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3" t="s">
        <v>24</v>
      </c>
      <c r="B2" s="313"/>
      <c r="C2" s="313"/>
      <c r="D2" s="313"/>
      <c r="E2" s="313"/>
      <c r="F2" s="313"/>
      <c r="G2" s="313"/>
      <c r="H2" s="313"/>
    </row>
    <row r="3" spans="1:21" ht="18" thickBot="1" x14ac:dyDescent="0.35">
      <c r="A3" s="314" t="s">
        <v>15</v>
      </c>
      <c r="B3" s="314"/>
      <c r="C3" s="314"/>
      <c r="D3" s="314"/>
      <c r="E3" s="314"/>
      <c r="F3" s="314"/>
      <c r="G3" s="314"/>
      <c r="H3" s="31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5" t="s">
        <v>37</v>
      </c>
      <c r="P3" s="31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7" t="s">
        <v>25</v>
      </c>
      <c r="D4" s="31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1" t="s">
        <v>30</v>
      </c>
      <c r="H13" s="31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1" t="s">
        <v>30</v>
      </c>
      <c r="H26" s="31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1" t="s">
        <v>30</v>
      </c>
      <c r="H37" s="31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3" t="s">
        <v>24</v>
      </c>
      <c r="B2" s="313"/>
      <c r="C2" s="313"/>
      <c r="D2" s="313"/>
      <c r="E2" s="313"/>
      <c r="F2" s="313"/>
      <c r="G2" s="313"/>
      <c r="H2" s="313"/>
    </row>
    <row r="3" spans="1:21" ht="18" thickBot="1" x14ac:dyDescent="0.35">
      <c r="A3" s="314" t="s">
        <v>15</v>
      </c>
      <c r="B3" s="314"/>
      <c r="C3" s="314"/>
      <c r="D3" s="314"/>
      <c r="E3" s="314"/>
      <c r="F3" s="314"/>
      <c r="G3" s="314"/>
      <c r="H3" s="31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5" t="s">
        <v>37</v>
      </c>
      <c r="P3" s="31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7" t="s">
        <v>25</v>
      </c>
      <c r="D4" s="31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1" t="s">
        <v>30</v>
      </c>
      <c r="H13" s="31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1" t="s">
        <v>30</v>
      </c>
      <c r="H26" s="31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1" t="s">
        <v>30</v>
      </c>
      <c r="H37" s="31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9"/>
      <c r="B3" s="319"/>
      <c r="C3" s="319"/>
      <c r="D3" s="319"/>
      <c r="E3" s="319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</row>
    <row r="4" spans="1:29" x14ac:dyDescent="0.35">
      <c r="A4" s="321" t="s">
        <v>436</v>
      </c>
      <c r="B4" s="165" t="s">
        <v>437</v>
      </c>
      <c r="C4" s="165"/>
      <c r="D4" s="323" t="s">
        <v>438</v>
      </c>
      <c r="E4" s="325" t="s">
        <v>439</v>
      </c>
      <c r="F4" s="327" t="s">
        <v>58</v>
      </c>
      <c r="G4" s="327"/>
      <c r="H4" s="328" t="s">
        <v>440</v>
      </c>
      <c r="I4" s="328"/>
      <c r="J4" s="329" t="s">
        <v>441</v>
      </c>
      <c r="K4" s="330"/>
      <c r="L4" s="329" t="s">
        <v>442</v>
      </c>
      <c r="M4" s="330"/>
      <c r="N4" s="331" t="s">
        <v>443</v>
      </c>
      <c r="O4" s="331"/>
      <c r="P4" s="329" t="s">
        <v>86</v>
      </c>
      <c r="Q4" s="330"/>
      <c r="R4" s="329" t="s">
        <v>444</v>
      </c>
      <c r="S4" s="330"/>
      <c r="T4" s="332" t="s">
        <v>445</v>
      </c>
      <c r="U4" s="332"/>
      <c r="V4" s="333" t="s">
        <v>446</v>
      </c>
      <c r="W4" s="334"/>
      <c r="X4" s="333" t="s">
        <v>447</v>
      </c>
      <c r="Y4" s="334"/>
    </row>
    <row r="5" spans="1:29" ht="26.25" customHeight="1" thickBot="1" x14ac:dyDescent="0.4">
      <c r="A5" s="322"/>
      <c r="B5" s="167" t="s">
        <v>448</v>
      </c>
      <c r="C5" s="167" t="s">
        <v>438</v>
      </c>
      <c r="D5" s="324"/>
      <c r="E5" s="32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S3" sqref="S3:S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5.1796875" customWidth="1"/>
    <col min="10" max="10" width="6.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8" t="s">
        <v>91</v>
      </c>
      <c r="B2" s="358"/>
      <c r="C2" s="358"/>
      <c r="E2" s="346" t="s">
        <v>497</v>
      </c>
      <c r="F2" s="344"/>
      <c r="G2" s="344"/>
      <c r="H2" s="344" t="s">
        <v>507</v>
      </c>
      <c r="I2" s="344"/>
      <c r="J2" s="345"/>
      <c r="R2" s="341" t="s">
        <v>506</v>
      </c>
      <c r="S2" s="342"/>
      <c r="T2" s="343"/>
    </row>
    <row r="3" spans="1:20 16377:16378" ht="21.75" customHeight="1" thickBot="1" x14ac:dyDescent="0.4">
      <c r="A3" s="359" t="s">
        <v>92</v>
      </c>
      <c r="B3" s="359"/>
      <c r="C3" s="359"/>
      <c r="E3" s="349" t="s">
        <v>498</v>
      </c>
      <c r="F3" s="350"/>
      <c r="G3" s="350"/>
      <c r="H3" s="347">
        <v>46273</v>
      </c>
      <c r="I3" s="347"/>
      <c r="J3" s="348"/>
      <c r="K3" s="360" t="s">
        <v>43</v>
      </c>
      <c r="L3" s="360"/>
      <c r="M3" s="360"/>
      <c r="N3" s="359"/>
      <c r="O3" s="359"/>
      <c r="P3" s="359"/>
      <c r="R3" s="299">
        <v>1</v>
      </c>
      <c r="S3" s="300" t="str">
        <f>+'1'!A6:A6</f>
        <v>Rainbow Cash &amp; Carry</v>
      </c>
      <c r="T3" s="301">
        <f>+'1'!P35</f>
        <v>20398.063751694914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Rainbow Cash &amp; Carry</v>
      </c>
      <c r="T4" s="301">
        <f>+'2'!P35</f>
        <v>27965.055306355931</v>
      </c>
      <c r="XEX4" t="s">
        <v>105</v>
      </c>
    </row>
    <row r="5" spans="1:20 16377:16378" ht="21.75" customHeight="1" thickBot="1" x14ac:dyDescent="0.4">
      <c r="A5" s="379" t="s">
        <v>51</v>
      </c>
      <c r="B5" s="351"/>
      <c r="C5" s="381" t="s">
        <v>90</v>
      </c>
      <c r="D5" s="115" t="s">
        <v>52</v>
      </c>
      <c r="E5" s="383" t="s">
        <v>58</v>
      </c>
      <c r="F5" s="384"/>
      <c r="G5" s="356" t="s">
        <v>54</v>
      </c>
      <c r="H5" s="357"/>
      <c r="I5" s="385" t="s">
        <v>77</v>
      </c>
      <c r="J5" s="355" t="s">
        <v>55</v>
      </c>
      <c r="K5" s="356"/>
      <c r="L5" s="357"/>
      <c r="M5" s="351" t="s">
        <v>84</v>
      </c>
      <c r="N5" s="353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Rainbow Cash &amp; Carry</v>
      </c>
      <c r="T5" s="301">
        <f>+'3'!P35</f>
        <v>25004.05140127119</v>
      </c>
      <c r="XEX5" t="s">
        <v>106</v>
      </c>
    </row>
    <row r="6" spans="1:20 16377:16378" ht="21.75" customHeight="1" thickBot="1" x14ac:dyDescent="0.4">
      <c r="A6" s="380"/>
      <c r="B6" s="352"/>
      <c r="C6" s="38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52"/>
      <c r="N6" s="354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Rainbow Cash &amp; Carry</v>
      </c>
      <c r="T6" s="301">
        <f>+'4'!P35</f>
        <v>21894.997300932202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881.37000000000012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5193.7875000000004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31.918090042372881</v>
      </c>
      <c r="P7" s="118">
        <f>M7+N7+O7</f>
        <v>6415.5360985169482</v>
      </c>
      <c r="Q7" s="142"/>
      <c r="R7" s="299">
        <v>5</v>
      </c>
      <c r="S7" s="300" t="str">
        <f>+'5'!A6:A6</f>
        <v>Rainbow Cash &amp; Carry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160</v>
      </c>
      <c r="I8" s="236">
        <f t="shared" ref="I8:I14" si="0">(G8*D8)*F8+H8*F8</f>
        <v>8394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1175.1600000000001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293.79000000000002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6925.05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1586.440677966101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42.557453389830506</v>
      </c>
      <c r="P8" s="119">
        <f t="shared" ref="P8:P15" si="2">M8+N8+O8</f>
        <v>8554.0481313559321</v>
      </c>
      <c r="R8" s="299">
        <v>6</v>
      </c>
      <c r="S8" s="300" t="str">
        <f>+'6'!A6:A6</f>
        <v>Rainbow Cash &amp; Carry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881.37000000000012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5193.7875000000004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31.918090042372881</v>
      </c>
      <c r="P9" s="119">
        <f t="shared" si="2"/>
        <v>6415.5360985169482</v>
      </c>
      <c r="R9" s="299">
        <v>7</v>
      </c>
      <c r="S9" s="300" t="str">
        <f>+'7'!A6:A6</f>
        <v>Rainbow Cash &amp; Carry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318</v>
      </c>
      <c r="I10" s="236">
        <f t="shared" si="0"/>
        <v>23099.52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3233.9328000000005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808.48320000000012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19057.103999999999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4365.7627118644068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117.11433355932202</v>
      </c>
      <c r="P10" s="119">
        <f t="shared" si="2"/>
        <v>23539.98104542373</v>
      </c>
      <c r="R10" s="299">
        <v>8</v>
      </c>
      <c r="S10" s="300" t="str">
        <f>+'8'!A6:A6</f>
        <v>Rainbow Cash &amp; Carry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200</v>
      </c>
      <c r="I11" s="236">
        <f t="shared" si="0"/>
        <v>14528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2033.9200000000003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508.48000000000008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11985.599999999999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2745.7627118644068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73.656813559322032</v>
      </c>
      <c r="P11" s="119">
        <f t="shared" si="2"/>
        <v>14805.019525423728</v>
      </c>
      <c r="R11" s="299">
        <v>9</v>
      </c>
      <c r="S11" s="300" t="str">
        <f>+'9'!A6:A6</f>
        <v>Rainbow Cash &amp; Carry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480</v>
      </c>
      <c r="I12" s="236">
        <f t="shared" si="0"/>
        <v>34867.199999999997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4881.4080000000004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1220.3520000000001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28765.439999999995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6589.8305084745762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176.77635254237288</v>
      </c>
      <c r="P12" s="119">
        <f t="shared" si="2"/>
        <v>35532.046861016941</v>
      </c>
      <c r="R12" s="299">
        <v>10</v>
      </c>
      <c r="S12" s="300" t="str">
        <f>+'10'!A6:A6</f>
        <v>Rainbow Cash &amp; Carry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Rainbow Cash &amp; Carry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Rainbow Cash &amp; Carry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Rainbow Cash &amp; Carry</v>
      </c>
      <c r="T15" s="301">
        <f>+'13'!P35</f>
        <v>0</v>
      </c>
    </row>
    <row r="16" spans="1:20 16377:16378" ht="21.75" customHeight="1" thickBot="1" x14ac:dyDescent="0.4">
      <c r="A16" s="361">
        <f>COUNT(A7:A15)</f>
        <v>0</v>
      </c>
      <c r="B16" s="362"/>
      <c r="C16" s="362" t="s">
        <v>40</v>
      </c>
      <c r="D16" s="362"/>
      <c r="E16" s="362"/>
      <c r="F16" s="363"/>
      <c r="G16" s="117">
        <f t="shared" ref="G16:M16" si="3">SUM(G7:G15)</f>
        <v>0</v>
      </c>
      <c r="H16" s="113">
        <f t="shared" si="3"/>
        <v>1398</v>
      </c>
      <c r="I16" s="114">
        <f t="shared" si="3"/>
        <v>93479.72</v>
      </c>
      <c r="J16" s="274">
        <f>SUM(J7:J15)</f>
        <v>13087.160800000001</v>
      </c>
      <c r="K16" s="275">
        <f t="shared" si="3"/>
        <v>3271.7902000000004</v>
      </c>
      <c r="L16" s="276">
        <f t="shared" si="3"/>
        <v>0</v>
      </c>
      <c r="M16" s="232">
        <f t="shared" si="3"/>
        <v>77120.769</v>
      </c>
      <c r="N16" s="233">
        <f>SUM(N7:N15)</f>
        <v>17667.457627118642</v>
      </c>
      <c r="O16" s="101">
        <f>SUM(O7:O15)</f>
        <v>473.94113313559319</v>
      </c>
      <c r="P16" s="234">
        <f>SUM(P7:P15)</f>
        <v>95262.167760254233</v>
      </c>
      <c r="R16" s="299">
        <v>14</v>
      </c>
      <c r="S16" s="300" t="str">
        <f>+'14'!A6:A6</f>
        <v>Rainbow Cash &amp; Carry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Rainbow Cash &amp; Carry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Rainbow Cash &amp; Carry</v>
      </c>
      <c r="T18" s="301">
        <f>+'16'!P35</f>
        <v>0</v>
      </c>
    </row>
    <row r="19" spans="1:20" ht="21.75" customHeight="1" x14ac:dyDescent="0.35">
      <c r="B19" s="364" t="s">
        <v>64</v>
      </c>
      <c r="C19" s="365"/>
      <c r="D19" s="365"/>
      <c r="E19" s="365"/>
      <c r="F19" s="365"/>
      <c r="G19" s="365"/>
      <c r="H19" s="365"/>
      <c r="I19" s="365"/>
      <c r="J19" s="365"/>
      <c r="K19" s="365"/>
      <c r="L19" s="366"/>
      <c r="N19" s="373" t="s">
        <v>60</v>
      </c>
      <c r="O19" s="374"/>
      <c r="P19" s="139">
        <f>I16</f>
        <v>93479.72</v>
      </c>
      <c r="R19" s="299">
        <v>17</v>
      </c>
      <c r="S19" s="300" t="str">
        <f>+'17'!A6:A6</f>
        <v>Rainbow Cash &amp; Carry</v>
      </c>
      <c r="T19" s="301">
        <f>+'17'!P35</f>
        <v>0</v>
      </c>
    </row>
    <row r="20" spans="1:20" ht="21.75" customHeight="1" x14ac:dyDescent="0.35">
      <c r="B20" s="367"/>
      <c r="C20" s="368"/>
      <c r="D20" s="368"/>
      <c r="E20" s="368"/>
      <c r="F20" s="368"/>
      <c r="G20" s="368"/>
      <c r="H20" s="368"/>
      <c r="I20" s="368"/>
      <c r="J20" s="368"/>
      <c r="K20" s="368"/>
      <c r="L20" s="369"/>
      <c r="N20" s="375" t="s">
        <v>85</v>
      </c>
      <c r="O20" s="376"/>
      <c r="P20" s="140">
        <f>+J16</f>
        <v>13087.160800000001</v>
      </c>
      <c r="R20" s="299">
        <v>18</v>
      </c>
      <c r="S20" s="300" t="str">
        <f>+'18'!A6:A6</f>
        <v>Rainbow Cash &amp; Carry</v>
      </c>
      <c r="T20" s="301">
        <f>+'18'!P35</f>
        <v>0</v>
      </c>
    </row>
    <row r="21" spans="1:20" ht="21.75" customHeight="1" x14ac:dyDescent="0.35">
      <c r="B21" s="367"/>
      <c r="C21" s="368"/>
      <c r="D21" s="368"/>
      <c r="E21" s="368"/>
      <c r="F21" s="368"/>
      <c r="G21" s="368"/>
      <c r="H21" s="368"/>
      <c r="I21" s="368"/>
      <c r="J21" s="368"/>
      <c r="K21" s="368"/>
      <c r="L21" s="369"/>
      <c r="N21" s="375" t="s">
        <v>86</v>
      </c>
      <c r="O21" s="376"/>
      <c r="P21" s="140">
        <f>+K16+L16</f>
        <v>3271.7902000000004</v>
      </c>
      <c r="R21" s="299">
        <v>19</v>
      </c>
      <c r="S21" s="300" t="str">
        <f>+'19'!A6:A6</f>
        <v>Rainbow Cash &amp; Carry</v>
      </c>
      <c r="T21" s="301">
        <f>+'19'!P35</f>
        <v>0</v>
      </c>
    </row>
    <row r="22" spans="1:20" ht="21.75" customHeight="1" x14ac:dyDescent="0.35">
      <c r="B22" s="367"/>
      <c r="C22" s="368"/>
      <c r="D22" s="368"/>
      <c r="E22" s="368"/>
      <c r="F22" s="368"/>
      <c r="G22" s="368"/>
      <c r="H22" s="368"/>
      <c r="I22" s="368"/>
      <c r="J22" s="368"/>
      <c r="K22" s="368"/>
      <c r="L22" s="369"/>
      <c r="M22" s="131"/>
      <c r="N22" s="375" t="s">
        <v>87</v>
      </c>
      <c r="O22" s="376"/>
      <c r="P22" s="140">
        <f>P19-P20-P21</f>
        <v>77120.769</v>
      </c>
      <c r="R22" s="299">
        <v>20</v>
      </c>
      <c r="S22" s="300" t="str">
        <f>+'20'!A6:A6</f>
        <v>Rainbow Cash &amp; Carry</v>
      </c>
      <c r="T22" s="301">
        <f>+'20'!P35</f>
        <v>0</v>
      </c>
    </row>
    <row r="23" spans="1:20" ht="21.75" customHeight="1" x14ac:dyDescent="0.35">
      <c r="B23" s="367"/>
      <c r="C23" s="368"/>
      <c r="D23" s="368"/>
      <c r="E23" s="368"/>
      <c r="F23" s="368"/>
      <c r="G23" s="368"/>
      <c r="H23" s="368"/>
      <c r="I23" s="368"/>
      <c r="J23" s="368"/>
      <c r="K23" s="368"/>
      <c r="L23" s="369"/>
      <c r="M23" s="131"/>
      <c r="N23" s="136" t="s">
        <v>61</v>
      </c>
      <c r="O23" s="133">
        <v>0.18</v>
      </c>
      <c r="P23" s="140">
        <f>+N16</f>
        <v>17667.457627118642</v>
      </c>
      <c r="R23" s="299">
        <v>21</v>
      </c>
      <c r="S23" s="300" t="str">
        <f>+'21'!A6:A6</f>
        <v>Rainbow Cash &amp; Carry</v>
      </c>
      <c r="T23" s="301">
        <f>+'21'!P35</f>
        <v>0</v>
      </c>
    </row>
    <row r="24" spans="1:20" ht="21.75" customHeight="1" x14ac:dyDescent="0.35">
      <c r="B24" s="367"/>
      <c r="C24" s="368"/>
      <c r="D24" s="368"/>
      <c r="E24" s="368"/>
      <c r="F24" s="368"/>
      <c r="G24" s="368"/>
      <c r="H24" s="368"/>
      <c r="I24" s="368"/>
      <c r="J24" s="368"/>
      <c r="K24" s="368"/>
      <c r="L24" s="369"/>
      <c r="M24" s="131"/>
      <c r="N24" s="377" t="s">
        <v>76</v>
      </c>
      <c r="O24" s="378"/>
      <c r="P24" s="140">
        <f>P22+P23</f>
        <v>94788.226627118638</v>
      </c>
      <c r="R24" s="299">
        <v>22</v>
      </c>
      <c r="S24" s="300" t="str">
        <f>+'22'!A6:A6</f>
        <v>Rainbow Cash &amp; Carry</v>
      </c>
      <c r="T24" s="301">
        <f>+'22'!P35</f>
        <v>0</v>
      </c>
    </row>
    <row r="25" spans="1:20" ht="21.75" customHeight="1" thickBot="1" x14ac:dyDescent="0.4">
      <c r="B25" s="370"/>
      <c r="C25" s="371"/>
      <c r="D25" s="371"/>
      <c r="E25" s="371"/>
      <c r="F25" s="371"/>
      <c r="G25" s="371"/>
      <c r="H25" s="371"/>
      <c r="I25" s="371"/>
      <c r="J25" s="371"/>
      <c r="K25" s="371"/>
      <c r="L25" s="372"/>
      <c r="M25" s="99"/>
      <c r="N25" s="138" t="s">
        <v>83</v>
      </c>
      <c r="O25" s="137" t="e">
        <f>IF(#REF!="Filer",0.5%,2.5%)</f>
        <v>#REF!</v>
      </c>
      <c r="P25" s="140">
        <f>+O16</f>
        <v>473.94113313559319</v>
      </c>
      <c r="R25" s="299">
        <v>23</v>
      </c>
      <c r="S25" s="300" t="str">
        <f>+'23'!A6:A6</f>
        <v>Rainbow Cash &amp; Carry</v>
      </c>
      <c r="T25" s="301">
        <f>+'23'!P35</f>
        <v>0</v>
      </c>
    </row>
    <row r="26" spans="1:20" ht="21.75" customHeight="1" thickBot="1" x14ac:dyDescent="0.4">
      <c r="N26" s="335" t="s">
        <v>88</v>
      </c>
      <c r="O26" s="336"/>
      <c r="P26" s="297">
        <f>+P24+P25</f>
        <v>95262.167760254233</v>
      </c>
      <c r="R26" s="299">
        <v>24</v>
      </c>
      <c r="S26" s="300" t="str">
        <f>+'24'!A6:A6</f>
        <v>Rainbow Cash &amp; Carry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7"/>
      <c r="D27" s="337"/>
      <c r="E27" s="337"/>
      <c r="F27" s="337"/>
      <c r="G27" s="337"/>
      <c r="H27" s="337"/>
      <c r="I27" s="338"/>
      <c r="J27" s="339"/>
      <c r="K27" s="340"/>
      <c r="R27" s="299">
        <v>25</v>
      </c>
      <c r="S27" s="300" t="str">
        <f>+'25'!A6:A6</f>
        <v>Rainbow Cash &amp; Carry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Rainbow Cash &amp; Carry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Rainbow Cash &amp; Carry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Rainbow Cash &amp; Carry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Rainbow Cash &amp; Carry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Rainbow Cash &amp; Carry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95262.167760254233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516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46273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46272</v>
      </c>
      <c r="O5" s="359"/>
      <c r="P5" s="359"/>
      <c r="R5" s="85"/>
      <c r="S5" s="266"/>
    </row>
    <row r="6" spans="1:22 16383:16384" ht="17.2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500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511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08">
        <v>0.14000000000000001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119">
        <f t="shared" ref="P17:P24" si="5">M17+N17+O17</f>
        <v>2138.512032838983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587.58000000000004</v>
      </c>
      <c r="K18" s="128">
        <f t="shared" si="1"/>
        <v>146.89500000000001</v>
      </c>
      <c r="L18" s="119">
        <f t="shared" si="1"/>
        <v>0</v>
      </c>
      <c r="M18" s="230">
        <f t="shared" si="2"/>
        <v>3462.5250000000001</v>
      </c>
      <c r="N18" s="277">
        <f t="shared" si="3"/>
        <v>793.22033898305051</v>
      </c>
      <c r="O18" s="239">
        <f t="shared" si="4"/>
        <v>21.278726694915253</v>
      </c>
      <c r="P18" s="119">
        <f t="shared" si="5"/>
        <v>4277.0240656779661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307">
        <v>80</v>
      </c>
      <c r="I20" s="236">
        <f t="shared" si="7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119">
        <f t="shared" si="5"/>
        <v>5922.0078101694908</v>
      </c>
      <c r="Q20" s="306"/>
      <c r="R20">
        <f>P20/21</f>
        <v>282.00037191283292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119">
        <f t="shared" si="5"/>
        <v>5922.0078101694908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" si="8">SUM(G16:G24)</f>
        <v>0</v>
      </c>
      <c r="H25" s="113">
        <f t="shared" ref="H25" si="9">SUM(H16:H24)</f>
        <v>320</v>
      </c>
      <c r="I25" s="114">
        <f t="shared" ref="I25:M25" si="10">SUM(I16:I24)</f>
        <v>20016.400000000001</v>
      </c>
      <c r="J25" s="274">
        <f>SUM(J16:J24)</f>
        <v>2802.2960000000003</v>
      </c>
      <c r="K25" s="275">
        <f t="shared" si="10"/>
        <v>700.57400000000007</v>
      </c>
      <c r="L25" s="276">
        <f t="shared" si="10"/>
        <v>0</v>
      </c>
      <c r="M25" s="232">
        <f t="shared" si="10"/>
        <v>16513.53</v>
      </c>
      <c r="N25" s="233">
        <f>SUM(N16:N24)</f>
        <v>3783.0508474576263</v>
      </c>
      <c r="O25" s="101">
        <f>SUM(O16:O24)</f>
        <v>101.48290423728812</v>
      </c>
      <c r="P25" s="234">
        <f>SUM(P16:P24)</f>
        <v>20398.063751694914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20016.400000000001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2802.2960000000003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700.57400000000007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16513.53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3783.0508474576263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20296.580847457626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101.48290423728814</v>
      </c>
    </row>
    <row r="35" spans="2:16" ht="15.75" customHeight="1" thickBot="1" x14ac:dyDescent="0.4">
      <c r="N35" s="335" t="s">
        <v>88</v>
      </c>
      <c r="O35" s="336"/>
      <c r="P35" s="297">
        <f>+P33+P34</f>
        <v>20398.063751694914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>
      <c r="P37" s="223"/>
    </row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16" sqref="H16: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516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46273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46272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500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512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08">
        <v>0.14000000000000001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119">
        <f t="shared" ref="P17:P24" si="5">M17+N17+O17</f>
        <v>2138.512032838983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240</v>
      </c>
      <c r="I19" s="236">
        <f t="shared" si="0"/>
        <v>17433.599999999999</v>
      </c>
      <c r="J19" s="272">
        <f t="shared" si="1"/>
        <v>2440.7040000000002</v>
      </c>
      <c r="K19" s="128">
        <f t="shared" si="1"/>
        <v>610.17600000000004</v>
      </c>
      <c r="L19" s="119">
        <f t="shared" si="1"/>
        <v>0</v>
      </c>
      <c r="M19" s="230">
        <f t="shared" si="2"/>
        <v>14382.719999999998</v>
      </c>
      <c r="N19" s="277">
        <f t="shared" si="3"/>
        <v>3294.9152542372885</v>
      </c>
      <c r="O19" s="239">
        <f t="shared" si="4"/>
        <v>88.388176271186424</v>
      </c>
      <c r="P19" s="119">
        <f t="shared" si="5"/>
        <v>17766.02343050847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119">
        <f t="shared" si="5"/>
        <v>5922.0078101694908</v>
      </c>
      <c r="R20">
        <f>P20/21</f>
        <v>282.00037191283292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400</v>
      </c>
      <c r="I25" s="114">
        <f t="shared" si="7"/>
        <v>27441.8</v>
      </c>
      <c r="J25" s="274">
        <f>SUM(J16:J24)</f>
        <v>3841.8520000000003</v>
      </c>
      <c r="K25" s="275">
        <f t="shared" si="7"/>
        <v>960.46300000000008</v>
      </c>
      <c r="L25" s="276">
        <f t="shared" si="7"/>
        <v>0</v>
      </c>
      <c r="M25" s="232">
        <f t="shared" si="7"/>
        <v>22639.485000000001</v>
      </c>
      <c r="N25" s="233">
        <f>SUM(N16:N24)</f>
        <v>5186.4406779661022</v>
      </c>
      <c r="O25" s="101">
        <f>SUM(O16:O24)</f>
        <v>139.12962838983049</v>
      </c>
      <c r="P25" s="234">
        <f>SUM(P16:P24)</f>
        <v>27965.055306355927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27441.8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3841.8520000000003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960.46300000000008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22639.485000000001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5186.4406779661022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27825.925677966101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139.12962838983051</v>
      </c>
    </row>
    <row r="35" spans="2:16" ht="15.75" customHeight="1" thickBot="1" x14ac:dyDescent="0.4">
      <c r="N35" s="335" t="s">
        <v>88</v>
      </c>
      <c r="O35" s="336"/>
      <c r="P35" s="297">
        <f>+P33+P34</f>
        <v>27965.055306355931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516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46273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46272</v>
      </c>
      <c r="O5" s="359"/>
      <c r="P5" s="359"/>
      <c r="R5" s="85"/>
      <c r="S5" s="266"/>
    </row>
    <row r="6" spans="1:22 16383:16384" ht="18.7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500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08">
        <v>0.14000000000000001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119">
        <f t="shared" ref="P17:P24" si="5">M17+N17+O17</f>
        <v>2138.512032838983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293.79000000000002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1731.2625</v>
      </c>
      <c r="N18" s="277">
        <f t="shared" si="3"/>
        <v>396.61016949152526</v>
      </c>
      <c r="O18" s="239">
        <f t="shared" si="4"/>
        <v>10.639363347457627</v>
      </c>
      <c r="P18" s="119">
        <f t="shared" si="5"/>
        <v>2138.512032838983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119">
        <f t="shared" si="5"/>
        <v>2961.0039050847454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119">
        <f t="shared" si="5"/>
        <v>2961.0039050847454</v>
      </c>
      <c r="R20">
        <f>P20/21</f>
        <v>141.00018595641646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0"/>
        <v>14528</v>
      </c>
      <c r="J21" s="272">
        <f t="shared" si="1"/>
        <v>2033.9200000000003</v>
      </c>
      <c r="K21" s="128">
        <f t="shared" si="1"/>
        <v>508.48000000000008</v>
      </c>
      <c r="L21" s="119">
        <f t="shared" si="1"/>
        <v>0</v>
      </c>
      <c r="M21" s="230">
        <f t="shared" si="2"/>
        <v>11985.599999999999</v>
      </c>
      <c r="N21" s="277">
        <f t="shared" si="3"/>
        <v>2745.7627118644068</v>
      </c>
      <c r="O21" s="239">
        <f t="shared" si="4"/>
        <v>73.656813559322032</v>
      </c>
      <c r="P21" s="119">
        <f t="shared" si="5"/>
        <v>14805.019525423728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360</v>
      </c>
      <c r="I25" s="114">
        <f t="shared" si="7"/>
        <v>24536.2</v>
      </c>
      <c r="J25" s="274">
        <f>SUM(J16:J24)</f>
        <v>3435.0680000000002</v>
      </c>
      <c r="K25" s="275">
        <f t="shared" si="7"/>
        <v>858.76700000000005</v>
      </c>
      <c r="L25" s="276">
        <f t="shared" si="7"/>
        <v>0</v>
      </c>
      <c r="M25" s="232">
        <f t="shared" si="7"/>
        <v>20242.364999999998</v>
      </c>
      <c r="N25" s="233">
        <f>SUM(N16:N24)</f>
        <v>4637.2881355932204</v>
      </c>
      <c r="O25" s="101">
        <f>SUM(O16:O24)</f>
        <v>124.39826567796609</v>
      </c>
      <c r="P25" s="234">
        <f>SUM(P16:P24)</f>
        <v>25004.051401271186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24536.2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3435.0680000000002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858.76700000000005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20242.365000000002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4637.2881355932204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24879.653135593224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124.39826567796612</v>
      </c>
    </row>
    <row r="35" spans="2:16" ht="15.75" customHeight="1" thickBot="1" x14ac:dyDescent="0.4">
      <c r="N35" s="335" t="s">
        <v>88</v>
      </c>
      <c r="O35" s="336"/>
      <c r="P35" s="297">
        <f>+P33+P34</f>
        <v>25004.05140127119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516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46273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46272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500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514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08">
        <v>0.14000000000000001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142"/>
      <c r="R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119">
        <f t="shared" ref="P17:P24" si="5">M17+N17+O17</f>
        <v>2138.512032838983</v>
      </c>
      <c r="Q17" s="142"/>
      <c r="R17" s="142"/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0</v>
      </c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142"/>
      <c r="R18" s="142"/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38</v>
      </c>
      <c r="I19" s="236">
        <f t="shared" si="0"/>
        <v>2760.32</v>
      </c>
      <c r="J19" s="272">
        <f t="shared" si="1"/>
        <v>386.44480000000004</v>
      </c>
      <c r="K19" s="128">
        <f t="shared" si="1"/>
        <v>96.611200000000011</v>
      </c>
      <c r="L19" s="119">
        <f t="shared" si="1"/>
        <v>0</v>
      </c>
      <c r="M19" s="230">
        <f t="shared" si="2"/>
        <v>2277.2640000000001</v>
      </c>
      <c r="N19" s="277">
        <f t="shared" si="3"/>
        <v>521.69491525423734</v>
      </c>
      <c r="O19" s="239">
        <f t="shared" si="4"/>
        <v>13.994794576271188</v>
      </c>
      <c r="P19" s="119">
        <f t="shared" si="5"/>
        <v>2812.9537098305086</v>
      </c>
      <c r="Q19" s="142"/>
      <c r="R19" s="142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0</v>
      </c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142"/>
      <c r="R20" s="142"/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0"/>
        <v>14528</v>
      </c>
      <c r="J21" s="272">
        <f t="shared" si="1"/>
        <v>2033.9200000000003</v>
      </c>
      <c r="K21" s="128">
        <f t="shared" si="1"/>
        <v>508.48000000000008</v>
      </c>
      <c r="L21" s="119">
        <f t="shared" si="1"/>
        <v>0</v>
      </c>
      <c r="M21" s="230">
        <f t="shared" si="2"/>
        <v>11985.599999999999</v>
      </c>
      <c r="N21" s="277">
        <f t="shared" si="3"/>
        <v>2745.7627118644068</v>
      </c>
      <c r="O21" s="239">
        <f t="shared" si="4"/>
        <v>73.656813559322032</v>
      </c>
      <c r="P21" s="119">
        <f t="shared" si="5"/>
        <v>14805.019525423728</v>
      </c>
      <c r="Q21" s="142"/>
      <c r="R21" s="142"/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318</v>
      </c>
      <c r="I25" s="114">
        <f t="shared" si="7"/>
        <v>21485.32</v>
      </c>
      <c r="J25" s="274">
        <f>SUM(J16:J24)</f>
        <v>3007.9448000000002</v>
      </c>
      <c r="K25" s="275">
        <f t="shared" si="7"/>
        <v>751.98620000000005</v>
      </c>
      <c r="L25" s="276">
        <f t="shared" si="7"/>
        <v>0</v>
      </c>
      <c r="M25" s="232">
        <f t="shared" si="7"/>
        <v>17725.388999999999</v>
      </c>
      <c r="N25" s="233">
        <f>SUM(N16:N24)</f>
        <v>4060.6779661016944</v>
      </c>
      <c r="O25" s="101">
        <f>SUM(O16:O24)</f>
        <v>108.93033483050847</v>
      </c>
      <c r="P25" s="234">
        <f>SUM(P16:P24)</f>
        <v>21894.997300932202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  <c r="Q27" s="309"/>
      <c r="S27" s="310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21485.32</v>
      </c>
      <c r="Q28" s="309"/>
      <c r="S28" s="310"/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3007.9448000000002</v>
      </c>
      <c r="Q29" s="309"/>
      <c r="S29" s="310"/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751.98620000000005</v>
      </c>
      <c r="Q30" s="309"/>
      <c r="S30" s="310"/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17725.388999999999</v>
      </c>
      <c r="Q31" s="309"/>
      <c r="S31" s="310"/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4060.6779661016944</v>
      </c>
      <c r="Q32" s="309"/>
      <c r="S32" s="310"/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21786.066966101695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108.93033483050847</v>
      </c>
    </row>
    <row r="35" spans="2:16" ht="15.75" customHeight="1" thickBot="1" x14ac:dyDescent="0.4">
      <c r="N35" s="335" t="s">
        <v>88</v>
      </c>
      <c r="O35" s="336"/>
      <c r="P35" s="297">
        <f>+P33+P34</f>
        <v>21894.997300932202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2" workbookViewId="0">
      <selection activeCell="T17" sqref="T17:T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510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46272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46271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500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08">
        <v>0.14000000000000001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8.7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8" t="s">
        <v>91</v>
      </c>
      <c r="B2" s="358"/>
      <c r="C2" s="358"/>
    </row>
    <row r="3" spans="1:18 16382:16383" ht="15" customHeight="1" x14ac:dyDescent="0.35">
      <c r="A3" s="359" t="s">
        <v>92</v>
      </c>
      <c r="B3" s="359"/>
      <c r="C3" s="359"/>
      <c r="F3" s="85"/>
      <c r="G3" s="1"/>
      <c r="J3" s="360" t="s">
        <v>43</v>
      </c>
      <c r="K3" s="360"/>
      <c r="L3" s="360"/>
      <c r="M3" s="359"/>
      <c r="N3" s="359"/>
      <c r="O3" s="35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9" t="s">
        <v>65</v>
      </c>
      <c r="B4" s="359"/>
      <c r="C4" s="359"/>
      <c r="F4" s="85"/>
      <c r="G4" s="1"/>
      <c r="J4" s="360" t="s">
        <v>44</v>
      </c>
      <c r="K4" s="360"/>
      <c r="L4" s="360"/>
      <c r="M4" s="390">
        <f ca="1">TODAY()+1</f>
        <v>46294</v>
      </c>
      <c r="N4" s="390"/>
      <c r="O4" s="39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7" t="s">
        <v>93</v>
      </c>
      <c r="B5" s="387"/>
      <c r="C5" s="387"/>
      <c r="F5" s="85"/>
      <c r="G5" s="1"/>
      <c r="J5" s="360" t="s">
        <v>45</v>
      </c>
      <c r="K5" s="360"/>
      <c r="L5" s="360"/>
      <c r="M5" s="390">
        <f ca="1">M4-1</f>
        <v>46293</v>
      </c>
      <c r="N5" s="359"/>
      <c r="O5" s="359"/>
      <c r="Q5" s="85"/>
      <c r="R5" s="1"/>
    </row>
    <row r="6" spans="1:18 16382:16383" ht="15" customHeight="1" x14ac:dyDescent="0.35">
      <c r="A6" s="360" t="s">
        <v>94</v>
      </c>
      <c r="B6" s="360"/>
      <c r="C6" s="360"/>
      <c r="F6" s="85"/>
      <c r="G6" s="86"/>
      <c r="J6" s="360" t="s">
        <v>69</v>
      </c>
      <c r="K6" s="360"/>
      <c r="L6" s="360"/>
      <c r="M6" s="389" t="s">
        <v>62</v>
      </c>
      <c r="N6" s="389"/>
      <c r="O6" s="38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0" t="s">
        <v>73</v>
      </c>
      <c r="B7" s="360"/>
      <c r="C7" s="360"/>
      <c r="F7" s="85"/>
      <c r="G7" s="86"/>
      <c r="J7" s="360" t="s">
        <v>66</v>
      </c>
      <c r="K7" s="360"/>
      <c r="L7" s="360"/>
      <c r="M7" s="389" t="s">
        <v>70</v>
      </c>
      <c r="N7" s="389"/>
      <c r="O7" s="38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6" t="s">
        <v>95</v>
      </c>
      <c r="B8" s="386"/>
      <c r="C8" s="386"/>
      <c r="F8" s="85"/>
      <c r="G8" s="86"/>
      <c r="J8" s="360" t="s">
        <v>67</v>
      </c>
      <c r="K8" s="360"/>
      <c r="L8" s="360"/>
      <c r="M8" s="389" t="s">
        <v>71</v>
      </c>
      <c r="N8" s="389"/>
      <c r="O8" s="389"/>
      <c r="Q8" s="85"/>
      <c r="R8" s="86"/>
    </row>
    <row r="9" spans="1:18 16382:16383" x14ac:dyDescent="0.35">
      <c r="A9" s="386" t="s">
        <v>96</v>
      </c>
      <c r="B9" s="386"/>
      <c r="C9" s="386"/>
      <c r="F9" s="85"/>
      <c r="G9" s="86"/>
      <c r="J9" s="360" t="s">
        <v>68</v>
      </c>
      <c r="K9" s="360"/>
      <c r="L9" s="360"/>
      <c r="M9" s="389" t="s">
        <v>104</v>
      </c>
      <c r="N9" s="389"/>
      <c r="O9" s="389"/>
      <c r="Q9" s="85"/>
      <c r="R9" s="86"/>
      <c r="XFC9" t="s">
        <v>49</v>
      </c>
    </row>
    <row r="10" spans="1:18 16382:16383" x14ac:dyDescent="0.35">
      <c r="A10" s="386" t="s">
        <v>97</v>
      </c>
      <c r="B10" s="386"/>
      <c r="C10" s="386"/>
      <c r="F10" s="85"/>
      <c r="G10" s="1"/>
      <c r="J10" s="360" t="s">
        <v>46</v>
      </c>
      <c r="K10" s="360"/>
      <c r="L10" s="360"/>
      <c r="M10" s="359" t="s">
        <v>47</v>
      </c>
      <c r="N10" s="359"/>
      <c r="O10" s="35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0" t="s">
        <v>48</v>
      </c>
      <c r="K11" s="360"/>
      <c r="L11" s="360"/>
      <c r="M11" s="359" t="s">
        <v>49</v>
      </c>
      <c r="N11" s="359"/>
      <c r="O11" s="35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0" t="s">
        <v>50</v>
      </c>
      <c r="K12" s="360"/>
      <c r="L12" s="360"/>
      <c r="M12" s="359"/>
      <c r="N12" s="359"/>
      <c r="O12" s="35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9" t="s">
        <v>51</v>
      </c>
      <c r="B14" s="351"/>
      <c r="C14" s="381" t="s">
        <v>90</v>
      </c>
      <c r="D14" s="88" t="s">
        <v>52</v>
      </c>
      <c r="E14" s="95" t="s">
        <v>74</v>
      </c>
      <c r="F14" s="115" t="s">
        <v>53</v>
      </c>
      <c r="G14" s="355" t="s">
        <v>54</v>
      </c>
      <c r="H14" s="357"/>
      <c r="I14" s="385" t="s">
        <v>77</v>
      </c>
      <c r="J14" s="356" t="s">
        <v>55</v>
      </c>
      <c r="K14" s="357"/>
      <c r="L14" s="38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0"/>
      <c r="B15" s="352"/>
      <c r="C15" s="38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6"/>
      <c r="M28" s="373" t="s">
        <v>60</v>
      </c>
      <c r="N28" s="374"/>
      <c r="O28" s="139">
        <f>I25</f>
        <v>1452.8</v>
      </c>
    </row>
    <row r="29" spans="1:18 16383:16383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9"/>
      <c r="M29" s="375" t="s">
        <v>85</v>
      </c>
      <c r="N29" s="376"/>
      <c r="O29" s="140">
        <f>K25</f>
        <v>0</v>
      </c>
    </row>
    <row r="30" spans="1:18 16383:16383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9"/>
      <c r="M30" s="375" t="s">
        <v>86</v>
      </c>
      <c r="N30" s="376"/>
      <c r="O30" s="140">
        <f>J25</f>
        <v>50.848000000000006</v>
      </c>
    </row>
    <row r="31" spans="1:18 16383:16383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9"/>
      <c r="L31" s="131"/>
      <c r="M31" s="375" t="s">
        <v>87</v>
      </c>
      <c r="N31" s="376"/>
      <c r="O31" s="140">
        <f>O28-O29-O30</f>
        <v>1401.952</v>
      </c>
    </row>
    <row r="32" spans="1:18 16383:16383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9"/>
      <c r="L33" s="131"/>
      <c r="M33" s="377" t="s">
        <v>76</v>
      </c>
      <c r="N33" s="378"/>
      <c r="O33" s="140">
        <f>O31+O32</f>
        <v>1710.3814400000001</v>
      </c>
    </row>
    <row r="34" spans="2:15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5" t="s">
        <v>88</v>
      </c>
      <c r="N35" s="336"/>
      <c r="O35" s="141">
        <f>O28-O29+O31+O34</f>
        <v>2897.511536</v>
      </c>
    </row>
    <row r="36" spans="2:15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7" t="s">
        <v>438</v>
      </c>
      <c r="D1" s="393" t="s">
        <v>439</v>
      </c>
      <c r="E1" s="327" t="s">
        <v>58</v>
      </c>
      <c r="F1" s="327"/>
      <c r="G1" s="328" t="s">
        <v>440</v>
      </c>
      <c r="H1" s="328"/>
      <c r="I1" s="400" t="s">
        <v>441</v>
      </c>
      <c r="J1" s="400"/>
      <c r="K1" s="400" t="s">
        <v>442</v>
      </c>
      <c r="L1" s="400"/>
      <c r="M1" s="395" t="s">
        <v>484</v>
      </c>
      <c r="N1" s="396"/>
      <c r="O1" s="397"/>
    </row>
    <row r="2" spans="3:24" ht="29" x14ac:dyDescent="0.35">
      <c r="C2" s="327"/>
      <c r="D2" s="39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8" t="s">
        <v>476</v>
      </c>
      <c r="D6" s="398"/>
      <c r="E6" s="398"/>
      <c r="F6" s="398"/>
      <c r="G6" s="398"/>
      <c r="T6" s="257" t="s">
        <v>487</v>
      </c>
      <c r="U6" s="257" t="s">
        <v>488</v>
      </c>
    </row>
    <row r="7" spans="3:24" ht="14.5" customHeight="1" x14ac:dyDescent="0.35">
      <c r="C7" s="322" t="s">
        <v>438</v>
      </c>
      <c r="D7" s="326" t="s">
        <v>439</v>
      </c>
      <c r="E7" s="394" t="s">
        <v>58</v>
      </c>
      <c r="F7" s="394"/>
      <c r="G7" s="392" t="s">
        <v>440</v>
      </c>
      <c r="H7" s="328"/>
      <c r="I7" s="329" t="s">
        <v>441</v>
      </c>
      <c r="J7" s="330"/>
      <c r="K7" s="329" t="s">
        <v>442</v>
      </c>
      <c r="L7" s="330"/>
      <c r="M7" s="395" t="s">
        <v>484</v>
      </c>
      <c r="N7" s="396"/>
      <c r="O7" s="397"/>
      <c r="P7" s="256" t="s">
        <v>475</v>
      </c>
      <c r="Q7" s="242" t="s">
        <v>473</v>
      </c>
      <c r="R7" s="393" t="s">
        <v>475</v>
      </c>
      <c r="S7" s="393" t="s">
        <v>485</v>
      </c>
      <c r="T7" s="391" t="s">
        <v>486</v>
      </c>
      <c r="U7" s="391" t="s">
        <v>486</v>
      </c>
    </row>
    <row r="8" spans="3:24" ht="15" customHeight="1" thickBot="1" x14ac:dyDescent="0.4">
      <c r="C8" s="324"/>
      <c r="D8" s="32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3"/>
      <c r="S8" s="393"/>
      <c r="T8" s="392"/>
      <c r="U8" s="39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9" t="s">
        <v>477</v>
      </c>
      <c r="D12" s="399"/>
      <c r="E12" s="399"/>
      <c r="F12" s="399"/>
      <c r="G12" s="399"/>
    </row>
    <row r="13" spans="3:24" x14ac:dyDescent="0.35">
      <c r="C13" s="323" t="s">
        <v>438</v>
      </c>
      <c r="D13" s="325" t="s">
        <v>439</v>
      </c>
      <c r="E13" s="327" t="s">
        <v>58</v>
      </c>
      <c r="F13" s="327"/>
      <c r="G13" s="328" t="s">
        <v>440</v>
      </c>
      <c r="H13" s="328"/>
      <c r="I13" s="329" t="s">
        <v>441</v>
      </c>
      <c r="J13" s="330"/>
      <c r="K13" s="329" t="s">
        <v>442</v>
      </c>
      <c r="L13" s="330"/>
      <c r="M13" s="395" t="s">
        <v>484</v>
      </c>
      <c r="N13" s="396"/>
      <c r="O13" s="397"/>
      <c r="P13" s="256" t="s">
        <v>475</v>
      </c>
      <c r="Q13" s="242" t="s">
        <v>473</v>
      </c>
      <c r="R13" s="393" t="s">
        <v>475</v>
      </c>
      <c r="S13" s="393" t="s">
        <v>485</v>
      </c>
      <c r="T13" s="391" t="s">
        <v>486</v>
      </c>
      <c r="U13" s="391" t="s">
        <v>486</v>
      </c>
    </row>
    <row r="14" spans="3:24" ht="29.5" thickBot="1" x14ac:dyDescent="0.4">
      <c r="C14" s="324"/>
      <c r="D14" s="32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3"/>
      <c r="S14" s="393"/>
      <c r="T14" s="392"/>
      <c r="U14" s="39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8" t="s">
        <v>478</v>
      </c>
      <c r="D19" s="398"/>
      <c r="E19" s="398"/>
      <c r="F19" s="398"/>
      <c r="G19" s="398"/>
    </row>
    <row r="20" spans="3:21" x14ac:dyDescent="0.35">
      <c r="C20" s="323" t="s">
        <v>438</v>
      </c>
      <c r="D20" s="325" t="s">
        <v>439</v>
      </c>
      <c r="E20" s="327" t="s">
        <v>58</v>
      </c>
      <c r="F20" s="327"/>
      <c r="G20" s="328" t="s">
        <v>440</v>
      </c>
      <c r="H20" s="328"/>
      <c r="I20" s="329" t="s">
        <v>441</v>
      </c>
      <c r="J20" s="330"/>
      <c r="K20" s="329" t="s">
        <v>442</v>
      </c>
      <c r="L20" s="330"/>
      <c r="M20" s="395" t="s">
        <v>484</v>
      </c>
      <c r="N20" s="396"/>
      <c r="O20" s="397"/>
      <c r="P20" s="256" t="s">
        <v>475</v>
      </c>
      <c r="Q20" s="242" t="s">
        <v>473</v>
      </c>
      <c r="R20" s="393" t="s">
        <v>475</v>
      </c>
      <c r="S20" s="393" t="s">
        <v>485</v>
      </c>
      <c r="T20" s="391" t="s">
        <v>486</v>
      </c>
      <c r="U20" s="391" t="s">
        <v>486</v>
      </c>
    </row>
    <row r="21" spans="3:21" ht="29.5" thickBot="1" x14ac:dyDescent="0.4">
      <c r="C21" s="324"/>
      <c r="D21" s="32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3"/>
      <c r="S21" s="393"/>
      <c r="T21" s="392"/>
      <c r="U21" s="39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8" t="s">
        <v>479</v>
      </c>
      <c r="D26" s="398"/>
      <c r="E26" s="398"/>
      <c r="F26" s="398"/>
      <c r="G26" s="398"/>
    </row>
    <row r="27" spans="3:21" x14ac:dyDescent="0.35">
      <c r="C27" s="323" t="s">
        <v>438</v>
      </c>
      <c r="D27" s="325" t="s">
        <v>439</v>
      </c>
      <c r="E27" s="327" t="s">
        <v>58</v>
      </c>
      <c r="F27" s="327"/>
      <c r="G27" s="328" t="s">
        <v>440</v>
      </c>
      <c r="H27" s="328"/>
      <c r="I27" s="329" t="s">
        <v>441</v>
      </c>
      <c r="J27" s="330"/>
      <c r="K27" s="329" t="s">
        <v>442</v>
      </c>
      <c r="L27" s="330"/>
      <c r="M27" s="395" t="s">
        <v>484</v>
      </c>
      <c r="N27" s="396"/>
      <c r="O27" s="397"/>
      <c r="P27" s="256" t="s">
        <v>475</v>
      </c>
      <c r="Q27" s="242" t="s">
        <v>473</v>
      </c>
      <c r="R27" s="393" t="s">
        <v>475</v>
      </c>
      <c r="S27" s="393" t="s">
        <v>485</v>
      </c>
      <c r="T27" s="391" t="s">
        <v>486</v>
      </c>
      <c r="U27" s="391" t="s">
        <v>486</v>
      </c>
    </row>
    <row r="28" spans="3:21" ht="29.5" thickBot="1" x14ac:dyDescent="0.4">
      <c r="C28" s="324"/>
      <c r="D28" s="32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3"/>
      <c r="S28" s="393"/>
      <c r="T28" s="392"/>
      <c r="U28" s="39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7" t="s">
        <v>438</v>
      </c>
      <c r="C1" s="393" t="s">
        <v>439</v>
      </c>
      <c r="D1" s="327" t="s">
        <v>58</v>
      </c>
      <c r="E1" s="327"/>
      <c r="F1" s="328" t="s">
        <v>440</v>
      </c>
      <c r="G1" s="328"/>
      <c r="H1" s="400" t="s">
        <v>441</v>
      </c>
      <c r="I1" s="400"/>
      <c r="J1" s="400" t="s">
        <v>442</v>
      </c>
      <c r="K1" s="400"/>
      <c r="L1" s="395" t="s">
        <v>484</v>
      </c>
      <c r="M1" s="396"/>
      <c r="N1" s="397"/>
    </row>
    <row r="2" spans="2:17" ht="29" x14ac:dyDescent="0.35">
      <c r="B2" s="327"/>
      <c r="C2" s="39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2"/>
      <c r="G60" s="160" t="s">
        <v>195</v>
      </c>
      <c r="H60" s="161" t="s">
        <v>100</v>
      </c>
    </row>
    <row r="61" spans="5:8" x14ac:dyDescent="0.35">
      <c r="E61" s="159" t="s">
        <v>192</v>
      </c>
      <c r="F61" s="402"/>
      <c r="G61" s="160" t="s">
        <v>196</v>
      </c>
      <c r="H61" s="161" t="s">
        <v>98</v>
      </c>
    </row>
    <row r="62" spans="5:8" x14ac:dyDescent="0.35">
      <c r="E62" s="159" t="s">
        <v>192</v>
      </c>
      <c r="F62" s="402"/>
      <c r="G62" s="160" t="s">
        <v>197</v>
      </c>
      <c r="H62" s="161" t="s">
        <v>101</v>
      </c>
    </row>
    <row r="63" spans="5:8" x14ac:dyDescent="0.35">
      <c r="E63" s="159" t="s">
        <v>192</v>
      </c>
      <c r="F63" s="402"/>
      <c r="G63" s="160" t="s">
        <v>198</v>
      </c>
      <c r="H63" s="161" t="s">
        <v>102</v>
      </c>
    </row>
    <row r="64" spans="5:8" x14ac:dyDescent="0.35">
      <c r="E64" s="159" t="s">
        <v>192</v>
      </c>
      <c r="F64" s="402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2"/>
      <c r="G121" s="160" t="s">
        <v>273</v>
      </c>
      <c r="H121" s="161" t="s">
        <v>98</v>
      </c>
    </row>
    <row r="122" spans="5:8" x14ac:dyDescent="0.35">
      <c r="E122" s="159" t="s">
        <v>269</v>
      </c>
      <c r="F122" s="40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2"/>
      <c r="G241" s="160" t="s">
        <v>432</v>
      </c>
      <c r="H241" s="161" t="s">
        <v>98</v>
      </c>
    </row>
    <row r="242" spans="5:8" x14ac:dyDescent="0.35">
      <c r="E242" s="159" t="s">
        <v>428</v>
      </c>
      <c r="F242" s="40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2026-09-28T06:46:56Z</dcterms:modified>
</cp:coreProperties>
</file>