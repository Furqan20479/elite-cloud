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F2A8C2E-658F-4D64-8849-8CCA1CAC520B}" xr6:coauthVersionLast="47" xr6:coauthVersionMax="47" xr10:uidLastSave="{00000000-0000-0000-0000-000000000000}"/>
  <bookViews>
    <workbookView xWindow="-110" yWindow="-110" windowWidth="19420" windowHeight="10420" tabRatio="594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23" i="59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R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R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<sst xmlns="http://schemas.openxmlformats.org/spreadsheetml/2006/main" count="3908" uniqueCount="517">
  <si>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</si>
  <si>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</si>
  <si>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</si>
  <si>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</si>
  <si>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</si>
  <si>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</si>
  <si>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</si>
  <si>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</si>
  <si>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</si>
  <si>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</si>
  <si>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</si>
  <si>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</si>
  <si>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</si>
  <si>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</si>
  <si>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</si>
  <si>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</si>
  <si>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</si>
  <si>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</si>
  <si>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</si>
  <si>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</si>
  <si>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</si>
  <si>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</si>
  <si>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</si>
  <si>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</si>
  <si>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</si>
  <si>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</si>
  <si>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</si>
  <si>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</si>
  <si>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</si>
  <si>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</si>
  <si>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</si>
  <si>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</si>
  <si>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</si>
  <si>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</si>
  <si>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</si>
  <si>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</si>
  <si>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</si>
  <si>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</si>
  <si>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</si>
  <si>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</si>
  <si>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</si>
  <si>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</si>
  <si>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</si>
  <si>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</si>
  <si>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</si>
  <si>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</si>
  <si>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</si>
  <si>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</si>
  <si>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</si>
  <si>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</si>
  <si>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</si>
  <si>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</si>
  <si>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</si>
  <si>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</si>
  <si>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</si>
  <si>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</si>
  <si>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</si>
  <si>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</si>
  <si>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</si>
  <si>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</si>
  <si>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</si>
  <si>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</si>
  <si>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</si>
  <si>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</si>
  <si>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</si>
  <si>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</si>
  <si>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</si>
  <si>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</si>
  <si>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</si>
  <si>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</si>
  <si>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</si>
  <si>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</si>
  <si>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</si>
  <si>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</si>
  <si>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</si>
  <si>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</si>
  <si>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</si>
  <si>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</si>
  <si>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</si>
  <si>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</si>
  <si>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</si>
  <si>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</si>
  <si>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</si>
  <si>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</si>
  <si>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</si>
  <si>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</si>
  <si>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</si>
  <si>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</si>
  <si>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</si>
  <si>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</si>
  <si>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</si>
  <si>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</si>
  <si>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</si>
  <si>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</si>
  <si>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</si>
  <si>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</si>
  <si>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</si>
  <si>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</si>
  <si>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</si>
  <si>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</si>
  <si>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</si>
  <si>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</si>
  <si>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</si>
  <si>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</si>
  <si>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</si>
  <si>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</si>
  <si>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</si>
  <si>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</si>
  <si>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</si>
  <si>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</si>
  <si>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</si>
  <si>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</si>
  <si>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</si>
  <si>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</si>
  <si>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</si>
  <si>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</si>
  <si>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</si>
  <si>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</si>
  <si>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</si>
  <si>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</si>
  <si>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</si>
  <si>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</si>
  <si>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</si>
  <si>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</si>
  <si>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</si>
  <si>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</si>
  <si>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</si>
  <si>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</si>
  <si>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</si>
  <si>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</si>
  <si>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</si>
  <si>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</si>
  <si>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</si>
  <si>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</si>
  <si>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</si>
  <si>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</si>
  <si>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</si>
  <si>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</si>
  <si>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</si>
  <si>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</si>
  <si>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</si>
  <si>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</si>
  <si>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</si>
  <si>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</si>
  <si>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</si>
  <si>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</si>
  <si>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</si>
  <si>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</si>
  <si>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</si>
  <si>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</si>
  <si>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</si>
  <si>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</si>
  <si>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</si>
  <si>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</si>
  <si>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</si>
  <si>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</si>
  <si>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</si>
  <si>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</si>
  <si>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</si>
  <si>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</si>
  <si>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</si>
  <si>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</si>
  <si>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</si>
  <si>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</si>
  <si>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</si>
  <si>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</si>
  <si>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</si>
  <si>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</si>
  <si>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</si>
  <si>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</si>
  <si>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</si>
  <si>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</si>
  <si>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</si>
  <si>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</si>
  <si>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</si>
  <si>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</si>
  <si>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</si>
  <si>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</si>
  <si>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</si>
  <si>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</si>
  <si>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</si>
  <si>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</si>
  <si>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</si>
  <si>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</si>
  <si>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</si>
  <si>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</si>
  <si>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</si>
  <si>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</si>
  <si>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</si>
  <si>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</si>
  <si>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</si>
  <si>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</si>
  <si>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</si>
  <si>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</si>
  <si>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</si>
  <si>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</si>
  <si>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</si>
  <si>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</si>
  <si>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</si>
  <si>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</si>
  <si>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</si>
  <si>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</si>
  <si>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</si>
  <si>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</si>
  <si>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</si>
  <si>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</si>
  <si>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</si>
  <si>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</si>
  <si>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</si>
  <si>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</si>
  <si>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</si>
  <si>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</si>
  <si>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</si>
  <si>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</si>
  <si>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</si>
  <si>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</si>
  <si>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</si>
  <si>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</si>
  <si>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</si>
  <si>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</si>
  <si>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</si>
  <si>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</si>
  <si>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</si>
  <si>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</si>
  <si>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</si>
  <si>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</si>
  <si>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</si>
  <si>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</si>
  <si>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</si>
  <si>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</si>
  <si>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</si>
  <si>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</si>
  <si>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</si>
  <si>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</si>
  <si>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</si>
  <si>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</si>
  <si>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</si>
  <si>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</si>
  <si>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</si>
  <si>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</si>
  <si>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</si>
  <si>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</si>
  <si>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</si>
  <si>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</si>
  <si>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</si>
  <si>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</si>
  <si>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</si>
  <si>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</si>
  <si>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</si>
  <si>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</si>
  <si>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</si>
  <si>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</si>
  <si>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</si>
  <si>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</si>
  <si>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</si>
  <si>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</si>
  <si>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</si>
  <si>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</si>
  <si>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</si>
  <si>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</si>
  <si>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</si>
  <si>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</si>
  <si>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</si>
  <si>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</si>
  <si>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</si>
  <si>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</si>
  <si>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</si>
  <si>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</si>
  <si>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</si>
  <si>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</si>
  <si>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</si>
  <si>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</si>
  <si>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</si>
  <si>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</si>
  <si>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</si>
  <si>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</si>
  <si>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</si>
  <si>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</si>
  <si>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</si>
  <si>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</si>
  <si>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</si>
  <si>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</si>
  <si>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</si>
  <si>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</si>
  <si>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</si>
  <si>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</si>
  <si>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</si>
  <si>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</si>
  <si>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</si>
  <si>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</si>
  <si>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</si>
  <si>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</si>
  <si>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</si>
  <si>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</si>
  <si>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</si>
  <si>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</si>
  <si>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</si>
  <si>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</si>
  <si>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</si>
  <si>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</si>
  <si>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</si>
  <si>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</si>
  <si>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</si>
  <si>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</si>
  <si>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</si>
  <si>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</si>
  <si>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</si>
  <si>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</si>
  <si>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</si>
  <si>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</si>
  <si>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</si>
  <si>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</si>
  <si>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</si>
  <si>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</si>
  <si>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</si>
  <si>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</si>
  <si>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</si>
  <si>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</si>
  <si>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</si>
  <si>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</si>
  <si>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</si>
  <si>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</si>
  <si>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</si>
  <si>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</si>
  <si>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</si>
  <si>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</si>
  <si>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</si>
  <si>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</si>
  <si>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</si>
  <si>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</si>
  <si>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</si>
  <si>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</si>
  <si>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</si>
  <si>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</si>
  <si>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</si>
  <si>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</si>
  <si>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</si>
  <si>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</si>
  <si>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</si>
  <si>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</si>
  <si>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</si>
  <si>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</si>
  <si>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</si>
  <si>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</si>
  <si>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</si>
  <si>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</si>
  <si>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</si>
  <si>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</si>
  <si>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</si>
  <si>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</si>
  <si>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</si>
  <si>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</si>
  <si>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</si>
  <si>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</si>
  <si>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</si>
  <si>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</si>
  <si>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</si>
  <si>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</si>
  <si>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</si>
  <si>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</si>
  <si>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</si>
  <si>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</si>
  <si>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</si>
  <si>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</si>
  <si>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</si>
  <si>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</si>
  <si>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</si>
  <si>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</si>
  <si>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</si>
  <si>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</si>
  <si>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</si>
  <si>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</si>
  <si>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</si>
  <si>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</si>
  <si>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</si>
  <si>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</si>
  <si>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</si>
  <si>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</si>
  <si>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</si>
  <si>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</si>
  <si>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</si>
  <si>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</si>
  <si>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</si>
  <si>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</si>
  <si>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</si>
  <si>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</si>
  <si>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</si>
  <si>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</si>
  <si>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</si>
  <si>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</si>
  <si>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</si>
  <si>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</si>
  <si>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</si>
  <si>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</si>
  <si>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</si>
  <si>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</si>
  <si>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</si>
  <si>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</si>
  <si>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</si>
  <si>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</si>
  <si>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</si>
  <si>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</si>
  <si>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</si>
  <si>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</si>
  <si>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</si>
  <si>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</si>
  <si>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</si>
  <si>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</si>
  <si>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</si>
  <si>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</si>
  <si>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</si>
  <si>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</si>
  <si>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</si>
  <si>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</si>
  <si>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</si>
  <si>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</si>
  <si>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</si>
  <si>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</si>
  <si>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</si>
  <si>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</si>
  <si>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</si>
  <si>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</si>
  <si>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</si>
  <si>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</si>
  <si>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</si>
  <si>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</si>
  <si>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</si>
  <si>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</si>
  <si>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</si>
  <si>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</si>
  <si>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</si>
  <si>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</si>
  <si>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</si>
  <si>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</si>
  <si>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</si>
  <si>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</si>
  <si>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</si>
  <si>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</si>
  <si>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</si>
  <si>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</si>
  <si>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</si>
  <si>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</si>
  <si>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</si>
  <si>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</si>
  <si>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</si>
  <si>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</si>
  <si>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</si>
  <si>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</si>
  <si>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</si>
  <si>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</si>
  <si>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</si>
  <si>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</si>
  <si>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</si>
  <si>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</si>
  <si>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</si>
  <si>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</si>
  <si>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</si>
  <si>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</si>
  <si>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</si>
  <si>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</si>
  <si>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</si>
  <si>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</si>
  <si>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</si>
  <si>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</si>
  <si>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</si>
  <si>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</si>
  <si>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</si>
  <si>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</si>
  <si>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</si>
  <si>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</si>
  <si>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</si>
  <si>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</si>
  <si>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</si>
  <si>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</si>
  <si>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</si>
  <si>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</si>
  <si>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</si>
  <si>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</si>
  <si>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</si>
  <si>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</si>
  <si>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</si>
  <si>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</si>
  <si>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</si>
  <si>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</si>
  <si>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</si>
  <si>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</si>
  <si>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</si>
  <si>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</si>
  <si>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</si>
  <si>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</si>
  <si>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</si>
  <si>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</si>
  <si>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</si>
  <si>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</si>
  <si>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</si>
  <si>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</si>
  <si>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</si>
  <si>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</si>
  <si>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</si>
  <si>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</si>
  <si>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</si>
  <si>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</si>
  <si>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</si>
  <si>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</si>
  <si>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</si>
  <si>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</si>
  <si>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</si>
  <si>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</si>
  <si>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</si>
  <si>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</si>
  <si>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Invoice No # :48915616</t>
  </si>
  <si>
    <t xml:space="preserve">Address: Shadra </t>
  </si>
  <si>
    <t>Address:  Shaikhpura</t>
  </si>
  <si>
    <t>Address: Gujranwala</t>
  </si>
  <si>
    <t xml:space="preserve">Address: ISB Pindi </t>
  </si>
  <si>
    <t>Address: Sabzazaar</t>
  </si>
  <si>
    <t>Invoice No # :4512348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</si>
</sst>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S3" sqref="S3:S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2" t="s">
        <v>91</v>
      </c>
      <c r="B2" s="382"/>
      <c r="C2" s="382"/>
      <c r="E2" s="375" t="s">
        <v>497</v>
      </c>
      <c r="F2" s="373"/>
      <c r="G2" s="373"/>
      <c r="H2" s="373" t="s">
        <v>507</v>
      </c>
      <c r="I2" s="373"/>
      <c r="J2" s="374"/>
      <c r="R2" s="370" t="s">
        <v>506</v>
      </c>
      <c r="S2" s="371"/>
      <c r="T2" s="372"/>
    </row>
    <row r="3" spans="1:20 16377:16378" ht="21.75" customHeight="1" thickBot="1" x14ac:dyDescent="0.4">
      <c r="A3" s="383" t="s">
        <v>92</v>
      </c>
      <c r="B3" s="383"/>
      <c r="C3" s="383"/>
      <c r="E3" s="378" t="s">
        <v>498</v>
      </c>
      <c r="F3" s="379"/>
      <c r="G3" s="379"/>
      <c r="H3" s="376">
        <v>46273</v>
      </c>
      <c r="I3" s="376"/>
      <c r="J3" s="377"/>
      <c r="K3" s="384" t="s">
        <v>43</v>
      </c>
      <c r="L3" s="384"/>
      <c r="M3" s="384"/>
      <c r="N3" s="383"/>
      <c r="O3" s="383"/>
      <c r="P3" s="383"/>
      <c r="R3" s="299">
        <v>1</v>
      </c>
      <c r="S3" s="300" t="str">
        <f>+'1'!A6:A6</f>
        <v>Rainbow Cash &amp; Carry</v>
      </c>
      <c r="T3" s="301">
        <f>+'1'!P35</f>
        <v>20398.063751694914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27965.055306355931</v>
      </c>
      <c r="XEX4" t="s">
        <v>105</v>
      </c>
    </row>
    <row r="5" spans="1:20 16377:16378" ht="21.75" customHeight="1" thickBot="1" x14ac:dyDescent="0.4">
      <c r="A5" s="335" t="s">
        <v>51</v>
      </c>
      <c r="B5" s="336"/>
      <c r="C5" s="339" t="s">
        <v>90</v>
      </c>
      <c r="D5" s="115" t="s">
        <v>52</v>
      </c>
      <c r="E5" s="341" t="s">
        <v>58</v>
      </c>
      <c r="F5" s="342"/>
      <c r="G5" s="343" t="s">
        <v>54</v>
      </c>
      <c r="H5" s="344"/>
      <c r="I5" s="345" t="s">
        <v>77</v>
      </c>
      <c r="J5" s="381" t="s">
        <v>55</v>
      </c>
      <c r="K5" s="343"/>
      <c r="L5" s="344"/>
      <c r="M5" s="336" t="s">
        <v>84</v>
      </c>
      <c r="N5" s="380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25004.05140127119</v>
      </c>
      <c r="XEX5" t="s">
        <v>106</v>
      </c>
    </row>
    <row r="6" spans="1:20 16377:16378" ht="21.75" customHeight="1" thickBot="1" x14ac:dyDescent="0.4">
      <c r="A6" s="337"/>
      <c r="B6" s="338"/>
      <c r="C6" s="34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6"/>
      <c r="J6" s="143" t="s">
        <v>59</v>
      </c>
      <c r="K6" s="144" t="s">
        <v>39</v>
      </c>
      <c r="L6" s="145" t="s">
        <v>493</v>
      </c>
      <c r="M6" s="338"/>
      <c r="N6" s="346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21894.997300932202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5193.7875000000004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31.918090042372881</v>
      </c>
      <c r="P7" s="118">
        <f>M7+N7+O7</f>
        <v>6415.5360985169482</v>
      </c>
      <c r="Q7" s="142"/>
      <c r="R7" s="299">
        <v>5</v>
      </c>
      <c r="S7" s="300" t="str">
        <f>+'5'!A6:A6</f>
        <v>Rainbow Cash &amp;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160</v>
      </c>
      <c r="I8" s="236">
        <f t="shared" ref="I8:I14" si="0">(G8*D8)*F8+H8*F8</f>
        <v>8394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1175.1600000000001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293.79000000000002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6925.05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1586.440677966101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42.557453389830506</v>
      </c>
      <c r="P8" s="119">
        <f t="shared" ref="P8:P15" si="2">M8+N8+O8</f>
        <v>8554.0481313559321</v>
      </c>
      <c r="R8" s="299">
        <v>6</v>
      </c>
      <c r="S8" s="300" t="str">
        <f>+'6'!A6:A6</f>
        <v>Rainbow Cash &amp;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881.37000000000012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5193.7875000000004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31.918090042372881</v>
      </c>
      <c r="P9" s="119">
        <f t="shared" si="2"/>
        <v>6415.5360985169482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318</v>
      </c>
      <c r="I10" s="236">
        <f t="shared" si="0"/>
        <v>23099.52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3233.9328000000005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808.48320000000012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19057.103999999999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4365.7627118644068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117.11433355932202</v>
      </c>
      <c r="P10" s="119">
        <f t="shared" si="2"/>
        <v>23539.98104542373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200</v>
      </c>
      <c r="I11" s="236">
        <f t="shared" si="0"/>
        <v>14528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2033.9200000000003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508.48000000000008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11985.599999999999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2745.7627118644068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73.656813559322032</v>
      </c>
      <c r="P11" s="119">
        <f t="shared" si="2"/>
        <v>14805.019525423728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480</v>
      </c>
      <c r="I12" s="236">
        <f t="shared" si="0"/>
        <v>34867.199999999997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4881.4080000000004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1220.3520000000001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28765.439999999995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6589.8305084745762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176.77635254237288</v>
      </c>
      <c r="P12" s="119">
        <f t="shared" si="2"/>
        <v>35532.046861016941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85">
        <f>COUNT(A7:A15)</f>
        <v>0</v>
      </c>
      <c r="B16" s="347"/>
      <c r="C16" s="347" t="s">
        <v>40</v>
      </c>
      <c r="D16" s="347"/>
      <c r="E16" s="347"/>
      <c r="F16" s="348"/>
      <c r="G16" s="117">
        <f t="shared" ref="G16:M16" si="3">SUM(G7:G15)</f>
        <v>0</v>
      </c>
      <c r="H16" s="113">
        <f t="shared" si="3"/>
        <v>1398</v>
      </c>
      <c r="I16" s="114">
        <f t="shared" si="3"/>
        <v>93479.72</v>
      </c>
      <c r="J16" s="274">
        <f>SUM(J7:J15)</f>
        <v>13087.160800000001</v>
      </c>
      <c r="K16" s="275">
        <f t="shared" si="3"/>
        <v>3271.7902000000004</v>
      </c>
      <c r="L16" s="276">
        <f t="shared" si="3"/>
        <v>0</v>
      </c>
      <c r="M16" s="232">
        <f t="shared" si="3"/>
        <v>77120.769</v>
      </c>
      <c r="N16" s="233">
        <f>SUM(N7:N15)</f>
        <v>17667.457627118642</v>
      </c>
      <c r="O16" s="101">
        <f>SUM(O7:O15)</f>
        <v>473.94113313559319</v>
      </c>
      <c r="P16" s="234">
        <f>SUM(P7:P15)</f>
        <v>95262.167760254233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49" t="s">
        <v>64</v>
      </c>
      <c r="C19" s="350"/>
      <c r="D19" s="350"/>
      <c r="E19" s="350"/>
      <c r="F19" s="350"/>
      <c r="G19" s="350"/>
      <c r="H19" s="350"/>
      <c r="I19" s="350"/>
      <c r="J19" s="350"/>
      <c r="K19" s="350"/>
      <c r="L19" s="351"/>
      <c r="N19" s="358" t="s">
        <v>60</v>
      </c>
      <c r="O19" s="359"/>
      <c r="P19" s="139">
        <f>I16</f>
        <v>93479.72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52"/>
      <c r="C20" s="353"/>
      <c r="D20" s="353"/>
      <c r="E20" s="353"/>
      <c r="F20" s="353"/>
      <c r="G20" s="353"/>
      <c r="H20" s="353"/>
      <c r="I20" s="353"/>
      <c r="J20" s="353"/>
      <c r="K20" s="353"/>
      <c r="L20" s="354"/>
      <c r="N20" s="360" t="s">
        <v>85</v>
      </c>
      <c r="O20" s="361"/>
      <c r="P20" s="140">
        <f>+J16</f>
        <v>13087.160800000001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52"/>
      <c r="C21" s="353"/>
      <c r="D21" s="353"/>
      <c r="E21" s="353"/>
      <c r="F21" s="353"/>
      <c r="G21" s="353"/>
      <c r="H21" s="353"/>
      <c r="I21" s="353"/>
      <c r="J21" s="353"/>
      <c r="K21" s="353"/>
      <c r="L21" s="354"/>
      <c r="N21" s="360" t="s">
        <v>86</v>
      </c>
      <c r="O21" s="361"/>
      <c r="P21" s="140">
        <f>+K16+L16</f>
        <v>3271.7902000000004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52"/>
      <c r="C22" s="353"/>
      <c r="D22" s="353"/>
      <c r="E22" s="353"/>
      <c r="F22" s="353"/>
      <c r="G22" s="353"/>
      <c r="H22" s="353"/>
      <c r="I22" s="353"/>
      <c r="J22" s="353"/>
      <c r="K22" s="353"/>
      <c r="L22" s="354"/>
      <c r="M22" s="131"/>
      <c r="N22" s="360" t="s">
        <v>87</v>
      </c>
      <c r="O22" s="361"/>
      <c r="P22" s="140">
        <f>P19-P20-P21</f>
        <v>77120.769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52"/>
      <c r="C23" s="353"/>
      <c r="D23" s="353"/>
      <c r="E23" s="353"/>
      <c r="F23" s="353"/>
      <c r="G23" s="353"/>
      <c r="H23" s="353"/>
      <c r="I23" s="353"/>
      <c r="J23" s="353"/>
      <c r="K23" s="353"/>
      <c r="L23" s="354"/>
      <c r="M23" s="131"/>
      <c r="N23" s="136" t="s">
        <v>61</v>
      </c>
      <c r="O23" s="133">
        <v>0.18</v>
      </c>
      <c r="P23" s="140">
        <f>+N16</f>
        <v>17667.457627118642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52"/>
      <c r="C24" s="353"/>
      <c r="D24" s="353"/>
      <c r="E24" s="353"/>
      <c r="F24" s="353"/>
      <c r="G24" s="353"/>
      <c r="H24" s="353"/>
      <c r="I24" s="353"/>
      <c r="J24" s="353"/>
      <c r="K24" s="353"/>
      <c r="L24" s="354"/>
      <c r="M24" s="131"/>
      <c r="N24" s="362" t="s">
        <v>76</v>
      </c>
      <c r="O24" s="363"/>
      <c r="P24" s="140">
        <f>P22+P23</f>
        <v>94788.226627118638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55"/>
      <c r="C25" s="356"/>
      <c r="D25" s="356"/>
      <c r="E25" s="356"/>
      <c r="F25" s="356"/>
      <c r="G25" s="356"/>
      <c r="H25" s="356"/>
      <c r="I25" s="356"/>
      <c r="J25" s="356"/>
      <c r="K25" s="356"/>
      <c r="L25" s="357"/>
      <c r="M25" s="99"/>
      <c r="N25" s="138" t="s">
        <v>83</v>
      </c>
      <c r="O25" s="137" t="e">
        <f>IF(#REF!="Filer",0.5%,2.5%)</f>
        <v>#REF!</v>
      </c>
      <c r="P25" s="140">
        <f>+O16</f>
        <v>473.94113313559319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64" t="s">
        <v>88</v>
      </c>
      <c r="O26" s="365"/>
      <c r="P26" s="297">
        <f>+P24+P25</f>
        <v>95262.167760254233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6"/>
      <c r="D27" s="366"/>
      <c r="E27" s="366"/>
      <c r="F27" s="366"/>
      <c r="G27" s="366"/>
      <c r="H27" s="366"/>
      <c r="I27" s="367"/>
      <c r="J27" s="368"/>
      <c r="K27" s="369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95262.167760254233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6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516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46273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46272</v>
      </c>
      <c r="O5" s="383"/>
      <c r="P5" s="383"/>
      <c r="R5" s="85"/>
      <c r="S5" s="266"/>
    </row>
    <row r="6" spans="1:22 16383:16384" ht="17.2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500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511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08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Q20" s="306"/>
      <c r="R20">
        <f>P20/21</f>
        <v>282.00037191283292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119">
        <f t="shared" si="5"/>
        <v>5922.0078101694908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20016.400000000001</v>
      </c>
      <c r="J25" s="274">
        <f>SUM(J16:J24)</f>
        <v>2802.2960000000003</v>
      </c>
      <c r="K25" s="275">
        <f t="shared" si="10"/>
        <v>700.57400000000007</v>
      </c>
      <c r="L25" s="276">
        <f t="shared" si="10"/>
        <v>0</v>
      </c>
      <c r="M25" s="232">
        <f t="shared" si="10"/>
        <v>16513.53</v>
      </c>
      <c r="N25" s="233">
        <f>SUM(N16:N24)</f>
        <v>3783.0508474576263</v>
      </c>
      <c r="O25" s="101">
        <f>SUM(O16:O24)</f>
        <v>101.48290423728812</v>
      </c>
      <c r="P25" s="234">
        <f>SUM(P16:P24)</f>
        <v>20398.063751694914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20016.400000000001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2802.2960000000003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700.57400000000007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16513.53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20296.580847457626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101.48290423728814</v>
      </c>
    </row>
    <row r="35" spans="2:16" ht="15.75" customHeight="1" thickBot="1" x14ac:dyDescent="0.4">
      <c r="N35" s="364" t="s">
        <v>88</v>
      </c>
      <c r="O35" s="365"/>
      <c r="P35" s="297">
        <f>+P33+P34</f>
        <v>20398.063751694914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16" sqref="H16: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516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46273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46272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500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08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240</v>
      </c>
      <c r="I19" s="236">
        <f t="shared" si="0"/>
        <v>17433.599999999999</v>
      </c>
      <c r="J19" s="272">
        <f t="shared" si="1"/>
        <v>2440.7040000000002</v>
      </c>
      <c r="K19" s="128">
        <f t="shared" si="1"/>
        <v>610.17600000000004</v>
      </c>
      <c r="L19" s="119">
        <f t="shared" si="1"/>
        <v>0</v>
      </c>
      <c r="M19" s="230">
        <f t="shared" si="2"/>
        <v>14382.719999999998</v>
      </c>
      <c r="N19" s="277">
        <f t="shared" si="3"/>
        <v>3294.9152542372885</v>
      </c>
      <c r="O19" s="239">
        <f t="shared" si="4"/>
        <v>88.388176271186424</v>
      </c>
      <c r="P19" s="119">
        <f t="shared" si="5"/>
        <v>17766.02343050847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400</v>
      </c>
      <c r="I25" s="114">
        <f t="shared" si="7"/>
        <v>27441.8</v>
      </c>
      <c r="J25" s="274">
        <f>SUM(J16:J24)</f>
        <v>3841.8520000000003</v>
      </c>
      <c r="K25" s="275">
        <f t="shared" si="7"/>
        <v>960.46300000000008</v>
      </c>
      <c r="L25" s="276">
        <f t="shared" si="7"/>
        <v>0</v>
      </c>
      <c r="M25" s="232">
        <f t="shared" si="7"/>
        <v>22639.485000000001</v>
      </c>
      <c r="N25" s="233">
        <f>SUM(N16:N24)</f>
        <v>5186.4406779661022</v>
      </c>
      <c r="O25" s="101">
        <f>SUM(O16:O24)</f>
        <v>139.12962838983049</v>
      </c>
      <c r="P25" s="234">
        <f>SUM(P16:P24)</f>
        <v>27965.055306355927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27441.8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3841.8520000000003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960.46300000000008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22639.485000000001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5186.4406779661022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27825.925677966101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139.12962838983051</v>
      </c>
    </row>
    <row r="35" spans="2:16" ht="15.75" customHeight="1" thickBot="1" x14ac:dyDescent="0.4">
      <c r="N35" s="364" t="s">
        <v>88</v>
      </c>
      <c r="O35" s="365"/>
      <c r="P35" s="297">
        <f>+P33+P34</f>
        <v>27965.055306355931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516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46273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46272</v>
      </c>
      <c r="O5" s="383"/>
      <c r="P5" s="383"/>
      <c r="R5" s="85"/>
      <c r="S5" s="266"/>
    </row>
    <row r="6" spans="1:22 16383:16384" ht="18.7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500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513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08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0"/>
        <v>14528</v>
      </c>
      <c r="J21" s="272">
        <f t="shared" si="1"/>
        <v>2033.9200000000003</v>
      </c>
      <c r="K21" s="128">
        <f t="shared" si="1"/>
        <v>508.48000000000008</v>
      </c>
      <c r="L21" s="119">
        <f t="shared" si="1"/>
        <v>0</v>
      </c>
      <c r="M21" s="230">
        <f t="shared" si="2"/>
        <v>11985.599999999999</v>
      </c>
      <c r="N21" s="277">
        <f t="shared" si="3"/>
        <v>2745.7627118644068</v>
      </c>
      <c r="O21" s="239">
        <f t="shared" si="4"/>
        <v>73.656813559322032</v>
      </c>
      <c r="P21" s="119">
        <f t="shared" si="5"/>
        <v>14805.019525423728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360</v>
      </c>
      <c r="I25" s="114">
        <f t="shared" si="7"/>
        <v>24536.2</v>
      </c>
      <c r="J25" s="274">
        <f>SUM(J16:J24)</f>
        <v>3435.0680000000002</v>
      </c>
      <c r="K25" s="275">
        <f t="shared" si="7"/>
        <v>858.76700000000005</v>
      </c>
      <c r="L25" s="276">
        <f t="shared" si="7"/>
        <v>0</v>
      </c>
      <c r="M25" s="232">
        <f t="shared" si="7"/>
        <v>20242.364999999998</v>
      </c>
      <c r="N25" s="233">
        <f>SUM(N16:N24)</f>
        <v>4637.2881355932204</v>
      </c>
      <c r="O25" s="101">
        <f>SUM(O16:O24)</f>
        <v>124.39826567796609</v>
      </c>
      <c r="P25" s="234">
        <f>SUM(P16:P24)</f>
        <v>25004.051401271186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24536.2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3435.0680000000002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858.76700000000005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20242.365000000002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4637.2881355932204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24879.653135593224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124.39826567796612</v>
      </c>
    </row>
    <row r="35" spans="2:16" ht="15.75" customHeight="1" thickBot="1" x14ac:dyDescent="0.4">
      <c r="N35" s="364" t="s">
        <v>88</v>
      </c>
      <c r="O35" s="365"/>
      <c r="P35" s="297">
        <f>+P33+P34</f>
        <v>25004.05140127119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516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46273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46272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500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514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08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Q17" s="142"/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0</v>
      </c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142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38</v>
      </c>
      <c r="I19" s="236">
        <f t="shared" si="0"/>
        <v>2760.32</v>
      </c>
      <c r="J19" s="272">
        <f t="shared" si="1"/>
        <v>386.44480000000004</v>
      </c>
      <c r="K19" s="128">
        <f t="shared" si="1"/>
        <v>96.611200000000011</v>
      </c>
      <c r="L19" s="119">
        <f t="shared" si="1"/>
        <v>0</v>
      </c>
      <c r="M19" s="230">
        <f t="shared" si="2"/>
        <v>2277.2640000000001</v>
      </c>
      <c r="N19" s="277">
        <f t="shared" si="3"/>
        <v>521.69491525423734</v>
      </c>
      <c r="O19" s="239">
        <f t="shared" si="4"/>
        <v>13.994794576271188</v>
      </c>
      <c r="P19" s="119">
        <f t="shared" si="5"/>
        <v>2812.9537098305086</v>
      </c>
      <c r="Q19" s="142"/>
      <c r="R19" s="142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0</v>
      </c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142"/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0"/>
        <v>14528</v>
      </c>
      <c r="J21" s="272">
        <f t="shared" si="1"/>
        <v>2033.9200000000003</v>
      </c>
      <c r="K21" s="128">
        <f t="shared" si="1"/>
        <v>508.48000000000008</v>
      </c>
      <c r="L21" s="119">
        <f t="shared" si="1"/>
        <v>0</v>
      </c>
      <c r="M21" s="230">
        <f t="shared" si="2"/>
        <v>11985.599999999999</v>
      </c>
      <c r="N21" s="277">
        <f t="shared" si="3"/>
        <v>2745.7627118644068</v>
      </c>
      <c r="O21" s="239">
        <f t="shared" si="4"/>
        <v>73.656813559322032</v>
      </c>
      <c r="P21" s="119">
        <f t="shared" si="5"/>
        <v>14805.019525423728</v>
      </c>
      <c r="Q21" s="142"/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318</v>
      </c>
      <c r="I25" s="114">
        <f t="shared" si="7"/>
        <v>21485.32</v>
      </c>
      <c r="J25" s="274">
        <f>SUM(J16:J24)</f>
        <v>3007.9448000000002</v>
      </c>
      <c r="K25" s="275">
        <f t="shared" si="7"/>
        <v>751.98620000000005</v>
      </c>
      <c r="L25" s="276">
        <f t="shared" si="7"/>
        <v>0</v>
      </c>
      <c r="M25" s="232">
        <f t="shared" si="7"/>
        <v>17725.388999999999</v>
      </c>
      <c r="N25" s="233">
        <f>SUM(N16:N24)</f>
        <v>4060.6779661016944</v>
      </c>
      <c r="O25" s="101">
        <f>SUM(O16:O24)</f>
        <v>108.93033483050847</v>
      </c>
      <c r="P25" s="234">
        <f>SUM(P16:P24)</f>
        <v>21894.997300932202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9"/>
      <c r="S27" s="310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21485.32</v>
      </c>
      <c r="Q28" s="309"/>
      <c r="S28" s="310"/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3007.9448000000002</v>
      </c>
      <c r="Q29" s="309"/>
      <c r="S29" s="310"/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751.98620000000005</v>
      </c>
      <c r="Q30" s="309"/>
      <c r="S30" s="310"/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17725.388999999999</v>
      </c>
      <c r="Q31" s="309"/>
      <c r="S31" s="310"/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4060.6779661016944</v>
      </c>
      <c r="Q32" s="309"/>
      <c r="S32" s="310"/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21786.066966101695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108.93033483050847</v>
      </c>
    </row>
    <row r="35" spans="2:16" ht="15.75" customHeight="1" thickBot="1" x14ac:dyDescent="0.4">
      <c r="N35" s="364" t="s">
        <v>88</v>
      </c>
      <c r="O35" s="365"/>
      <c r="P35" s="297">
        <f>+P33+P34</f>
        <v>21894.997300932202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topLeftCell="A5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510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46272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46271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500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308">
        <v>0.14000000000000001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8.7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2" t="s">
        <v>91</v>
      </c>
      <c r="B2" s="382"/>
      <c r="C2" s="382"/>
    </row>
    <row r="3" spans="1:22 16383:16384" ht="15" customHeight="1" x14ac:dyDescent="0.35">
      <c r="A3" s="383" t="s">
        <v>92</v>
      </c>
      <c r="B3" s="383"/>
      <c r="C3" s="383"/>
      <c r="F3" s="85"/>
      <c r="G3" s="1"/>
      <c r="K3" s="384" t="s">
        <v>43</v>
      </c>
      <c r="L3" s="384"/>
      <c r="M3" s="384"/>
      <c r="N3" s="383"/>
      <c r="O3" s="383"/>
      <c r="P3" s="38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3" t="s">
        <v>499</v>
      </c>
      <c r="B4" s="383"/>
      <c r="C4" s="383"/>
      <c r="F4" s="85"/>
      <c r="G4" s="1"/>
      <c r="K4" s="384" t="s">
        <v>44</v>
      </c>
      <c r="L4" s="384"/>
      <c r="M4" s="384"/>
      <c r="N4" s="387">
        <v>46259</v>
      </c>
      <c r="O4" s="387"/>
      <c r="P4" s="38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8" t="s">
        <v>492</v>
      </c>
      <c r="B5" s="388"/>
      <c r="C5" s="388"/>
      <c r="F5" s="85"/>
      <c r="G5" s="1"/>
      <c r="K5" s="384" t="s">
        <v>45</v>
      </c>
      <c r="L5" s="384"/>
      <c r="M5" s="384"/>
      <c r="N5" s="387">
        <f>N4-1</f>
        <v>46258</v>
      </c>
      <c r="O5" s="383"/>
      <c r="P5" s="383"/>
      <c r="R5" s="85"/>
      <c r="S5" s="266"/>
    </row>
    <row r="6" spans="1:22 16383:16384" ht="15" customHeight="1" x14ac:dyDescent="0.4">
      <c r="A6" s="389" t="s">
        <v>508</v>
      </c>
      <c r="B6" s="389"/>
      <c r="C6" s="389"/>
      <c r="F6" s="85"/>
      <c r="G6" s="86"/>
      <c r="K6" s="384" t="s">
        <v>69</v>
      </c>
      <c r="L6" s="384"/>
      <c r="M6" s="384"/>
      <c r="N6" s="386" t="s">
        <v>62</v>
      </c>
      <c r="O6" s="386"/>
      <c r="P6" s="38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4" t="s">
        <v>509</v>
      </c>
      <c r="B7" s="384"/>
      <c r="C7" s="384"/>
      <c r="F7" s="85"/>
      <c r="G7" s="86"/>
      <c r="K7" s="384" t="s">
        <v>66</v>
      </c>
      <c r="L7" s="384"/>
      <c r="M7" s="384"/>
      <c r="N7" s="386" t="s">
        <v>505</v>
      </c>
      <c r="O7" s="386"/>
      <c r="P7" s="38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84" t="s">
        <v>67</v>
      </c>
      <c r="L8" s="384"/>
      <c r="M8" s="384"/>
      <c r="N8" s="386" t="s">
        <v>505</v>
      </c>
      <c r="O8" s="386"/>
      <c r="P8" s="386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84" t="s">
        <v>68</v>
      </c>
      <c r="L9" s="384"/>
      <c r="M9" s="384"/>
      <c r="N9" s="386" t="s">
        <v>104</v>
      </c>
      <c r="O9" s="386"/>
      <c r="P9" s="386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84" t="s">
        <v>46</v>
      </c>
      <c r="L10" s="384"/>
      <c r="M10" s="384"/>
      <c r="N10" s="383" t="s">
        <v>47</v>
      </c>
      <c r="O10" s="383"/>
      <c r="P10" s="38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4" t="s">
        <v>48</v>
      </c>
      <c r="L11" s="384"/>
      <c r="M11" s="384"/>
      <c r="N11" s="386" t="s">
        <v>49</v>
      </c>
      <c r="O11" s="386"/>
      <c r="P11" s="38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4" t="s">
        <v>50</v>
      </c>
      <c r="L12" s="384"/>
      <c r="M12" s="384"/>
      <c r="N12" s="383"/>
      <c r="O12" s="383"/>
      <c r="P12" s="38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5" t="s">
        <v>51</v>
      </c>
      <c r="B14" s="336"/>
      <c r="C14" s="339" t="s">
        <v>90</v>
      </c>
      <c r="D14" s="115" t="s">
        <v>52</v>
      </c>
      <c r="E14" s="341" t="s">
        <v>58</v>
      </c>
      <c r="F14" s="342"/>
      <c r="G14" s="343" t="s">
        <v>54</v>
      </c>
      <c r="H14" s="344"/>
      <c r="I14" s="345" t="s">
        <v>77</v>
      </c>
      <c r="J14" s="381" t="s">
        <v>55</v>
      </c>
      <c r="K14" s="343"/>
      <c r="L14" s="344"/>
      <c r="M14" s="336" t="s">
        <v>84</v>
      </c>
      <c r="N14" s="38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7"/>
      <c r="B15" s="338"/>
      <c r="C15" s="34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6"/>
      <c r="J15" s="143" t="s">
        <v>59</v>
      </c>
      <c r="K15" s="144" t="s">
        <v>39</v>
      </c>
      <c r="L15" s="145" t="s">
        <v>493</v>
      </c>
      <c r="M15" s="338"/>
      <c r="N15" s="346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0"/>
      <c r="L28" s="351"/>
      <c r="N28" s="358" t="s">
        <v>60</v>
      </c>
      <c r="O28" s="359"/>
      <c r="P28" s="139">
        <f>I25</f>
        <v>0</v>
      </c>
    </row>
    <row r="29" spans="1:22 16384:16384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3"/>
      <c r="L29" s="354"/>
      <c r="N29" s="360" t="s">
        <v>85</v>
      </c>
      <c r="O29" s="361"/>
      <c r="P29" s="140">
        <f>+J25</f>
        <v>0</v>
      </c>
    </row>
    <row r="30" spans="1:22 16384:16384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3"/>
      <c r="L30" s="354"/>
      <c r="N30" s="360" t="s">
        <v>86</v>
      </c>
      <c r="O30" s="361"/>
      <c r="P30" s="140">
        <f>+K25+L25</f>
        <v>0</v>
      </c>
    </row>
    <row r="31" spans="1:22 16384:16384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3"/>
      <c r="L31" s="354"/>
      <c r="M31" s="131"/>
      <c r="N31" s="360" t="s">
        <v>87</v>
      </c>
      <c r="O31" s="361"/>
      <c r="P31" s="140">
        <f>P28-P29-P30</f>
        <v>0</v>
      </c>
    </row>
    <row r="32" spans="1:22 16384:16384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3"/>
      <c r="L32" s="35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3"/>
      <c r="L33" s="354"/>
      <c r="M33" s="131"/>
      <c r="N33" s="362" t="s">
        <v>76</v>
      </c>
      <c r="O33" s="363"/>
      <c r="P33" s="140">
        <f>P31+P32</f>
        <v>0</v>
      </c>
    </row>
    <row r="34" spans="2:16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4" t="s">
        <v>88</v>
      </c>
      <c r="O35" s="365"/>
      <c r="P35" s="297">
        <f>+P33+P34</f>
        <v>0</v>
      </c>
    </row>
    <row r="36" spans="2:16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368"/>
      <c r="K36" s="36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2" t="s">
        <v>91</v>
      </c>
      <c r="B2" s="382"/>
      <c r="C2" s="382"/>
    </row>
    <row r="3" spans="1:18 16382:16383" ht="15" customHeight="1" x14ac:dyDescent="0.35">
      <c r="A3" s="383" t="s">
        <v>92</v>
      </c>
      <c r="B3" s="383"/>
      <c r="C3" s="383"/>
      <c r="F3" s="85"/>
      <c r="G3" s="1"/>
      <c r="J3" s="384" t="s">
        <v>43</v>
      </c>
      <c r="K3" s="384"/>
      <c r="L3" s="384"/>
      <c r="M3" s="383"/>
      <c r="N3" s="383"/>
      <c r="O3" s="38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3" t="s">
        <v>65</v>
      </c>
      <c r="B4" s="383"/>
      <c r="C4" s="383"/>
      <c r="F4" s="85"/>
      <c r="G4" s="1"/>
      <c r="J4" s="384" t="s">
        <v>44</v>
      </c>
      <c r="K4" s="384"/>
      <c r="L4" s="384"/>
      <c r="M4" s="387">
        <f ca="1">TODAY()+1</f>
        <v>46283</v>
      </c>
      <c r="N4" s="387"/>
      <c r="O4" s="38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8" t="s">
        <v>93</v>
      </c>
      <c r="B5" s="388"/>
      <c r="C5" s="388"/>
      <c r="F5" s="85"/>
      <c r="G5" s="1"/>
      <c r="J5" s="384" t="s">
        <v>45</v>
      </c>
      <c r="K5" s="384"/>
      <c r="L5" s="384"/>
      <c r="M5" s="387">
        <f ca="1">M4-1</f>
        <v>46282</v>
      </c>
      <c r="N5" s="383"/>
      <c r="O5" s="383"/>
      <c r="Q5" s="85"/>
      <c r="R5" s="1"/>
    </row>
    <row r="6" spans="1:18 16382:16383" ht="15" customHeight="1" x14ac:dyDescent="0.35">
      <c r="A6" s="384" t="s">
        <v>94</v>
      </c>
      <c r="B6" s="384"/>
      <c r="C6" s="384"/>
      <c r="F6" s="85"/>
      <c r="G6" s="86"/>
      <c r="J6" s="384" t="s">
        <v>69</v>
      </c>
      <c r="K6" s="384"/>
      <c r="L6" s="384"/>
      <c r="M6" s="386" t="s">
        <v>62</v>
      </c>
      <c r="N6" s="386"/>
      <c r="O6" s="38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4" t="s">
        <v>73</v>
      </c>
      <c r="B7" s="384"/>
      <c r="C7" s="384"/>
      <c r="F7" s="85"/>
      <c r="G7" s="86"/>
      <c r="J7" s="384" t="s">
        <v>66</v>
      </c>
      <c r="K7" s="384"/>
      <c r="L7" s="384"/>
      <c r="M7" s="386" t="s">
        <v>70</v>
      </c>
      <c r="N7" s="386"/>
      <c r="O7" s="38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84" t="s">
        <v>67</v>
      </c>
      <c r="K8" s="384"/>
      <c r="L8" s="384"/>
      <c r="M8" s="386" t="s">
        <v>71</v>
      </c>
      <c r="N8" s="386"/>
      <c r="O8" s="386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84" t="s">
        <v>68</v>
      </c>
      <c r="K9" s="384"/>
      <c r="L9" s="384"/>
      <c r="M9" s="386" t="s">
        <v>104</v>
      </c>
      <c r="N9" s="386"/>
      <c r="O9" s="386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84" t="s">
        <v>46</v>
      </c>
      <c r="K10" s="384"/>
      <c r="L10" s="384"/>
      <c r="M10" s="383" t="s">
        <v>47</v>
      </c>
      <c r="N10" s="383"/>
      <c r="O10" s="38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4" t="s">
        <v>48</v>
      </c>
      <c r="K11" s="384"/>
      <c r="L11" s="384"/>
      <c r="M11" s="383" t="s">
        <v>49</v>
      </c>
      <c r="N11" s="383"/>
      <c r="O11" s="38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4" t="s">
        <v>50</v>
      </c>
      <c r="K12" s="384"/>
      <c r="L12" s="384"/>
      <c r="M12" s="383"/>
      <c r="N12" s="383"/>
      <c r="O12" s="38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5" t="s">
        <v>51</v>
      </c>
      <c r="B14" s="336"/>
      <c r="C14" s="339" t="s">
        <v>90</v>
      </c>
      <c r="D14" s="88" t="s">
        <v>52</v>
      </c>
      <c r="E14" s="95" t="s">
        <v>74</v>
      </c>
      <c r="F14" s="115" t="s">
        <v>53</v>
      </c>
      <c r="G14" s="381" t="s">
        <v>54</v>
      </c>
      <c r="H14" s="344"/>
      <c r="I14" s="345" t="s">
        <v>77</v>
      </c>
      <c r="J14" s="343" t="s">
        <v>55</v>
      </c>
      <c r="K14" s="344"/>
      <c r="L14" s="34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7"/>
      <c r="B15" s="338"/>
      <c r="C15" s="34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6"/>
      <c r="J15" s="144" t="s">
        <v>39</v>
      </c>
      <c r="K15" s="145" t="s">
        <v>59</v>
      </c>
      <c r="L15" s="34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5">
        <f>COUNT(A16:A24)</f>
        <v>0</v>
      </c>
      <c r="B25" s="347"/>
      <c r="C25" s="347" t="s">
        <v>40</v>
      </c>
      <c r="D25" s="347"/>
      <c r="E25" s="347"/>
      <c r="F25" s="34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9" t="s">
        <v>64</v>
      </c>
      <c r="C28" s="350"/>
      <c r="D28" s="350"/>
      <c r="E28" s="350"/>
      <c r="F28" s="350"/>
      <c r="G28" s="350"/>
      <c r="H28" s="350"/>
      <c r="I28" s="350"/>
      <c r="J28" s="350"/>
      <c r="K28" s="351"/>
      <c r="M28" s="358" t="s">
        <v>60</v>
      </c>
      <c r="N28" s="359"/>
      <c r="O28" s="139">
        <f>I25</f>
        <v>1452.8</v>
      </c>
    </row>
    <row r="29" spans="1:18 16383:16383" ht="15" customHeight="1" x14ac:dyDescent="0.35">
      <c r="B29" s="352"/>
      <c r="C29" s="353"/>
      <c r="D29" s="353"/>
      <c r="E29" s="353"/>
      <c r="F29" s="353"/>
      <c r="G29" s="353"/>
      <c r="H29" s="353"/>
      <c r="I29" s="353"/>
      <c r="J29" s="353"/>
      <c r="K29" s="354"/>
      <c r="M29" s="360" t="s">
        <v>85</v>
      </c>
      <c r="N29" s="361"/>
      <c r="O29" s="140">
        <f>K25</f>
        <v>0</v>
      </c>
    </row>
    <row r="30" spans="1:18 16383:16383" ht="15" customHeight="1" x14ac:dyDescent="0.35">
      <c r="B30" s="352"/>
      <c r="C30" s="353"/>
      <c r="D30" s="353"/>
      <c r="E30" s="353"/>
      <c r="F30" s="353"/>
      <c r="G30" s="353"/>
      <c r="H30" s="353"/>
      <c r="I30" s="353"/>
      <c r="J30" s="353"/>
      <c r="K30" s="354"/>
      <c r="M30" s="360" t="s">
        <v>86</v>
      </c>
      <c r="N30" s="361"/>
      <c r="O30" s="140">
        <f>J25</f>
        <v>50.848000000000006</v>
      </c>
    </row>
    <row r="31" spans="1:18 16383:16383" ht="15" customHeight="1" x14ac:dyDescent="0.35">
      <c r="B31" s="352"/>
      <c r="C31" s="353"/>
      <c r="D31" s="353"/>
      <c r="E31" s="353"/>
      <c r="F31" s="353"/>
      <c r="G31" s="353"/>
      <c r="H31" s="353"/>
      <c r="I31" s="353"/>
      <c r="J31" s="353"/>
      <c r="K31" s="354"/>
      <c r="L31" s="131"/>
      <c r="M31" s="360" t="s">
        <v>87</v>
      </c>
      <c r="N31" s="361"/>
      <c r="O31" s="140">
        <f>O28-O29-O30</f>
        <v>1401.952</v>
      </c>
    </row>
    <row r="32" spans="1:18 16383:16383" ht="15" customHeight="1" x14ac:dyDescent="0.35">
      <c r="B32" s="352"/>
      <c r="C32" s="353"/>
      <c r="D32" s="353"/>
      <c r="E32" s="353"/>
      <c r="F32" s="353"/>
      <c r="G32" s="353"/>
      <c r="H32" s="353"/>
      <c r="I32" s="353"/>
      <c r="J32" s="353"/>
      <c r="K32" s="35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2"/>
      <c r="C33" s="353"/>
      <c r="D33" s="353"/>
      <c r="E33" s="353"/>
      <c r="F33" s="353"/>
      <c r="G33" s="353"/>
      <c r="H33" s="353"/>
      <c r="I33" s="353"/>
      <c r="J33" s="353"/>
      <c r="K33" s="354"/>
      <c r="L33" s="131"/>
      <c r="M33" s="362" t="s">
        <v>76</v>
      </c>
      <c r="N33" s="363"/>
      <c r="O33" s="140">
        <f>O31+O32</f>
        <v>1710.3814400000001</v>
      </c>
    </row>
    <row r="34" spans="2:15" ht="15" customHeight="1" thickBot="1" x14ac:dyDescent="0.4">
      <c r="B34" s="355"/>
      <c r="C34" s="356"/>
      <c r="D34" s="356"/>
      <c r="E34" s="356"/>
      <c r="F34" s="356"/>
      <c r="G34" s="356"/>
      <c r="H34" s="356"/>
      <c r="I34" s="356"/>
      <c r="J34" s="356"/>
      <c r="K34" s="35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4" t="s">
        <v>88</v>
      </c>
      <c r="N35" s="365"/>
      <c r="O35" s="141">
        <f>O28-O29+O31+O34</f>
        <v>2897.511536</v>
      </c>
    </row>
    <row r="36" spans="2:15" ht="15" thickBot="1" x14ac:dyDescent="0.4">
      <c r="B36" s="121" t="s">
        <v>63</v>
      </c>
      <c r="C36" s="366"/>
      <c r="D36" s="366"/>
      <c r="E36" s="366"/>
      <c r="F36" s="366"/>
      <c r="G36" s="366"/>
      <c r="H36" s="366"/>
      <c r="I36" s="36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4" t="s">
        <v>439</v>
      </c>
      <c r="E1" s="327" t="s">
        <v>58</v>
      </c>
      <c r="F1" s="327"/>
      <c r="G1" s="328" t="s">
        <v>440</v>
      </c>
      <c r="H1" s="328"/>
      <c r="I1" s="395" t="s">
        <v>441</v>
      </c>
      <c r="J1" s="395"/>
      <c r="K1" s="395" t="s">
        <v>442</v>
      </c>
      <c r="L1" s="395"/>
      <c r="M1" s="391" t="s">
        <v>484</v>
      </c>
      <c r="N1" s="392"/>
      <c r="O1" s="393"/>
    </row>
    <row r="2" spans="3:24" ht="29" x14ac:dyDescent="0.35">
      <c r="C2" s="327"/>
      <c r="D2" s="39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6" t="s">
        <v>476</v>
      </c>
      <c r="D6" s="396"/>
      <c r="E6" s="396"/>
      <c r="F6" s="396"/>
      <c r="G6" s="396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8" t="s">
        <v>58</v>
      </c>
      <c r="F7" s="398"/>
      <c r="G7" s="399" t="s">
        <v>440</v>
      </c>
      <c r="H7" s="328"/>
      <c r="I7" s="329" t="s">
        <v>441</v>
      </c>
      <c r="J7" s="330"/>
      <c r="K7" s="329" t="s">
        <v>442</v>
      </c>
      <c r="L7" s="330"/>
      <c r="M7" s="391" t="s">
        <v>484</v>
      </c>
      <c r="N7" s="392"/>
      <c r="O7" s="393"/>
      <c r="P7" s="256" t="s">
        <v>475</v>
      </c>
      <c r="Q7" s="242" t="s">
        <v>473</v>
      </c>
      <c r="R7" s="394" t="s">
        <v>475</v>
      </c>
      <c r="S7" s="394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4"/>
      <c r="S8" s="394"/>
      <c r="T8" s="399"/>
      <c r="U8" s="39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7" t="s">
        <v>477</v>
      </c>
      <c r="D12" s="397"/>
      <c r="E12" s="397"/>
      <c r="F12" s="397"/>
      <c r="G12" s="397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1" t="s">
        <v>484</v>
      </c>
      <c r="N13" s="392"/>
      <c r="O13" s="393"/>
      <c r="P13" s="256" t="s">
        <v>475</v>
      </c>
      <c r="Q13" s="242" t="s">
        <v>473</v>
      </c>
      <c r="R13" s="394" t="s">
        <v>475</v>
      </c>
      <c r="S13" s="394" t="s">
        <v>485</v>
      </c>
      <c r="T13" s="400" t="s">
        <v>486</v>
      </c>
      <c r="U13" s="400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4"/>
      <c r="S14" s="394"/>
      <c r="T14" s="399"/>
      <c r="U14" s="39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6" t="s">
        <v>478</v>
      </c>
      <c r="D19" s="396"/>
      <c r="E19" s="396"/>
      <c r="F19" s="396"/>
      <c r="G19" s="396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1" t="s">
        <v>484</v>
      </c>
      <c r="N20" s="392"/>
      <c r="O20" s="393"/>
      <c r="P20" s="256" t="s">
        <v>475</v>
      </c>
      <c r="Q20" s="242" t="s">
        <v>473</v>
      </c>
      <c r="R20" s="394" t="s">
        <v>475</v>
      </c>
      <c r="S20" s="394" t="s">
        <v>485</v>
      </c>
      <c r="T20" s="400" t="s">
        <v>486</v>
      </c>
      <c r="U20" s="400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4"/>
      <c r="S21" s="394"/>
      <c r="T21" s="399"/>
      <c r="U21" s="39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6" t="s">
        <v>479</v>
      </c>
      <c r="D26" s="396"/>
      <c r="E26" s="396"/>
      <c r="F26" s="396"/>
      <c r="G26" s="396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1" t="s">
        <v>484</v>
      </c>
      <c r="N27" s="392"/>
      <c r="O27" s="393"/>
      <c r="P27" s="256" t="s">
        <v>475</v>
      </c>
      <c r="Q27" s="242" t="s">
        <v>473</v>
      </c>
      <c r="R27" s="394" t="s">
        <v>475</v>
      </c>
      <c r="S27" s="394" t="s">
        <v>485</v>
      </c>
      <c r="T27" s="400" t="s">
        <v>486</v>
      </c>
      <c r="U27" s="400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4"/>
      <c r="S28" s="394"/>
      <c r="T28" s="399"/>
      <c r="U28" s="39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4" t="s">
        <v>439</v>
      </c>
      <c r="D1" s="327" t="s">
        <v>58</v>
      </c>
      <c r="E1" s="327"/>
      <c r="F1" s="328" t="s">
        <v>440</v>
      </c>
      <c r="G1" s="328"/>
      <c r="H1" s="395" t="s">
        <v>441</v>
      </c>
      <c r="I1" s="395"/>
      <c r="J1" s="395" t="s">
        <v>442</v>
      </c>
      <c r="K1" s="395"/>
      <c r="L1" s="391" t="s">
        <v>484</v>
      </c>
      <c r="M1" s="392"/>
      <c r="N1" s="393"/>
    </row>
    <row r="2" spans="2:17" ht="29" x14ac:dyDescent="0.35">
      <c r="B2" s="327"/>
      <c r="C2" s="39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3"/>
      <c r="G60" s="160" t="s">
        <v>195</v>
      </c>
      <c r="H60" s="161" t="s">
        <v>100</v>
      </c>
    </row>
    <row r="61" spans="5:8" x14ac:dyDescent="0.35">
      <c r="E61" s="159" t="s">
        <v>192</v>
      </c>
      <c r="F61" s="403"/>
      <c r="G61" s="160" t="s">
        <v>196</v>
      </c>
      <c r="H61" s="161" t="s">
        <v>98</v>
      </c>
    </row>
    <row r="62" spans="5:8" x14ac:dyDescent="0.35">
      <c r="E62" s="159" t="s">
        <v>192</v>
      </c>
      <c r="F62" s="403"/>
      <c r="G62" s="160" t="s">
        <v>197</v>
      </c>
      <c r="H62" s="161" t="s">
        <v>101</v>
      </c>
    </row>
    <row r="63" spans="5:8" x14ac:dyDescent="0.35">
      <c r="E63" s="159" t="s">
        <v>192</v>
      </c>
      <c r="F63" s="403"/>
      <c r="G63" s="160" t="s">
        <v>198</v>
      </c>
      <c r="H63" s="161" t="s">
        <v>102</v>
      </c>
    </row>
    <row r="64" spans="5:8" x14ac:dyDescent="0.35">
      <c r="E64" s="159" t="s">
        <v>192</v>
      </c>
      <c r="F64" s="403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3"/>
      <c r="G121" s="160" t="s">
        <v>273</v>
      </c>
      <c r="H121" s="161" t="s">
        <v>98</v>
      </c>
    </row>
    <row r="122" spans="5:8" x14ac:dyDescent="0.35">
      <c r="E122" s="159" t="s">
        <v>269</v>
      </c>
      <c r="F122" s="40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3"/>
      <c r="G241" s="160" t="s">
        <v>432</v>
      </c>
      <c r="H241" s="161" t="s">
        <v>98</v>
      </c>
    </row>
    <row r="242" spans="5:8" x14ac:dyDescent="0.35">
      <c r="E242" s="159" t="s">
        <v>428</v>
      </c>
      <c r="F242" s="40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2026-09-17T09:44:34Z</dcterms:modified>
</cp:coreProperties>
</file>