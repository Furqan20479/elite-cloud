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BF8B2CB0-A643-4CFD-BEC7-40E8C0A72EF7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12" i="62" l="1"/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52"/>
  <c r="N4" i="60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44" l="1"/>
  <c r="N4" i="72"/>
  <c r="N5" i="72" s="1"/>
  <c r="N4" i="71"/>
  <c r="N5" i="71" s="1"/>
  <c r="N4" i="54"/>
  <c r="N5" i="54" s="1"/>
  <c r="N4" i="66"/>
  <c r="N5" i="66" s="1"/>
  <c r="N4" i="49"/>
  <c r="N5" i="49" s="1"/>
  <c r="N4" i="43"/>
  <c r="N5" i="43" s="1"/>
  <c r="N4" i="56"/>
  <c r="N5" i="56" s="1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M22" i="56" s="1"/>
  <c r="O22" i="56" s="1"/>
  <c r="P22" i="56" s="1"/>
  <c r="L22" i="56"/>
  <c r="K22" i="56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J20" i="43"/>
  <c r="M20" i="43" s="1"/>
  <c r="O20" i="43" s="1"/>
  <c r="P20" i="43" s="1"/>
  <c r="R20" i="43" s="1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51" l="1"/>
  <c r="M20" i="46"/>
  <c r="O20" i="46" s="1"/>
  <c r="P20" i="46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52" l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<sst xmlns="http://schemas.openxmlformats.org/spreadsheetml/2006/main" count="3948" uniqueCount="529">
  <si>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</si>
  <si>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</si>
  <si>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</si>
  <si>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</si>
  <si>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</si>
  <si>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</si>
  <si>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</si>
  <si>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</si>
  <si>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</si>
  <si>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</si>
  <si>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</si>
  <si>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</si>
  <si>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</si>
  <si>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</si>
  <si>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</si>
  <si>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</si>
  <si>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</si>
  <si>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</si>
  <si>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</si>
  <si>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</si>
  <si>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</si>
  <si>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</si>
  <si>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</si>
  <si>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</si>
  <si>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</si>
  <si>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</si>
  <si>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</si>
  <si>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</si>
  <si>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</si>
  <si>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</si>
  <si>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</si>
  <si>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</si>
  <si>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</si>
  <si>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</si>
  <si>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</si>
  <si>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</si>
  <si>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</si>
  <si>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</si>
  <si>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</si>
  <si>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</si>
  <si>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</si>
  <si>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</si>
  <si>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</si>
  <si>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</si>
  <si>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</si>
  <si>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</si>
  <si>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</si>
  <si>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</si>
  <si>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</si>
  <si>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</si>
  <si>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</si>
  <si>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</si>
  <si>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</si>
  <si>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</si>
  <si>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</si>
  <si>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</si>
  <si>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</si>
  <si>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</si>
  <si>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</si>
  <si>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</si>
  <si>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</si>
  <si>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</si>
  <si>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</si>
  <si>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</si>
  <si>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</si>
  <si>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</si>
  <si>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</si>
  <si>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</si>
  <si>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</si>
  <si>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</si>
  <si>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</si>
  <si>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</si>
  <si>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</si>
  <si>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</si>
  <si>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</si>
  <si>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</si>
  <si>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</si>
  <si>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</si>
  <si>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</si>
  <si>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</si>
  <si>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</si>
  <si>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</si>
  <si>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</si>
  <si>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</si>
  <si>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</si>
  <si>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</si>
  <si>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</si>
  <si>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</si>
  <si>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</si>
  <si>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</si>
  <si>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</si>
  <si>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</si>
  <si>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</si>
  <si>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</si>
  <si>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</si>
  <si>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</si>
  <si>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</si>
  <si>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</si>
  <si>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</si>
  <si>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</si>
  <si>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</si>
  <si>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</si>
  <si>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</si>
  <si>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</si>
  <si>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</si>
  <si>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</si>
  <si>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</si>
  <si>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</si>
  <si>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</si>
  <si>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</si>
  <si>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</si>
  <si>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</si>
  <si>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</si>
  <si>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</si>
  <si>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</si>
  <si>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</si>
  <si>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</si>
  <si>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</si>
  <si>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</si>
  <si>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</si>
  <si>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</si>
  <si>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</si>
  <si>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</si>
  <si>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</si>
  <si>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</si>
  <si>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</si>
  <si>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</si>
  <si>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</si>
  <si>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</si>
  <si>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</si>
  <si>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</si>
  <si>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</si>
  <si>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</si>
  <si>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</si>
  <si>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</si>
  <si>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</si>
  <si>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</si>
  <si>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</si>
  <si>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</si>
  <si>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</si>
  <si>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</si>
  <si>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</si>
  <si>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</si>
  <si>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</si>
  <si>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</si>
  <si>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</si>
  <si>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</si>
  <si>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</si>
  <si>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</si>
  <si>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</si>
  <si>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</si>
  <si>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</si>
  <si>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</si>
  <si>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</si>
  <si>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</si>
  <si>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</si>
  <si>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</si>
  <si>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</si>
  <si>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</si>
  <si>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</si>
  <si>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</si>
  <si>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</si>
  <si>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</si>
  <si>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</si>
  <si>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</si>
  <si>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</si>
  <si>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</si>
  <si>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</si>
  <si>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</si>
  <si>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</si>
  <si>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</si>
  <si>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</si>
  <si>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</si>
  <si>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</si>
  <si>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</si>
  <si>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</si>
  <si>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</si>
  <si>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</si>
  <si>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</si>
  <si>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</si>
  <si>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</si>
  <si>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</si>
  <si>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</si>
  <si>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</si>
  <si>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</si>
  <si>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</si>
  <si>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</si>
  <si>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</si>
  <si>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</si>
  <si>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</si>
  <si>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</si>
  <si>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</si>
  <si>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</si>
  <si>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</si>
  <si>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</si>
  <si>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</si>
  <si>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</si>
  <si>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</si>
  <si>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</si>
  <si>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</si>
  <si>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</si>
  <si>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</si>
  <si>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</si>
  <si>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</si>
  <si>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</si>
  <si>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</si>
  <si>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</si>
  <si>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</si>
  <si>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</si>
  <si>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</si>
  <si>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</si>
  <si>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</si>
  <si>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</si>
  <si>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</si>
  <si>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</si>
  <si>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</si>
  <si>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</si>
  <si>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</si>
  <si>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</si>
  <si>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</si>
  <si>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</si>
  <si>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</si>
  <si>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</si>
  <si>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</si>
  <si>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</si>
  <si>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</si>
  <si>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</si>
  <si>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</si>
  <si>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</si>
  <si>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</si>
  <si>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</si>
  <si>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</si>
  <si>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</si>
  <si>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</si>
  <si>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</si>
  <si>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</si>
  <si>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</si>
  <si>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</si>
  <si>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</si>
  <si>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</si>
  <si>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</si>
  <si>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</si>
  <si>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</si>
  <si>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</si>
  <si>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</si>
  <si>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</si>
  <si>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</si>
  <si>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</si>
  <si>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</si>
  <si>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</si>
  <si>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</si>
  <si>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</si>
  <si>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</si>
  <si>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</si>
  <si>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</si>
  <si>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</si>
  <si>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</si>
  <si>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</si>
  <si>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</si>
  <si>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</si>
  <si>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</si>
  <si>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</si>
  <si>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</si>
  <si>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</si>
  <si>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</si>
  <si>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</si>
  <si>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</si>
  <si>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</si>
  <si>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</si>
  <si>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</si>
  <si>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</si>
  <si>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</si>
  <si>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</si>
  <si>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</si>
  <si>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</si>
  <si>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</si>
  <si>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</si>
  <si>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</si>
  <si>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</si>
  <si>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</si>
  <si>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</si>
  <si>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</si>
  <si>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</si>
  <si>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</si>
  <si>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</si>
  <si>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</si>
  <si>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</si>
  <si>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</si>
  <si>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</si>
  <si>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</si>
  <si>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</si>
  <si>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</si>
  <si>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</si>
  <si>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</si>
  <si>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</si>
  <si>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</si>
  <si>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</si>
  <si>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</si>
  <si>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</si>
  <si>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</si>
  <si>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</si>
  <si>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</si>
  <si>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</si>
  <si>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</si>
  <si>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</si>
  <si>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</si>
  <si>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</si>
  <si>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</si>
  <si>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</si>
  <si>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</si>
  <si>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</si>
  <si>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</si>
  <si>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</si>
  <si>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</si>
  <si>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</si>
  <si>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</si>
  <si>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</si>
  <si>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</si>
  <si>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</si>
  <si>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</si>
  <si>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</si>
  <si>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</si>
  <si>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</si>
  <si>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</si>
  <si>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</si>
  <si>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</si>
  <si>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</si>
  <si>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</si>
  <si>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</si>
  <si>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</si>
  <si>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</si>
  <si>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</si>
  <si>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</si>
  <si>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</si>
  <si>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</si>
  <si>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</si>
  <si>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</si>
  <si>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</si>
  <si>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</si>
  <si>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</si>
  <si>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</si>
  <si>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</si>
  <si>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</si>
  <si>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</si>
  <si>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</si>
  <si>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</si>
  <si>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</si>
  <si>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</si>
  <si>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</si>
  <si>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</si>
  <si>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</si>
  <si>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</si>
  <si>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</si>
  <si>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</si>
  <si>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</si>
  <si>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</si>
  <si>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</si>
  <si>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</si>
  <si>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</si>
  <si>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</si>
  <si>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</si>
  <si>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</si>
  <si>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</si>
  <si>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</si>
  <si>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</si>
  <si>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</si>
  <si>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</si>
  <si>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</si>
  <si>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</si>
  <si>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</si>
  <si>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</si>
  <si>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</si>
  <si>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</si>
  <si>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</si>
  <si>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</si>
  <si>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</si>
  <si>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</si>
  <si>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</si>
  <si>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</si>
  <si>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</si>
  <si>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</si>
  <si>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</si>
  <si>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</si>
  <si>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</si>
  <si>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</si>
  <si>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</si>
  <si>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</si>
  <si>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</si>
  <si>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</si>
  <si>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</si>
  <si>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</si>
  <si>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</si>
  <si>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</si>
  <si>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</si>
  <si>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</si>
  <si>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</si>
  <si>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</si>
  <si>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</si>
  <si>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</si>
  <si>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</si>
  <si>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</si>
  <si>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</si>
  <si>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</si>
  <si>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</si>
  <si>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</si>
  <si>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</si>
  <si>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</si>
  <si>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</si>
  <si>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</si>
  <si>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</si>
  <si>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</si>
  <si>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</si>
  <si>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</si>
  <si>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</si>
  <si>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</si>
  <si>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</si>
  <si>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</si>
  <si>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</si>
  <si>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</si>
  <si>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</si>
  <si>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</si>
  <si>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</si>
  <si>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</si>
  <si>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</si>
  <si>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</si>
  <si>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</si>
  <si>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</si>
  <si>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</si>
  <si>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</si>
  <si>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</si>
  <si>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</si>
  <si>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</si>
  <si>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</si>
  <si>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</si>
  <si>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</si>
  <si>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</si>
  <si>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</si>
  <si>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</si>
  <si>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</si>
  <si>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</si>
  <si>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</si>
  <si>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</si>
  <si>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</si>
  <si>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</si>
  <si>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</si>
  <si>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</si>
  <si>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</si>
  <si>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</si>
  <si>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</si>
  <si>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</si>
  <si>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</si>
  <si>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</si>
  <si>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</si>
  <si>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</si>
  <si>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</si>
  <si>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</si>
  <si>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</si>
  <si>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</si>
  <si>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</si>
  <si>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</si>
  <si>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</si>
  <si>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</si>
  <si>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</si>
  <si>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</si>
  <si>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</si>
  <si>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</si>
  <si>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</si>
  <si>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</si>
  <si>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</si>
  <si>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</si>
  <si>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</si>
  <si>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</si>
  <si>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</si>
  <si>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</si>
  <si>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</si>
  <si>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</si>
  <si>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</si>
  <si>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</si>
  <si>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</si>
  <si>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</si>
  <si>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</si>
  <si>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</si>
  <si>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</si>
  <si>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</si>
  <si>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</si>
  <si>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</si>
  <si>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</si>
  <si>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</si>
  <si>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</si>
  <si>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</si>
  <si>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</si>
  <si>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</si>
  <si>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</si>
  <si>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</si>
  <si>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</si>
  <si>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</si>
  <si>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</si>
  <si>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</si>
  <si>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</si>
  <si>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</si>
  <si>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</si>
  <si>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</si>
  <si>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</si>
  <si>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</si>
  <si>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</si>
  <si>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</si>
  <si>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</si>
  <si>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</si>
  <si>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</si>
  <si>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</si>
  <si>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</si>
  <si>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</si>
  <si>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</si>
  <si>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Salman</t>
  </si>
  <si>
    <t>Shell Select Shop</t>
  </si>
  <si>
    <t>Al madina GS</t>
  </si>
  <si>
    <t>Tanveer Store</t>
  </si>
  <si>
    <t>Food Rite Super Store</t>
  </si>
  <si>
    <t>Toqeer Store</t>
  </si>
  <si>
    <t>Imran Store</t>
  </si>
  <si>
    <t>Fazal Store</t>
  </si>
  <si>
    <t>Rahil Store</t>
  </si>
  <si>
    <t>Qasim Store</t>
  </si>
  <si>
    <t>Roshan Store</t>
  </si>
  <si>
    <t>Best Store</t>
  </si>
  <si>
    <t>Haq Baho Sore</t>
  </si>
  <si>
    <t>Mussa Sons GS</t>
  </si>
  <si>
    <t>Haidri Store</t>
  </si>
  <si>
    <t xml:space="preserve">Address: Basti Shadan Shah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</si>
</sst>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4" workbookViewId="0">
      <selection activeCell="U5" sqref="U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8" t="s">
        <v>91</v>
      </c>
      <c r="B2" s="368"/>
      <c r="C2" s="368"/>
      <c r="E2" s="355" t="s">
        <v>498</v>
      </c>
      <c r="F2" s="356"/>
      <c r="G2" s="356"/>
      <c r="H2" s="353" t="s">
        <v>513</v>
      </c>
      <c r="I2" s="353"/>
      <c r="J2" s="354"/>
      <c r="R2" s="350" t="s">
        <v>497</v>
      </c>
      <c r="S2" s="351"/>
      <c r="T2" s="352"/>
    </row>
    <row r="3" spans="1:20 16377:16378" ht="21.75" customHeight="1" thickBot="1" x14ac:dyDescent="0.4">
      <c r="A3" s="369" t="s">
        <v>92</v>
      </c>
      <c r="B3" s="369"/>
      <c r="C3" s="369"/>
      <c r="E3" s="359" t="s">
        <v>508</v>
      </c>
      <c r="F3" s="360"/>
      <c r="G3" s="360"/>
      <c r="H3" s="357">
        <v>46273</v>
      </c>
      <c r="I3" s="357"/>
      <c r="J3" s="358"/>
      <c r="K3" s="370" t="s">
        <v>43</v>
      </c>
      <c r="L3" s="370"/>
      <c r="M3" s="370"/>
      <c r="N3" s="369"/>
      <c r="O3" s="369"/>
      <c r="P3" s="369"/>
      <c r="R3" s="299">
        <v>1</v>
      </c>
      <c r="S3" s="300" t="str">
        <f>+'1'!A6:A6</f>
        <v>Shell Select Shop</v>
      </c>
      <c r="T3" s="301">
        <f>+'1'!P35</f>
        <v>3136.2115850847458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>Al madina GS</v>
      </c>
      <c r="T4" s="301">
        <f>+'2'!P35</f>
        <v>9145.8232352542364</v>
      </c>
      <c r="XEX4" t="s">
        <v>105</v>
      </c>
    </row>
    <row r="5" spans="1:20 16377:16378" ht="21.75" customHeight="1" thickBot="1" x14ac:dyDescent="0.4">
      <c r="A5" s="389" t="s">
        <v>51</v>
      </c>
      <c r="B5" s="361"/>
      <c r="C5" s="391" t="s">
        <v>90</v>
      </c>
      <c r="D5" s="115" t="s">
        <v>52</v>
      </c>
      <c r="E5" s="393" t="s">
        <v>58</v>
      </c>
      <c r="F5" s="394"/>
      <c r="G5" s="366" t="s">
        <v>54</v>
      </c>
      <c r="H5" s="367"/>
      <c r="I5" s="395" t="s">
        <v>77</v>
      </c>
      <c r="J5" s="365" t="s">
        <v>55</v>
      </c>
      <c r="K5" s="366"/>
      <c r="L5" s="367"/>
      <c r="M5" s="361" t="s">
        <v>84</v>
      </c>
      <c r="N5" s="363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Tanveer Store</v>
      </c>
      <c r="T5" s="301">
        <f>+'3'!P35</f>
        <v>1568.1057925423729</v>
      </c>
      <c r="XEX5" t="s">
        <v>106</v>
      </c>
    </row>
    <row r="6" spans="1:20 16377:16378" ht="21.75" customHeight="1" thickBot="1" x14ac:dyDescent="0.4">
      <c r="A6" s="390"/>
      <c r="B6" s="362"/>
      <c r="C6" s="392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4"/>
      <c r="J6" s="143" t="s">
        <v>59</v>
      </c>
      <c r="K6" s="144" t="s">
        <v>39</v>
      </c>
      <c r="L6" s="145" t="s">
        <v>493</v>
      </c>
      <c r="M6" s="362"/>
      <c r="N6" s="364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Food Rite Super Store</v>
      </c>
      <c r="T6" s="301">
        <f>+'4'!P35</f>
        <v>4599.7844033326273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15</v>
      </c>
      <c r="I7" s="235">
        <f>(G7*D7)*F7+H7*F7</f>
        <v>786.9375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62.954999999999998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27.542812500000004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696.43968749999999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148.72881355932196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4.22584250529661</v>
      </c>
      <c r="P7" s="310">
        <f>M7+N7+O7</f>
        <v>849.39434356461845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Toqeer Store</v>
      </c>
      <c r="T7" s="301">
        <f>+'5'!P35</f>
        <v>1881.7269510508474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6</v>
      </c>
      <c r="I8" s="236">
        <f t="shared" ref="I8:I14" si="0">(G8*D8)*F8+H8*F8</f>
        <v>314.77499999999998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25.181999999999999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11.017125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278.575875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59.491525423728788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1.6903370021186439</v>
      </c>
      <c r="P8" s="311">
        <f t="shared" ref="P8:P15" si="2">M8+N8+O8</f>
        <v>339.75773742584744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9</v>
      </c>
      <c r="R8" s="314">
        <v>6</v>
      </c>
      <c r="S8" s="300" t="str">
        <f>+'6'!A6:A6</f>
        <v>Imran Store</v>
      </c>
      <c r="T8" s="301">
        <f>+'6'!P35</f>
        <v>6272.4231701694916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9</v>
      </c>
      <c r="I9" s="236">
        <f t="shared" si="0"/>
        <v>472.16249999999997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37.772999999999996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16.5256875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417.86381249999999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89.23728813559319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2.5355055031779661</v>
      </c>
      <c r="P9" s="311">
        <f t="shared" si="2"/>
        <v>509.63660613877113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1</v>
      </c>
      <c r="R9" s="314">
        <v>7</v>
      </c>
      <c r="S9" s="300" t="str">
        <f>+'7'!A6:A6</f>
        <v>Fazal Store</v>
      </c>
      <c r="T9" s="301">
        <f>+'7'!P35</f>
        <v>313.62115850847459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152</v>
      </c>
      <c r="I10" s="236">
        <f t="shared" si="0"/>
        <v>11041.28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970.47039999999993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386.44479999999993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9684.3648000000012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2086.7796610169498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58.855722305084768</v>
      </c>
      <c r="P10" s="311">
        <f t="shared" si="2"/>
        <v>11830.000183322036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Rahil Store</v>
      </c>
      <c r="T10" s="301">
        <f>+'8'!P35</f>
        <v>313.62115850847459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81</v>
      </c>
      <c r="I11" s="236">
        <f t="shared" si="0"/>
        <v>5883.84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557.87519999999995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205.93439999999998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5120.0304000000006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1112.0338983050851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31.160321491525423</v>
      </c>
      <c r="P11" s="311">
        <f t="shared" si="2"/>
        <v>6263.2246197966115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Qasim Store</v>
      </c>
      <c r="T11" s="301">
        <f>+'9'!P35</f>
        <v>313.62115850847459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118</v>
      </c>
      <c r="I12" s="236">
        <f t="shared" si="0"/>
        <v>8571.52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772.88959999999986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300.00319999999988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7498.6272000000008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1620.0000000000005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45.593136000000008</v>
      </c>
      <c r="P12" s="311">
        <f t="shared" si="2"/>
        <v>9164.2203360000003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3</v>
      </c>
      <c r="R12" s="314">
        <v>10</v>
      </c>
      <c r="S12" s="300" t="str">
        <f>+'10'!A6:A6</f>
        <v>Roshan Store</v>
      </c>
      <c r="T12" s="301">
        <f>+'10'!P35</f>
        <v>313.62115850847459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Best Store</v>
      </c>
      <c r="T13" s="301">
        <f>+'11'!P35</f>
        <v>235.21586888135593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Haq Baho Sore</v>
      </c>
      <c r="T14" s="301">
        <f>+'12'!P35</f>
        <v>313.62115850847459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Mussa Sons GS</v>
      </c>
      <c r="T15" s="301">
        <f>+'13'!P35</f>
        <v>235.21586888135593</v>
      </c>
    </row>
    <row r="16" spans="1:20 16377:16378" ht="21.75" customHeight="1" thickBot="1" x14ac:dyDescent="0.4">
      <c r="A16" s="371">
        <f>COUNT(A7:A15)</f>
        <v>0</v>
      </c>
      <c r="B16" s="372"/>
      <c r="C16" s="372" t="s">
        <v>40</v>
      </c>
      <c r="D16" s="372"/>
      <c r="E16" s="372"/>
      <c r="F16" s="373"/>
      <c r="G16" s="117">
        <f>H16/40</f>
        <v>9.5250000000000004</v>
      </c>
      <c r="H16" s="113">
        <f t="shared" ref="H16:M16" si="3">SUM(H7:H15)</f>
        <v>381</v>
      </c>
      <c r="I16" s="114">
        <f t="shared" si="3"/>
        <v>27070.515000000003</v>
      </c>
      <c r="J16" s="274">
        <f>SUM(J7:J15)</f>
        <v>2427.1451999999999</v>
      </c>
      <c r="K16" s="275">
        <f t="shared" si="3"/>
        <v>947.46802499999978</v>
      </c>
      <c r="L16" s="276">
        <f t="shared" si="3"/>
        <v>0</v>
      </c>
      <c r="M16" s="232">
        <f t="shared" si="3"/>
        <v>23695.901775000006</v>
      </c>
      <c r="N16" s="233">
        <f>SUM(N7:N15)</f>
        <v>5116.2711864406792</v>
      </c>
      <c r="O16" s="101">
        <f>SUM(O7:O15)</f>
        <v>144.06086480720342</v>
      </c>
      <c r="P16" s="113">
        <f>SUM(P7:P15)</f>
        <v>28956.233826247888</v>
      </c>
      <c r="Q16" s="128">
        <f>SUM(Q7:Q15)</f>
        <v>13</v>
      </c>
      <c r="R16" s="314">
        <v>14</v>
      </c>
      <c r="S16" s="318" t="str">
        <f>+'14'!A6:A6</f>
        <v>Haidri Store</v>
      </c>
      <c r="T16" s="301">
        <f>+'14'!P35</f>
        <v>313.62115850847459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4" t="s">
        <v>64</v>
      </c>
      <c r="C19" s="375"/>
      <c r="D19" s="375"/>
      <c r="E19" s="375"/>
      <c r="F19" s="375"/>
      <c r="G19" s="375"/>
      <c r="H19" s="375"/>
      <c r="I19" s="375"/>
      <c r="J19" s="375"/>
      <c r="K19" s="375"/>
      <c r="L19" s="376"/>
      <c r="N19" s="383" t="s">
        <v>60</v>
      </c>
      <c r="O19" s="384"/>
      <c r="P19" s="139">
        <f>I16</f>
        <v>27070.515000000003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7"/>
      <c r="C20" s="378"/>
      <c r="D20" s="378"/>
      <c r="E20" s="378"/>
      <c r="F20" s="378"/>
      <c r="G20" s="378"/>
      <c r="H20" s="378"/>
      <c r="I20" s="378"/>
      <c r="J20" s="378"/>
      <c r="K20" s="378"/>
      <c r="L20" s="379"/>
      <c r="N20" s="385" t="s">
        <v>85</v>
      </c>
      <c r="O20" s="386"/>
      <c r="P20" s="140">
        <f>+J16</f>
        <v>2427.1451999999999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7"/>
      <c r="C21" s="378"/>
      <c r="D21" s="378"/>
      <c r="E21" s="378"/>
      <c r="F21" s="378"/>
      <c r="G21" s="378"/>
      <c r="H21" s="378"/>
      <c r="I21" s="378"/>
      <c r="J21" s="378"/>
      <c r="K21" s="378"/>
      <c r="L21" s="379"/>
      <c r="N21" s="385" t="s">
        <v>86</v>
      </c>
      <c r="O21" s="386"/>
      <c r="P21" s="140">
        <f>+K16+L16</f>
        <v>947.46802499999978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7"/>
      <c r="C22" s="378"/>
      <c r="D22" s="378"/>
      <c r="E22" s="378"/>
      <c r="F22" s="378"/>
      <c r="G22" s="378"/>
      <c r="H22" s="378"/>
      <c r="I22" s="378"/>
      <c r="J22" s="378"/>
      <c r="K22" s="378"/>
      <c r="L22" s="379"/>
      <c r="M22" s="131"/>
      <c r="N22" s="385" t="s">
        <v>87</v>
      </c>
      <c r="O22" s="386"/>
      <c r="P22" s="140">
        <f>P19-P20-P21</f>
        <v>23695.901775000006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7"/>
      <c r="C23" s="378"/>
      <c r="D23" s="378"/>
      <c r="E23" s="378"/>
      <c r="F23" s="378"/>
      <c r="G23" s="378"/>
      <c r="H23" s="378"/>
      <c r="I23" s="378"/>
      <c r="J23" s="378"/>
      <c r="K23" s="378"/>
      <c r="L23" s="379"/>
      <c r="M23" s="131"/>
      <c r="N23" s="136" t="s">
        <v>61</v>
      </c>
      <c r="O23" s="133">
        <v>0.18</v>
      </c>
      <c r="P23" s="140">
        <f>+N16</f>
        <v>5116.2711864406792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7"/>
      <c r="C24" s="378"/>
      <c r="D24" s="378"/>
      <c r="E24" s="378"/>
      <c r="F24" s="378"/>
      <c r="G24" s="378"/>
      <c r="H24" s="378"/>
      <c r="I24" s="378"/>
      <c r="J24" s="378"/>
      <c r="K24" s="378"/>
      <c r="L24" s="379"/>
      <c r="M24" s="131"/>
      <c r="N24" s="387" t="s">
        <v>76</v>
      </c>
      <c r="O24" s="388"/>
      <c r="P24" s="140">
        <f>P22+P23</f>
        <v>28812.172961440687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0"/>
      <c r="C25" s="381"/>
      <c r="D25" s="381"/>
      <c r="E25" s="381"/>
      <c r="F25" s="381"/>
      <c r="G25" s="381"/>
      <c r="H25" s="381"/>
      <c r="I25" s="381"/>
      <c r="J25" s="381"/>
      <c r="K25" s="381"/>
      <c r="L25" s="382"/>
      <c r="M25" s="99"/>
      <c r="N25" s="138" t="s">
        <v>83</v>
      </c>
      <c r="O25" s="137" t="e">
        <f>IF(#REF!="Filer",0.5%,2.5%)</f>
        <v>#REF!</v>
      </c>
      <c r="P25" s="140">
        <f>+O16</f>
        <v>144.06086480720342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4" t="s">
        <v>88</v>
      </c>
      <c r="O26" s="345"/>
      <c r="P26" s="297">
        <f>+P24+P25</f>
        <v>28956.233826247892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6"/>
      <c r="D27" s="346"/>
      <c r="E27" s="346"/>
      <c r="F27" s="346"/>
      <c r="G27" s="346"/>
      <c r="H27" s="346"/>
      <c r="I27" s="347"/>
      <c r="J27" s="348"/>
      <c r="K27" s="34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28956.233826247877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K2" sqref="K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Summary!H3</f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7.25" customHeight="1" x14ac:dyDescent="0.4">
      <c r="A6" s="398" t="s">
        <v>514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Salman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528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7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7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7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2905.6</v>
      </c>
      <c r="J25" s="274">
        <f>SUM(J16:J24)</f>
        <v>232.44799999999998</v>
      </c>
      <c r="K25" s="275">
        <f t="shared" si="10"/>
        <v>101.696</v>
      </c>
      <c r="L25" s="276">
        <f t="shared" si="10"/>
        <v>0</v>
      </c>
      <c r="M25" s="232">
        <f t="shared" si="10"/>
        <v>2571.4559999999997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2905.6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232.44799999999998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101.696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2571.4560000000001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3120.6085423728814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4" t="s">
        <v>88</v>
      </c>
      <c r="O35" s="345"/>
      <c r="P35" s="297">
        <f>+P33+P34</f>
        <v>3136.2115850847458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K2" sqref="K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Salman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528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319.61599999999999</v>
      </c>
      <c r="K19" s="128">
        <f t="shared" si="1"/>
        <v>101.69600000000001</v>
      </c>
      <c r="L19" s="119">
        <f t="shared" si="1"/>
        <v>0</v>
      </c>
      <c r="M19" s="230">
        <f t="shared" si="2"/>
        <v>2484.288</v>
      </c>
      <c r="N19" s="277">
        <f t="shared" si="3"/>
        <v>549.15254237288138</v>
      </c>
      <c r="O19" s="239">
        <f t="shared" si="4"/>
        <v>15.167202711864407</v>
      </c>
      <c r="P19" s="311">
        <f t="shared" si="5"/>
        <v>3048.6077450847456</v>
      </c>
      <c r="Q19" s="156"/>
      <c r="S19" s="269">
        <f>+S18</f>
        <v>0.11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319.61599999999999</v>
      </c>
      <c r="K20" s="128">
        <f t="shared" si="1"/>
        <v>101.69600000000001</v>
      </c>
      <c r="L20" s="119">
        <f t="shared" si="1"/>
        <v>0</v>
      </c>
      <c r="M20" s="230">
        <f t="shared" si="2"/>
        <v>2484.288</v>
      </c>
      <c r="N20" s="277">
        <f t="shared" si="3"/>
        <v>549.15254237288138</v>
      </c>
      <c r="O20" s="239">
        <f t="shared" si="4"/>
        <v>15.167202711864407</v>
      </c>
      <c r="P20" s="311">
        <f t="shared" si="5"/>
        <v>3048.6077450847456</v>
      </c>
      <c r="Q20" s="156"/>
      <c r="R20">
        <f>P20/21</f>
        <v>145.17179738498788</v>
      </c>
      <c r="S20" s="269">
        <f>+S19</f>
        <v>0.11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319.61599999999999</v>
      </c>
      <c r="K21" s="128">
        <f t="shared" si="1"/>
        <v>101.69600000000001</v>
      </c>
      <c r="L21" s="119">
        <f t="shared" si="1"/>
        <v>0</v>
      </c>
      <c r="M21" s="230">
        <f t="shared" si="2"/>
        <v>2484.288</v>
      </c>
      <c r="N21" s="277">
        <f t="shared" si="3"/>
        <v>549.15254237288138</v>
      </c>
      <c r="O21" s="239">
        <f t="shared" si="4"/>
        <v>15.167202711864407</v>
      </c>
      <c r="P21" s="311">
        <f t="shared" si="5"/>
        <v>3048.6077450847456</v>
      </c>
      <c r="Q21" s="156"/>
      <c r="S21" s="269">
        <f>+S20</f>
        <v>0.11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120</v>
      </c>
      <c r="I25" s="114">
        <f t="shared" si="7"/>
        <v>8716.7999999999993</v>
      </c>
      <c r="J25" s="274">
        <f>SUM(J16:J24)</f>
        <v>958.84799999999996</v>
      </c>
      <c r="K25" s="275">
        <f t="shared" si="7"/>
        <v>305.08800000000002</v>
      </c>
      <c r="L25" s="276">
        <f t="shared" si="7"/>
        <v>0</v>
      </c>
      <c r="M25" s="232">
        <f t="shared" si="7"/>
        <v>7452.8639999999996</v>
      </c>
      <c r="N25" s="233">
        <f>SUM(N16:N24)</f>
        <v>1647.4576271186443</v>
      </c>
      <c r="O25" s="101">
        <f>SUM(O16:O24)</f>
        <v>45.501608135593223</v>
      </c>
      <c r="P25" s="113">
        <f>SUM(P16:P24)</f>
        <v>9145.8232352542364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8716.7999999999993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958.84799999999996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305.08800000000002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7452.8639999999996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1647.4576271186443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9100.3216271186429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45.501608135593216</v>
      </c>
    </row>
    <row r="35" spans="2:16" ht="15.75" customHeight="1" thickBot="1" x14ac:dyDescent="0.4">
      <c r="N35" s="344" t="s">
        <v>88</v>
      </c>
      <c r="O35" s="345"/>
      <c r="P35" s="297">
        <f>+P33+P34</f>
        <v>9145.8232352542364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7" workbookViewId="0">
      <selection activeCell="K2" sqref="K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8.7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Salman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528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311">
        <f t="shared" si="5"/>
        <v>1568.1057925423729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20</v>
      </c>
      <c r="I25" s="114">
        <f t="shared" si="7"/>
        <v>1452.8</v>
      </c>
      <c r="J25" s="274">
        <f>SUM(J16:J24)</f>
        <v>116.224</v>
      </c>
      <c r="K25" s="275">
        <f t="shared" si="7"/>
        <v>50.848000000000006</v>
      </c>
      <c r="L25" s="276">
        <f t="shared" si="7"/>
        <v>0</v>
      </c>
      <c r="M25" s="232">
        <f t="shared" si="7"/>
        <v>1285.7280000000001</v>
      </c>
      <c r="N25" s="233">
        <f>SUM(N16:N24)</f>
        <v>274.57627118644069</v>
      </c>
      <c r="O25" s="101">
        <f>SUM(O16:O24)</f>
        <v>7.8015213559322039</v>
      </c>
      <c r="P25" s="113">
        <f>SUM(P16:P24)</f>
        <v>1568.1057925423729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1452.8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116.224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50.848000000000006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1285.7280000000001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1560.3042711864407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7.8015213559322039</v>
      </c>
    </row>
    <row r="35" spans="2:16" ht="15.75" customHeight="1" thickBot="1" x14ac:dyDescent="0.4">
      <c r="N35" s="344" t="s">
        <v>88</v>
      </c>
      <c r="O35" s="345"/>
      <c r="P35" s="297">
        <f>+P33+P34</f>
        <v>1568.1057925423729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activeCell="Q22" sqref="Q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517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Salman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528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310">
        <f>M16+N16+O16</f>
        <v>849.39434356461845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311">
        <f t="shared" ref="P17:P24" si="5">M17+N17+O17</f>
        <v>339.75773742584744</v>
      </c>
      <c r="Q17" s="156">
        <v>9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9</v>
      </c>
      <c r="I18" s="236">
        <f t="shared" si="0"/>
        <v>472.16249999999997</v>
      </c>
      <c r="J18" s="272">
        <f t="shared" si="1"/>
        <v>37.772999999999996</v>
      </c>
      <c r="K18" s="128">
        <f t="shared" si="1"/>
        <v>16.5256875</v>
      </c>
      <c r="L18" s="119">
        <f t="shared" si="1"/>
        <v>0</v>
      </c>
      <c r="M18" s="230">
        <f t="shared" si="2"/>
        <v>417.86381249999999</v>
      </c>
      <c r="N18" s="277">
        <f t="shared" si="3"/>
        <v>89.23728813559319</v>
      </c>
      <c r="O18" s="239">
        <f t="shared" si="4"/>
        <v>2.5355055031779661</v>
      </c>
      <c r="P18" s="311">
        <f t="shared" si="5"/>
        <v>509.63660613877113</v>
      </c>
      <c r="Q18" s="156">
        <v>1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15</v>
      </c>
      <c r="I20" s="236">
        <f t="shared" si="0"/>
        <v>1089.5999999999999</v>
      </c>
      <c r="J20" s="272">
        <f t="shared" si="1"/>
        <v>87.167999999999992</v>
      </c>
      <c r="K20" s="128">
        <f t="shared" si="1"/>
        <v>38.136000000000003</v>
      </c>
      <c r="L20" s="119">
        <f t="shared" si="1"/>
        <v>0</v>
      </c>
      <c r="M20" s="230">
        <f t="shared" si="2"/>
        <v>964.29599999999994</v>
      </c>
      <c r="N20" s="277">
        <f t="shared" si="3"/>
        <v>205.93220338983053</v>
      </c>
      <c r="O20" s="239">
        <f t="shared" si="4"/>
        <v>5.8511410169491525</v>
      </c>
      <c r="P20" s="311">
        <f t="shared" si="5"/>
        <v>1176.0793444067797</v>
      </c>
      <c r="Q20" s="156"/>
      <c r="R20">
        <f>P20/21</f>
        <v>56.003778305084744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7</v>
      </c>
      <c r="I21" s="236">
        <f t="shared" si="0"/>
        <v>508.48</v>
      </c>
      <c r="J21" s="272">
        <f t="shared" si="1"/>
        <v>40.678400000000003</v>
      </c>
      <c r="K21" s="128">
        <f t="shared" si="1"/>
        <v>17.796800000000001</v>
      </c>
      <c r="L21" s="119">
        <f t="shared" si="1"/>
        <v>0</v>
      </c>
      <c r="M21" s="230">
        <f t="shared" si="2"/>
        <v>450.00480000000005</v>
      </c>
      <c r="N21" s="277">
        <f t="shared" si="3"/>
        <v>96.101694915254242</v>
      </c>
      <c r="O21" s="239">
        <f t="shared" si="4"/>
        <v>2.7305324745762714</v>
      </c>
      <c r="P21" s="311">
        <f t="shared" si="5"/>
        <v>548.83702738983061</v>
      </c>
      <c r="Q21" s="156">
        <v>3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67</v>
      </c>
      <c r="I25" s="114">
        <f t="shared" si="7"/>
        <v>4261.5550000000003</v>
      </c>
      <c r="J25" s="274">
        <f>SUM(J16:J24)</f>
        <v>340.92439999999999</v>
      </c>
      <c r="K25" s="275">
        <f t="shared" si="7"/>
        <v>149.154425</v>
      </c>
      <c r="L25" s="276">
        <f t="shared" si="7"/>
        <v>0</v>
      </c>
      <c r="M25" s="232">
        <f t="shared" si="7"/>
        <v>3771.4761749999998</v>
      </c>
      <c r="N25" s="233">
        <f>SUM(N16:N24)</f>
        <v>805.42372881355925</v>
      </c>
      <c r="O25" s="101">
        <f>SUM(O16:O24)</f>
        <v>22.884499519067798</v>
      </c>
      <c r="P25" s="113">
        <f>SUM(P16:P24)</f>
        <v>4599.7844033326273</v>
      </c>
      <c r="Q25" s="128">
        <f>SUM(Q16:Q24)</f>
        <v>13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4261.5550000000003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340.92439999999999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149.154425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3771.4761750000002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805.42372881355925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4576.8999038135598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22.884499519067798</v>
      </c>
    </row>
    <row r="35" spans="2:16" ht="15.75" customHeight="1" thickBot="1" x14ac:dyDescent="0.4">
      <c r="N35" s="344" t="s">
        <v>88</v>
      </c>
      <c r="O35" s="345"/>
      <c r="P35" s="297">
        <f>+P33+P34</f>
        <v>4599.7844033326273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workbookViewId="0">
      <selection activeCell="K2" sqref="K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518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Salman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528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311">
        <f t="shared" si="5"/>
        <v>940.86347552542372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0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311">
        <f t="shared" si="5"/>
        <v>470.43173776271186</v>
      </c>
      <c r="Q20" s="156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311">
        <f t="shared" si="5"/>
        <v>470.43173776271186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24</v>
      </c>
      <c r="I25" s="114">
        <f t="shared" si="7"/>
        <v>1743.3600000000001</v>
      </c>
      <c r="J25" s="274">
        <f>SUM(J16:J24)</f>
        <v>139.46880000000002</v>
      </c>
      <c r="K25" s="275">
        <f t="shared" si="7"/>
        <v>61.017600000000009</v>
      </c>
      <c r="L25" s="276">
        <f t="shared" si="7"/>
        <v>0</v>
      </c>
      <c r="M25" s="232">
        <f t="shared" si="7"/>
        <v>1542.8736000000001</v>
      </c>
      <c r="N25" s="233">
        <f>SUM(N16:N24)</f>
        <v>329.49152542372883</v>
      </c>
      <c r="O25" s="101">
        <f>SUM(O16:O24)</f>
        <v>9.3618256271186446</v>
      </c>
      <c r="P25" s="113">
        <f>SUM(P16:P24)</f>
        <v>1881.7269510508474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1743.3600000000001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139.46880000000002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61.017600000000009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1542.8736000000001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329.49152542372883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1872.3651254237288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9.3618256271186446</v>
      </c>
    </row>
    <row r="35" spans="2:16" ht="15.75" customHeight="1" thickBot="1" x14ac:dyDescent="0.4">
      <c r="N35" s="344" t="s">
        <v>88</v>
      </c>
      <c r="O35" s="345"/>
      <c r="P35" s="297">
        <f>+P33+P34</f>
        <v>1881.7269510508474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9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'1'!N4:P5</f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519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Salman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528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464.89600000000002</v>
      </c>
      <c r="K25" s="275">
        <f t="shared" si="7"/>
        <v>203.39200000000002</v>
      </c>
      <c r="L25" s="276">
        <f t="shared" si="7"/>
        <v>0</v>
      </c>
      <c r="M25" s="232">
        <f t="shared" si="7"/>
        <v>5142.9120000000003</v>
      </c>
      <c r="N25" s="233">
        <f>SUM(N16:N24)</f>
        <v>1098.3050847457628</v>
      </c>
      <c r="O25" s="101">
        <f>SUM(O16:O24)</f>
        <v>31.206085423728815</v>
      </c>
      <c r="P25" s="113">
        <f>SUM(P16:P24)</f>
        <v>6272.4231701694916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5811.2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464.89600000000002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203.39200000000002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5142.9120000000003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6241.2170847457628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31.206085423728815</v>
      </c>
    </row>
    <row r="35" spans="2:16" ht="15.75" customHeight="1" thickBot="1" x14ac:dyDescent="0.4">
      <c r="N35" s="344" t="s">
        <v>88</v>
      </c>
      <c r="O35" s="345"/>
      <c r="P35" s="297">
        <f>+P33+P34</f>
        <v>6272.4231701694916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5" workbookViewId="0">
      <selection activeCell="K2" sqref="K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520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Salman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528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</v>
      </c>
      <c r="I19" s="236">
        <f t="shared" si="0"/>
        <v>145.28</v>
      </c>
      <c r="J19" s="272">
        <f t="shared" si="1"/>
        <v>11.622400000000001</v>
      </c>
      <c r="K19" s="128">
        <f t="shared" si="1"/>
        <v>5.0848000000000004</v>
      </c>
      <c r="L19" s="119">
        <f t="shared" si="1"/>
        <v>0</v>
      </c>
      <c r="M19" s="230">
        <f t="shared" si="2"/>
        <v>128.5728</v>
      </c>
      <c r="N19" s="277">
        <f t="shared" si="3"/>
        <v>27.457627118644069</v>
      </c>
      <c r="O19" s="239">
        <f t="shared" si="4"/>
        <v>0.78015213559322039</v>
      </c>
      <c r="P19" s="311">
        <f t="shared" si="5"/>
        <v>156.8105792542373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</v>
      </c>
      <c r="I21" s="236">
        <f t="shared" si="0"/>
        <v>145.28</v>
      </c>
      <c r="J21" s="272">
        <f t="shared" si="1"/>
        <v>11.622400000000001</v>
      </c>
      <c r="K21" s="128">
        <f t="shared" si="1"/>
        <v>5.0848000000000004</v>
      </c>
      <c r="L21" s="119">
        <f t="shared" si="1"/>
        <v>0</v>
      </c>
      <c r="M21" s="230">
        <f t="shared" si="2"/>
        <v>128.5728</v>
      </c>
      <c r="N21" s="277">
        <f t="shared" si="3"/>
        <v>27.457627118644069</v>
      </c>
      <c r="O21" s="239">
        <f t="shared" si="4"/>
        <v>0.78015213559322039</v>
      </c>
      <c r="P21" s="311">
        <f t="shared" si="5"/>
        <v>156.8105792542373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4</v>
      </c>
      <c r="I25" s="114">
        <f t="shared" si="7"/>
        <v>290.56</v>
      </c>
      <c r="J25" s="274">
        <f>SUM(J16:J24)</f>
        <v>23.244800000000001</v>
      </c>
      <c r="K25" s="275">
        <f t="shared" si="7"/>
        <v>10.169600000000001</v>
      </c>
      <c r="L25" s="276">
        <f t="shared" si="7"/>
        <v>0</v>
      </c>
      <c r="M25" s="232">
        <f t="shared" si="7"/>
        <v>257.1456</v>
      </c>
      <c r="N25" s="233">
        <f>SUM(N16:N24)</f>
        <v>54.915254237288138</v>
      </c>
      <c r="O25" s="101">
        <f>SUM(O16:O24)</f>
        <v>1.5603042711864408</v>
      </c>
      <c r="P25" s="113">
        <f>SUM(P16:P24)</f>
        <v>313.62115850847459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290.56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23.244800000000001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10.169600000000001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257.1456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54.915254237288138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312.06085423728814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1.5603042711864408</v>
      </c>
    </row>
    <row r="35" spans="2:16" ht="15.75" customHeight="1" thickBot="1" x14ac:dyDescent="0.4">
      <c r="N35" s="344" t="s">
        <v>88</v>
      </c>
      <c r="O35" s="345"/>
      <c r="P35" s="297">
        <f>+P33+P34</f>
        <v>313.62115850847459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5" workbookViewId="0">
      <selection activeCell="K2" sqref="K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521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Salman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528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</v>
      </c>
      <c r="I19" s="236">
        <f t="shared" si="0"/>
        <v>72.64</v>
      </c>
      <c r="J19" s="272">
        <f t="shared" si="1"/>
        <v>5.8112000000000004</v>
      </c>
      <c r="K19" s="128">
        <f t="shared" si="1"/>
        <v>2.5424000000000002</v>
      </c>
      <c r="L19" s="119">
        <f t="shared" si="1"/>
        <v>0</v>
      </c>
      <c r="M19" s="230">
        <f t="shared" si="2"/>
        <v>64.2864</v>
      </c>
      <c r="N19" s="277">
        <f t="shared" si="3"/>
        <v>13.728813559322035</v>
      </c>
      <c r="O19" s="239">
        <f t="shared" si="4"/>
        <v>0.39007606779661019</v>
      </c>
      <c r="P19" s="311">
        <f t="shared" si="5"/>
        <v>78.405289627118648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</v>
      </c>
      <c r="I20" s="236">
        <f t="shared" si="0"/>
        <v>145.28</v>
      </c>
      <c r="J20" s="272">
        <f t="shared" si="1"/>
        <v>11.622400000000001</v>
      </c>
      <c r="K20" s="128">
        <f t="shared" si="1"/>
        <v>5.0848000000000004</v>
      </c>
      <c r="L20" s="119">
        <f t="shared" si="1"/>
        <v>0</v>
      </c>
      <c r="M20" s="230">
        <f t="shared" si="2"/>
        <v>128.5728</v>
      </c>
      <c r="N20" s="277">
        <f t="shared" si="3"/>
        <v>27.457627118644069</v>
      </c>
      <c r="O20" s="239">
        <f t="shared" si="4"/>
        <v>0.78015213559322039</v>
      </c>
      <c r="P20" s="311">
        <f t="shared" si="5"/>
        <v>156.8105792542373</v>
      </c>
      <c r="Q20" s="156"/>
      <c r="R20">
        <f>P20/21</f>
        <v>7.4671704406779664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</v>
      </c>
      <c r="I21" s="236">
        <f t="shared" si="0"/>
        <v>72.64</v>
      </c>
      <c r="J21" s="272">
        <f t="shared" si="1"/>
        <v>5.8112000000000004</v>
      </c>
      <c r="K21" s="128">
        <f t="shared" si="1"/>
        <v>2.5424000000000002</v>
      </c>
      <c r="L21" s="119">
        <f t="shared" si="1"/>
        <v>0</v>
      </c>
      <c r="M21" s="230">
        <f t="shared" si="2"/>
        <v>64.2864</v>
      </c>
      <c r="N21" s="277">
        <f t="shared" si="3"/>
        <v>13.728813559322035</v>
      </c>
      <c r="O21" s="239">
        <f t="shared" si="4"/>
        <v>0.39007606779661019</v>
      </c>
      <c r="P21" s="311">
        <f t="shared" si="5"/>
        <v>78.405289627118648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4</v>
      </c>
      <c r="I25" s="114">
        <f t="shared" si="7"/>
        <v>290.56</v>
      </c>
      <c r="J25" s="274">
        <f>SUM(J16:J24)</f>
        <v>23.244800000000001</v>
      </c>
      <c r="K25" s="275">
        <f t="shared" si="7"/>
        <v>10.169600000000001</v>
      </c>
      <c r="L25" s="276">
        <f t="shared" si="7"/>
        <v>0</v>
      </c>
      <c r="M25" s="232">
        <f t="shared" si="7"/>
        <v>257.1456</v>
      </c>
      <c r="N25" s="233">
        <f>SUM(N16:N24)</f>
        <v>54.915254237288138</v>
      </c>
      <c r="O25" s="101">
        <f>SUM(O16:O24)</f>
        <v>1.5603042711864408</v>
      </c>
      <c r="P25" s="113">
        <f>SUM(P16:P24)</f>
        <v>313.62115850847459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290.56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23.244800000000001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10.169600000000001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257.1456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54.915254237288138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312.06085423728814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1.5603042711864408</v>
      </c>
    </row>
    <row r="35" spans="2:16" ht="15.75" customHeight="1" thickBot="1" x14ac:dyDescent="0.4">
      <c r="N35" s="344" t="s">
        <v>88</v>
      </c>
      <c r="O35" s="345"/>
      <c r="P35" s="297">
        <f>+P33+P34</f>
        <v>313.62115850847459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5" workbookViewId="0">
      <selection activeCell="K2" sqref="K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522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Salman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528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</v>
      </c>
      <c r="I19" s="236">
        <f t="shared" si="0"/>
        <v>72.64</v>
      </c>
      <c r="J19" s="272">
        <f t="shared" si="1"/>
        <v>5.8112000000000004</v>
      </c>
      <c r="K19" s="128">
        <f t="shared" si="1"/>
        <v>2.5424000000000002</v>
      </c>
      <c r="L19" s="119">
        <f t="shared" si="1"/>
        <v>0</v>
      </c>
      <c r="M19" s="230">
        <f t="shared" si="2"/>
        <v>64.2864</v>
      </c>
      <c r="N19" s="277">
        <f t="shared" si="3"/>
        <v>13.728813559322035</v>
      </c>
      <c r="O19" s="239">
        <f t="shared" si="4"/>
        <v>0.39007606779661019</v>
      </c>
      <c r="P19" s="311">
        <f t="shared" si="5"/>
        <v>78.405289627118648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</v>
      </c>
      <c r="I20" s="236">
        <f t="shared" si="0"/>
        <v>145.28</v>
      </c>
      <c r="J20" s="272">
        <f t="shared" si="1"/>
        <v>11.622400000000001</v>
      </c>
      <c r="K20" s="128">
        <f t="shared" si="1"/>
        <v>5.0848000000000004</v>
      </c>
      <c r="L20" s="119">
        <f t="shared" si="1"/>
        <v>0</v>
      </c>
      <c r="M20" s="230">
        <f t="shared" si="2"/>
        <v>128.5728</v>
      </c>
      <c r="N20" s="277">
        <f t="shared" si="3"/>
        <v>27.457627118644069</v>
      </c>
      <c r="O20" s="239">
        <f t="shared" si="4"/>
        <v>0.78015213559322039</v>
      </c>
      <c r="P20" s="311">
        <f t="shared" si="5"/>
        <v>156.8105792542373</v>
      </c>
      <c r="Q20" s="156"/>
      <c r="R20">
        <f>P20/21</f>
        <v>7.4671704406779664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</v>
      </c>
      <c r="I21" s="236">
        <f t="shared" si="0"/>
        <v>72.64</v>
      </c>
      <c r="J21" s="272">
        <f t="shared" si="1"/>
        <v>5.8112000000000004</v>
      </c>
      <c r="K21" s="128">
        <f t="shared" si="1"/>
        <v>2.5424000000000002</v>
      </c>
      <c r="L21" s="119">
        <f t="shared" si="1"/>
        <v>0</v>
      </c>
      <c r="M21" s="230">
        <f t="shared" si="2"/>
        <v>64.2864</v>
      </c>
      <c r="N21" s="277">
        <f t="shared" si="3"/>
        <v>13.728813559322035</v>
      </c>
      <c r="O21" s="239">
        <f t="shared" si="4"/>
        <v>0.39007606779661019</v>
      </c>
      <c r="P21" s="311">
        <f t="shared" si="5"/>
        <v>78.405289627118648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4</v>
      </c>
      <c r="I25" s="114">
        <f t="shared" si="7"/>
        <v>290.56</v>
      </c>
      <c r="J25" s="274">
        <f>SUM(J16:J24)</f>
        <v>23.244800000000001</v>
      </c>
      <c r="K25" s="275">
        <f t="shared" si="7"/>
        <v>10.169600000000001</v>
      </c>
      <c r="L25" s="276">
        <f t="shared" si="7"/>
        <v>0</v>
      </c>
      <c r="M25" s="232">
        <f t="shared" si="7"/>
        <v>257.1456</v>
      </c>
      <c r="N25" s="233">
        <f>SUM(N16:N24)</f>
        <v>54.915254237288138</v>
      </c>
      <c r="O25" s="101">
        <f>SUM(O16:O24)</f>
        <v>1.5603042711864408</v>
      </c>
      <c r="P25" s="113">
        <f>SUM(P16:P24)</f>
        <v>313.62115850847459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290.56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23.244800000000001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10.169600000000001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257.1456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54.915254237288138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312.06085423728814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1.5603042711864408</v>
      </c>
    </row>
    <row r="35" spans="2:16" ht="15.75" customHeight="1" thickBot="1" x14ac:dyDescent="0.4">
      <c r="N35" s="344" t="s">
        <v>88</v>
      </c>
      <c r="O35" s="345"/>
      <c r="P35" s="297">
        <f>+P33+P34</f>
        <v>313.62115850847459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5" workbookViewId="0">
      <selection activeCell="K2" sqref="K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523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Salman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528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</v>
      </c>
      <c r="I19" s="236">
        <f t="shared" si="0"/>
        <v>72.64</v>
      </c>
      <c r="J19" s="272">
        <f t="shared" si="1"/>
        <v>5.8112000000000004</v>
      </c>
      <c r="K19" s="128">
        <f t="shared" si="1"/>
        <v>2.5424000000000002</v>
      </c>
      <c r="L19" s="119">
        <f t="shared" si="1"/>
        <v>0</v>
      </c>
      <c r="M19" s="230">
        <f t="shared" si="2"/>
        <v>64.2864</v>
      </c>
      <c r="N19" s="277">
        <f t="shared" si="3"/>
        <v>13.728813559322035</v>
      </c>
      <c r="O19" s="239">
        <f t="shared" si="4"/>
        <v>0.39007606779661019</v>
      </c>
      <c r="P19" s="311">
        <f t="shared" si="5"/>
        <v>78.405289627118648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</v>
      </c>
      <c r="I20" s="236">
        <f t="shared" si="0"/>
        <v>72.64</v>
      </c>
      <c r="J20" s="272">
        <f t="shared" si="1"/>
        <v>5.8112000000000004</v>
      </c>
      <c r="K20" s="128">
        <f t="shared" si="1"/>
        <v>2.5424000000000002</v>
      </c>
      <c r="L20" s="119">
        <f t="shared" si="1"/>
        <v>0</v>
      </c>
      <c r="M20" s="230">
        <f t="shared" si="2"/>
        <v>64.2864</v>
      </c>
      <c r="N20" s="277">
        <f t="shared" si="3"/>
        <v>13.728813559322035</v>
      </c>
      <c r="O20" s="239">
        <f t="shared" si="4"/>
        <v>0.39007606779661019</v>
      </c>
      <c r="P20" s="311">
        <f t="shared" si="5"/>
        <v>78.405289627118648</v>
      </c>
      <c r="Q20" s="156"/>
      <c r="R20">
        <f>P20/21</f>
        <v>3.7335852203389832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</v>
      </c>
      <c r="I21" s="236">
        <f t="shared" si="0"/>
        <v>145.28</v>
      </c>
      <c r="J21" s="272">
        <f t="shared" si="1"/>
        <v>11.622400000000001</v>
      </c>
      <c r="K21" s="128">
        <f t="shared" si="1"/>
        <v>5.0848000000000004</v>
      </c>
      <c r="L21" s="119">
        <f t="shared" si="1"/>
        <v>0</v>
      </c>
      <c r="M21" s="230">
        <f t="shared" si="2"/>
        <v>128.5728</v>
      </c>
      <c r="N21" s="277">
        <f t="shared" si="3"/>
        <v>27.457627118644069</v>
      </c>
      <c r="O21" s="239">
        <f t="shared" si="4"/>
        <v>0.78015213559322039</v>
      </c>
      <c r="P21" s="311">
        <f t="shared" si="5"/>
        <v>156.8105792542373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4</v>
      </c>
      <c r="I25" s="114">
        <f t="shared" si="7"/>
        <v>290.56</v>
      </c>
      <c r="J25" s="274">
        <f>SUM(J16:J24)</f>
        <v>23.244800000000001</v>
      </c>
      <c r="K25" s="275">
        <f t="shared" si="7"/>
        <v>10.169600000000001</v>
      </c>
      <c r="L25" s="276">
        <f t="shared" si="7"/>
        <v>0</v>
      </c>
      <c r="M25" s="232">
        <f t="shared" si="7"/>
        <v>257.1456</v>
      </c>
      <c r="N25" s="233">
        <f>SUM(N16:N24)</f>
        <v>54.915254237288138</v>
      </c>
      <c r="O25" s="101">
        <f>SUM(O16:O24)</f>
        <v>1.5603042711864408</v>
      </c>
      <c r="P25" s="113">
        <f>SUM(P16:P24)</f>
        <v>313.62115850847459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290.56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23.244800000000001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10.169600000000001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257.1456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54.915254237288138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312.06085423728814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1.5603042711864408</v>
      </c>
    </row>
    <row r="35" spans="2:16" ht="15.75" customHeight="1" thickBot="1" x14ac:dyDescent="0.4">
      <c r="N35" s="344" t="s">
        <v>88</v>
      </c>
      <c r="O35" s="345"/>
      <c r="P35" s="297">
        <f>+P33+P34</f>
        <v>313.62115850847459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4" workbookViewId="0">
      <selection activeCell="K2" sqref="K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524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Salman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528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</v>
      </c>
      <c r="I19" s="236">
        <f t="shared" si="0"/>
        <v>72.64</v>
      </c>
      <c r="J19" s="272">
        <f t="shared" si="1"/>
        <v>5.8112000000000004</v>
      </c>
      <c r="K19" s="128">
        <f t="shared" si="1"/>
        <v>2.5424000000000002</v>
      </c>
      <c r="L19" s="119">
        <f t="shared" si="1"/>
        <v>0</v>
      </c>
      <c r="M19" s="230">
        <f t="shared" si="2"/>
        <v>64.2864</v>
      </c>
      <c r="N19" s="277">
        <f t="shared" si="3"/>
        <v>13.728813559322035</v>
      </c>
      <c r="O19" s="239">
        <f t="shared" si="4"/>
        <v>0.39007606779661019</v>
      </c>
      <c r="P19" s="311">
        <f t="shared" si="5"/>
        <v>78.405289627118648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</v>
      </c>
      <c r="I20" s="236">
        <f t="shared" si="0"/>
        <v>72.64</v>
      </c>
      <c r="J20" s="272">
        <f t="shared" si="1"/>
        <v>5.8112000000000004</v>
      </c>
      <c r="K20" s="128">
        <f t="shared" si="1"/>
        <v>2.5424000000000002</v>
      </c>
      <c r="L20" s="119">
        <f t="shared" si="1"/>
        <v>0</v>
      </c>
      <c r="M20" s="230">
        <f t="shared" si="2"/>
        <v>64.2864</v>
      </c>
      <c r="N20" s="277">
        <f t="shared" si="3"/>
        <v>13.728813559322035</v>
      </c>
      <c r="O20" s="239">
        <f t="shared" si="4"/>
        <v>0.39007606779661019</v>
      </c>
      <c r="P20" s="311">
        <f t="shared" si="5"/>
        <v>78.405289627118648</v>
      </c>
      <c r="Q20" s="156"/>
      <c r="R20">
        <f>P20/21</f>
        <v>3.7335852203389832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</v>
      </c>
      <c r="I21" s="236">
        <f t="shared" si="0"/>
        <v>72.64</v>
      </c>
      <c r="J21" s="272">
        <f t="shared" si="1"/>
        <v>5.8112000000000004</v>
      </c>
      <c r="K21" s="128">
        <f t="shared" si="1"/>
        <v>2.5424000000000002</v>
      </c>
      <c r="L21" s="119">
        <f t="shared" si="1"/>
        <v>0</v>
      </c>
      <c r="M21" s="230">
        <f t="shared" si="2"/>
        <v>64.2864</v>
      </c>
      <c r="N21" s="277">
        <f t="shared" si="3"/>
        <v>13.728813559322035</v>
      </c>
      <c r="O21" s="239">
        <f t="shared" si="4"/>
        <v>0.39007606779661019</v>
      </c>
      <c r="P21" s="311">
        <f t="shared" si="5"/>
        <v>78.405289627118648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3</v>
      </c>
      <c r="I25" s="114">
        <f t="shared" si="7"/>
        <v>217.92000000000002</v>
      </c>
      <c r="J25" s="274">
        <f>SUM(J16:J24)</f>
        <v>17.433600000000002</v>
      </c>
      <c r="K25" s="275">
        <f t="shared" si="7"/>
        <v>7.6272000000000002</v>
      </c>
      <c r="L25" s="276">
        <f t="shared" si="7"/>
        <v>0</v>
      </c>
      <c r="M25" s="232">
        <f t="shared" si="7"/>
        <v>192.85919999999999</v>
      </c>
      <c r="N25" s="233">
        <f>SUM(N16:N24)</f>
        <v>41.186440677966104</v>
      </c>
      <c r="O25" s="101">
        <f>SUM(O16:O24)</f>
        <v>1.1702282033898306</v>
      </c>
      <c r="P25" s="113">
        <f>SUM(P16:P24)</f>
        <v>235.21586888135596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217.92000000000002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17.433600000000002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7.6272000000000002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192.85920000000002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41.186440677966104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234.04564067796611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1.1702282033898306</v>
      </c>
    </row>
    <row r="35" spans="2:16" ht="15.75" customHeight="1" thickBot="1" x14ac:dyDescent="0.4">
      <c r="N35" s="344" t="s">
        <v>88</v>
      </c>
      <c r="O35" s="345"/>
      <c r="P35" s="297">
        <f>+P33+P34</f>
        <v>235.21586888135593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6" workbookViewId="0">
      <selection activeCell="K2" sqref="K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525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Salman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528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</v>
      </c>
      <c r="I19" s="236">
        <f t="shared" si="0"/>
        <v>72.64</v>
      </c>
      <c r="J19" s="272">
        <f t="shared" si="1"/>
        <v>5.8112000000000004</v>
      </c>
      <c r="K19" s="128">
        <f t="shared" si="1"/>
        <v>2.5424000000000002</v>
      </c>
      <c r="L19" s="119">
        <f t="shared" si="1"/>
        <v>0</v>
      </c>
      <c r="M19" s="230">
        <f t="shared" si="2"/>
        <v>64.2864</v>
      </c>
      <c r="N19" s="277">
        <f t="shared" si="3"/>
        <v>13.728813559322035</v>
      </c>
      <c r="O19" s="239">
        <f t="shared" si="4"/>
        <v>0.39007606779661019</v>
      </c>
      <c r="P19" s="311">
        <f t="shared" si="5"/>
        <v>78.405289627118648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</v>
      </c>
      <c r="I20" s="236">
        <f t="shared" si="0"/>
        <v>72.64</v>
      </c>
      <c r="J20" s="272">
        <f t="shared" si="1"/>
        <v>5.8112000000000004</v>
      </c>
      <c r="K20" s="128">
        <f t="shared" si="1"/>
        <v>2.5424000000000002</v>
      </c>
      <c r="L20" s="119">
        <f t="shared" si="1"/>
        <v>0</v>
      </c>
      <c r="M20" s="230">
        <f t="shared" si="2"/>
        <v>64.2864</v>
      </c>
      <c r="N20" s="277">
        <f t="shared" si="3"/>
        <v>13.728813559322035</v>
      </c>
      <c r="O20" s="239">
        <f t="shared" si="4"/>
        <v>0.39007606779661019</v>
      </c>
      <c r="P20" s="311">
        <f t="shared" si="5"/>
        <v>78.405289627118648</v>
      </c>
      <c r="Q20" s="156"/>
      <c r="R20">
        <f>P20/21</f>
        <v>3.7335852203389832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</v>
      </c>
      <c r="I21" s="236">
        <f t="shared" si="0"/>
        <v>145.28</v>
      </c>
      <c r="J21" s="272">
        <f t="shared" si="1"/>
        <v>11.622400000000001</v>
      </c>
      <c r="K21" s="128">
        <f t="shared" si="1"/>
        <v>5.0848000000000004</v>
      </c>
      <c r="L21" s="119">
        <f t="shared" si="1"/>
        <v>0</v>
      </c>
      <c r="M21" s="230">
        <f t="shared" si="2"/>
        <v>128.5728</v>
      </c>
      <c r="N21" s="277">
        <f t="shared" si="3"/>
        <v>27.457627118644069</v>
      </c>
      <c r="O21" s="239">
        <f t="shared" si="4"/>
        <v>0.78015213559322039</v>
      </c>
      <c r="P21" s="311">
        <f t="shared" si="5"/>
        <v>156.8105792542373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4</v>
      </c>
      <c r="I25" s="114">
        <f t="shared" si="7"/>
        <v>290.56</v>
      </c>
      <c r="J25" s="274">
        <f>SUM(J16:J24)</f>
        <v>23.244800000000001</v>
      </c>
      <c r="K25" s="275">
        <f t="shared" si="7"/>
        <v>10.169600000000001</v>
      </c>
      <c r="L25" s="276">
        <f t="shared" si="7"/>
        <v>0</v>
      </c>
      <c r="M25" s="232">
        <f t="shared" si="7"/>
        <v>257.1456</v>
      </c>
      <c r="N25" s="233">
        <f>SUM(N16:N24)</f>
        <v>54.915254237288138</v>
      </c>
      <c r="O25" s="101">
        <f>SUM(O16:O24)</f>
        <v>1.5603042711864408</v>
      </c>
      <c r="P25" s="113">
        <f>SUM(P16:P24)</f>
        <v>313.62115850847459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290.56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23.244800000000001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10.169600000000001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257.1456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54.915254237288138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312.06085423728814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1.5603042711864408</v>
      </c>
    </row>
    <row r="35" spans="2:16" ht="15.75" customHeight="1" thickBot="1" x14ac:dyDescent="0.4">
      <c r="N35" s="344" t="s">
        <v>88</v>
      </c>
      <c r="O35" s="345"/>
      <c r="P35" s="297">
        <f>+P33+P34</f>
        <v>313.62115850847459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5" workbookViewId="0">
      <selection activeCell="K2" sqref="K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526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Salman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528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</v>
      </c>
      <c r="I19" s="236">
        <f t="shared" si="0"/>
        <v>72.64</v>
      </c>
      <c r="J19" s="272">
        <f t="shared" si="1"/>
        <v>5.8112000000000004</v>
      </c>
      <c r="K19" s="128">
        <f t="shared" si="1"/>
        <v>2.5424000000000002</v>
      </c>
      <c r="L19" s="119">
        <f t="shared" si="1"/>
        <v>0</v>
      </c>
      <c r="M19" s="230">
        <f t="shared" si="2"/>
        <v>64.2864</v>
      </c>
      <c r="N19" s="277">
        <f t="shared" si="3"/>
        <v>13.728813559322035</v>
      </c>
      <c r="O19" s="239">
        <f t="shared" si="4"/>
        <v>0.39007606779661019</v>
      </c>
      <c r="P19" s="311">
        <f t="shared" si="5"/>
        <v>78.405289627118648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</v>
      </c>
      <c r="I20" s="236">
        <f t="shared" si="0"/>
        <v>72.64</v>
      </c>
      <c r="J20" s="272">
        <f t="shared" si="1"/>
        <v>5.8112000000000004</v>
      </c>
      <c r="K20" s="128">
        <f t="shared" si="1"/>
        <v>2.5424000000000002</v>
      </c>
      <c r="L20" s="119">
        <f t="shared" si="1"/>
        <v>0</v>
      </c>
      <c r="M20" s="230">
        <f t="shared" si="2"/>
        <v>64.2864</v>
      </c>
      <c r="N20" s="277">
        <f t="shared" si="3"/>
        <v>13.728813559322035</v>
      </c>
      <c r="O20" s="239">
        <f t="shared" si="4"/>
        <v>0.39007606779661019</v>
      </c>
      <c r="P20" s="311">
        <f t="shared" si="5"/>
        <v>78.405289627118648</v>
      </c>
      <c r="Q20" s="156"/>
      <c r="R20">
        <f>P20/21</f>
        <v>3.7335852203389832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</v>
      </c>
      <c r="I21" s="236">
        <f t="shared" si="0"/>
        <v>72.64</v>
      </c>
      <c r="J21" s="272">
        <f t="shared" si="1"/>
        <v>5.8112000000000004</v>
      </c>
      <c r="K21" s="128">
        <f t="shared" si="1"/>
        <v>2.5424000000000002</v>
      </c>
      <c r="L21" s="119">
        <f t="shared" si="1"/>
        <v>0</v>
      </c>
      <c r="M21" s="230">
        <f t="shared" si="2"/>
        <v>64.2864</v>
      </c>
      <c r="N21" s="277">
        <f t="shared" si="3"/>
        <v>13.728813559322035</v>
      </c>
      <c r="O21" s="239">
        <f t="shared" si="4"/>
        <v>0.39007606779661019</v>
      </c>
      <c r="P21" s="311">
        <f t="shared" si="5"/>
        <v>78.405289627118648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3</v>
      </c>
      <c r="I25" s="114">
        <f t="shared" si="7"/>
        <v>217.92000000000002</v>
      </c>
      <c r="J25" s="274">
        <f>SUM(J16:J24)</f>
        <v>17.433600000000002</v>
      </c>
      <c r="K25" s="275">
        <f t="shared" si="7"/>
        <v>7.6272000000000002</v>
      </c>
      <c r="L25" s="276">
        <f t="shared" si="7"/>
        <v>0</v>
      </c>
      <c r="M25" s="232">
        <f t="shared" si="7"/>
        <v>192.85919999999999</v>
      </c>
      <c r="N25" s="233">
        <f>SUM(N16:N24)</f>
        <v>41.186440677966104</v>
      </c>
      <c r="O25" s="101">
        <f>SUM(O16:O24)</f>
        <v>1.1702282033898306</v>
      </c>
      <c r="P25" s="113">
        <f>SUM(P16:P24)</f>
        <v>235.21586888135596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217.92000000000002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17.433600000000002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7.6272000000000002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192.85920000000002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41.186440677966104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234.04564067796611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1.1702282033898306</v>
      </c>
    </row>
    <row r="35" spans="2:16" ht="15.75" customHeight="1" thickBot="1" x14ac:dyDescent="0.4">
      <c r="N35" s="344" t="s">
        <v>88</v>
      </c>
      <c r="O35" s="345"/>
      <c r="P35" s="297">
        <f>+P33+P34</f>
        <v>235.21586888135593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4" workbookViewId="0">
      <selection activeCell="K2" sqref="K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527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Salman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528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</v>
      </c>
      <c r="I19" s="236">
        <f t="shared" si="0"/>
        <v>145.28</v>
      </c>
      <c r="J19" s="272">
        <f t="shared" si="1"/>
        <v>11.622400000000001</v>
      </c>
      <c r="K19" s="128">
        <f t="shared" si="1"/>
        <v>5.0848000000000004</v>
      </c>
      <c r="L19" s="119">
        <f t="shared" si="1"/>
        <v>0</v>
      </c>
      <c r="M19" s="230">
        <f t="shared" si="2"/>
        <v>128.5728</v>
      </c>
      <c r="N19" s="277">
        <f t="shared" si="3"/>
        <v>27.457627118644069</v>
      </c>
      <c r="O19" s="239">
        <f t="shared" si="4"/>
        <v>0.78015213559322039</v>
      </c>
      <c r="P19" s="311">
        <f t="shared" si="5"/>
        <v>156.8105792542373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</v>
      </c>
      <c r="I20" s="236">
        <f t="shared" si="0"/>
        <v>145.28</v>
      </c>
      <c r="J20" s="272">
        <f t="shared" si="1"/>
        <v>11.622400000000001</v>
      </c>
      <c r="K20" s="128">
        <f t="shared" si="1"/>
        <v>5.0848000000000004</v>
      </c>
      <c r="L20" s="119">
        <f t="shared" si="1"/>
        <v>0</v>
      </c>
      <c r="M20" s="230">
        <f t="shared" si="2"/>
        <v>128.5728</v>
      </c>
      <c r="N20" s="277">
        <f t="shared" si="3"/>
        <v>27.457627118644069</v>
      </c>
      <c r="O20" s="239">
        <f t="shared" si="4"/>
        <v>0.78015213559322039</v>
      </c>
      <c r="P20" s="311">
        <f t="shared" si="5"/>
        <v>156.8105792542373</v>
      </c>
      <c r="Q20" s="156"/>
      <c r="R20">
        <f>P20/21</f>
        <v>7.4671704406779664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4</v>
      </c>
      <c r="I25" s="114">
        <f t="shared" si="7"/>
        <v>290.56</v>
      </c>
      <c r="J25" s="274">
        <f>SUM(J16:J24)</f>
        <v>23.244800000000001</v>
      </c>
      <c r="K25" s="275">
        <f t="shared" si="7"/>
        <v>10.169600000000001</v>
      </c>
      <c r="L25" s="276">
        <f t="shared" si="7"/>
        <v>0</v>
      </c>
      <c r="M25" s="232">
        <f t="shared" si="7"/>
        <v>257.1456</v>
      </c>
      <c r="N25" s="233">
        <f>SUM(N16:N24)</f>
        <v>54.915254237288138</v>
      </c>
      <c r="O25" s="101">
        <f>SUM(O16:O24)</f>
        <v>1.5603042711864408</v>
      </c>
      <c r="P25" s="113">
        <f>SUM(P16:P24)</f>
        <v>313.62115850847459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290.56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23.244800000000001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10.169600000000001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257.1456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54.915254237288138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312.06085423728814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1.5603042711864408</v>
      </c>
    </row>
    <row r="35" spans="2:16" ht="15.75" customHeight="1" thickBot="1" x14ac:dyDescent="0.4">
      <c r="N35" s="344" t="s">
        <v>88</v>
      </c>
      <c r="O35" s="345"/>
      <c r="P35" s="297">
        <f>+P33+P34</f>
        <v>313.62115850847459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Salman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528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Salman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528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Salman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528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Salman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528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Salman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528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8.7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Salman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528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Salman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528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Salman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528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Salman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528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Salman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528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Salman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528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Salman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528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Salman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528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Salman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528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Salman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528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46273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46272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>Salman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528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8" t="s">
        <v>91</v>
      </c>
      <c r="B2" s="368"/>
      <c r="C2" s="368"/>
    </row>
    <row r="3" spans="1:18 16382:16383" ht="15" customHeight="1" x14ac:dyDescent="0.35">
      <c r="A3" s="369" t="s">
        <v>92</v>
      </c>
      <c r="B3" s="369"/>
      <c r="C3" s="369"/>
      <c r="F3" s="85"/>
      <c r="G3" s="1"/>
      <c r="J3" s="370" t="s">
        <v>43</v>
      </c>
      <c r="K3" s="370"/>
      <c r="L3" s="370"/>
      <c r="M3" s="369"/>
      <c r="N3" s="369"/>
      <c r="O3" s="369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9" t="s">
        <v>65</v>
      </c>
      <c r="B4" s="369"/>
      <c r="C4" s="369"/>
      <c r="F4" s="85"/>
      <c r="G4" s="1"/>
      <c r="J4" s="370" t="s">
        <v>44</v>
      </c>
      <c r="K4" s="370"/>
      <c r="L4" s="370"/>
      <c r="M4" s="400">
        <f ca="1">TODAY()+1</f>
        <v>46274</v>
      </c>
      <c r="N4" s="400"/>
      <c r="O4" s="400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7" t="s">
        <v>93</v>
      </c>
      <c r="B5" s="397"/>
      <c r="C5" s="397"/>
      <c r="F5" s="85"/>
      <c r="G5" s="1"/>
      <c r="J5" s="370" t="s">
        <v>45</v>
      </c>
      <c r="K5" s="370"/>
      <c r="L5" s="370"/>
      <c r="M5" s="400">
        <f ca="1">M4-1</f>
        <v>46273</v>
      </c>
      <c r="N5" s="369"/>
      <c r="O5" s="369"/>
      <c r="Q5" s="85"/>
      <c r="R5" s="1"/>
    </row>
    <row r="6" spans="1:18 16382:16383" ht="15" customHeight="1" x14ac:dyDescent="0.35">
      <c r="A6" s="370" t="s">
        <v>94</v>
      </c>
      <c r="B6" s="370"/>
      <c r="C6" s="370"/>
      <c r="F6" s="85"/>
      <c r="G6" s="86"/>
      <c r="J6" s="370" t="s">
        <v>69</v>
      </c>
      <c r="K6" s="370"/>
      <c r="L6" s="370"/>
      <c r="M6" s="399" t="s">
        <v>62</v>
      </c>
      <c r="N6" s="399"/>
      <c r="O6" s="399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0" t="s">
        <v>73</v>
      </c>
      <c r="B7" s="370"/>
      <c r="C7" s="370"/>
      <c r="F7" s="85"/>
      <c r="G7" s="86"/>
      <c r="J7" s="370" t="s">
        <v>66</v>
      </c>
      <c r="K7" s="370"/>
      <c r="L7" s="370"/>
      <c r="M7" s="399" t="s">
        <v>70</v>
      </c>
      <c r="N7" s="399"/>
      <c r="O7" s="399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6" t="s">
        <v>95</v>
      </c>
      <c r="B8" s="396"/>
      <c r="C8" s="396"/>
      <c r="F8" s="85"/>
      <c r="G8" s="86"/>
      <c r="J8" s="370" t="s">
        <v>67</v>
      </c>
      <c r="K8" s="370"/>
      <c r="L8" s="370"/>
      <c r="M8" s="399" t="s">
        <v>71</v>
      </c>
      <c r="N8" s="399"/>
      <c r="O8" s="399"/>
      <c r="Q8" s="85"/>
      <c r="R8" s="86"/>
    </row>
    <row r="9" spans="1:18 16382:16383" x14ac:dyDescent="0.35">
      <c r="A9" s="396" t="s">
        <v>96</v>
      </c>
      <c r="B9" s="396"/>
      <c r="C9" s="396"/>
      <c r="F9" s="85"/>
      <c r="G9" s="86"/>
      <c r="J9" s="370" t="s">
        <v>68</v>
      </c>
      <c r="K9" s="370"/>
      <c r="L9" s="370"/>
      <c r="M9" s="399" t="s">
        <v>104</v>
      </c>
      <c r="N9" s="399"/>
      <c r="O9" s="399"/>
      <c r="Q9" s="85"/>
      <c r="R9" s="86"/>
      <c r="XFC9" t="s">
        <v>49</v>
      </c>
    </row>
    <row r="10" spans="1:18 16382:16383" x14ac:dyDescent="0.35">
      <c r="A10" s="396" t="s">
        <v>97</v>
      </c>
      <c r="B10" s="396"/>
      <c r="C10" s="396"/>
      <c r="F10" s="85"/>
      <c r="G10" s="1"/>
      <c r="J10" s="370" t="s">
        <v>46</v>
      </c>
      <c r="K10" s="370"/>
      <c r="L10" s="370"/>
      <c r="M10" s="369" t="s">
        <v>47</v>
      </c>
      <c r="N10" s="369"/>
      <c r="O10" s="369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0" t="s">
        <v>48</v>
      </c>
      <c r="K11" s="370"/>
      <c r="L11" s="370"/>
      <c r="M11" s="369" t="s">
        <v>49</v>
      </c>
      <c r="N11" s="369"/>
      <c r="O11" s="369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0" t="s">
        <v>50</v>
      </c>
      <c r="K12" s="370"/>
      <c r="L12" s="370"/>
      <c r="M12" s="369"/>
      <c r="N12" s="369"/>
      <c r="O12" s="369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9" t="s">
        <v>51</v>
      </c>
      <c r="B14" s="361"/>
      <c r="C14" s="391" t="s">
        <v>90</v>
      </c>
      <c r="D14" s="88" t="s">
        <v>52</v>
      </c>
      <c r="E14" s="95" t="s">
        <v>74</v>
      </c>
      <c r="F14" s="115" t="s">
        <v>53</v>
      </c>
      <c r="G14" s="365" t="s">
        <v>54</v>
      </c>
      <c r="H14" s="367"/>
      <c r="I14" s="395" t="s">
        <v>77</v>
      </c>
      <c r="J14" s="366" t="s">
        <v>55</v>
      </c>
      <c r="K14" s="367"/>
      <c r="L14" s="39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0"/>
      <c r="B15" s="362"/>
      <c r="C15" s="392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4"/>
      <c r="J15" s="144" t="s">
        <v>39</v>
      </c>
      <c r="K15" s="145" t="s">
        <v>59</v>
      </c>
      <c r="L15" s="36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6"/>
      <c r="M28" s="383" t="s">
        <v>60</v>
      </c>
      <c r="N28" s="384"/>
      <c r="O28" s="139">
        <f>I25</f>
        <v>1452.8</v>
      </c>
    </row>
    <row r="29" spans="1:18 16383:16383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9"/>
      <c r="M29" s="385" t="s">
        <v>85</v>
      </c>
      <c r="N29" s="386"/>
      <c r="O29" s="140">
        <f>K25</f>
        <v>0</v>
      </c>
    </row>
    <row r="30" spans="1:18 16383:16383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9"/>
      <c r="M30" s="385" t="s">
        <v>86</v>
      </c>
      <c r="N30" s="386"/>
      <c r="O30" s="140">
        <f>J25</f>
        <v>50.848000000000006</v>
      </c>
    </row>
    <row r="31" spans="1:18 16383:16383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9"/>
      <c r="L31" s="131"/>
      <c r="M31" s="385" t="s">
        <v>87</v>
      </c>
      <c r="N31" s="386"/>
      <c r="O31" s="140">
        <f>O28-O29-O30</f>
        <v>1401.952</v>
      </c>
    </row>
    <row r="32" spans="1:18 16383:16383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9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9"/>
      <c r="L33" s="131"/>
      <c r="M33" s="387" t="s">
        <v>76</v>
      </c>
      <c r="N33" s="388"/>
      <c r="O33" s="140">
        <f>O31+O32</f>
        <v>1710.3814400000001</v>
      </c>
    </row>
    <row r="34" spans="2:15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2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4" t="s">
        <v>88</v>
      </c>
      <c r="N35" s="345"/>
      <c r="O35" s="141">
        <f>O28-O29+O31+O34</f>
        <v>2897.511536</v>
      </c>
    </row>
    <row r="36" spans="2:15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3" t="s">
        <v>439</v>
      </c>
      <c r="E1" s="336" t="s">
        <v>58</v>
      </c>
      <c r="F1" s="336"/>
      <c r="G1" s="337" t="s">
        <v>440</v>
      </c>
      <c r="H1" s="337"/>
      <c r="I1" s="410" t="s">
        <v>441</v>
      </c>
      <c r="J1" s="410"/>
      <c r="K1" s="410" t="s">
        <v>442</v>
      </c>
      <c r="L1" s="410"/>
      <c r="M1" s="405" t="s">
        <v>484</v>
      </c>
      <c r="N1" s="406"/>
      <c r="O1" s="407"/>
    </row>
    <row r="2" spans="3:24" ht="29" x14ac:dyDescent="0.35">
      <c r="C2" s="336"/>
      <c r="D2" s="40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8" t="s">
        <v>476</v>
      </c>
      <c r="D6" s="408"/>
      <c r="E6" s="408"/>
      <c r="F6" s="408"/>
      <c r="G6" s="408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4" t="s">
        <v>58</v>
      </c>
      <c r="F7" s="404"/>
      <c r="G7" s="402" t="s">
        <v>440</v>
      </c>
      <c r="H7" s="337"/>
      <c r="I7" s="338" t="s">
        <v>441</v>
      </c>
      <c r="J7" s="339"/>
      <c r="K7" s="338" t="s">
        <v>442</v>
      </c>
      <c r="L7" s="339"/>
      <c r="M7" s="405" t="s">
        <v>484</v>
      </c>
      <c r="N7" s="406"/>
      <c r="O7" s="407"/>
      <c r="P7" s="256" t="s">
        <v>475</v>
      </c>
      <c r="Q7" s="242" t="s">
        <v>473</v>
      </c>
      <c r="R7" s="403" t="s">
        <v>475</v>
      </c>
      <c r="S7" s="403" t="s">
        <v>485</v>
      </c>
      <c r="T7" s="401" t="s">
        <v>486</v>
      </c>
      <c r="U7" s="401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3"/>
      <c r="S8" s="403"/>
      <c r="T8" s="402"/>
      <c r="U8" s="402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9" t="s">
        <v>477</v>
      </c>
      <c r="D12" s="409"/>
      <c r="E12" s="409"/>
      <c r="F12" s="409"/>
      <c r="G12" s="409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5" t="s">
        <v>484</v>
      </c>
      <c r="N13" s="406"/>
      <c r="O13" s="407"/>
      <c r="P13" s="256" t="s">
        <v>475</v>
      </c>
      <c r="Q13" s="242" t="s">
        <v>473</v>
      </c>
      <c r="R13" s="403" t="s">
        <v>475</v>
      </c>
      <c r="S13" s="403" t="s">
        <v>485</v>
      </c>
      <c r="T13" s="401" t="s">
        <v>486</v>
      </c>
      <c r="U13" s="401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3"/>
      <c r="S14" s="403"/>
      <c r="T14" s="402"/>
      <c r="U14" s="402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8" t="s">
        <v>478</v>
      </c>
      <c r="D19" s="408"/>
      <c r="E19" s="408"/>
      <c r="F19" s="408"/>
      <c r="G19" s="408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5" t="s">
        <v>484</v>
      </c>
      <c r="N20" s="406"/>
      <c r="O20" s="407"/>
      <c r="P20" s="256" t="s">
        <v>475</v>
      </c>
      <c r="Q20" s="242" t="s">
        <v>473</v>
      </c>
      <c r="R20" s="403" t="s">
        <v>475</v>
      </c>
      <c r="S20" s="403" t="s">
        <v>485</v>
      </c>
      <c r="T20" s="401" t="s">
        <v>486</v>
      </c>
      <c r="U20" s="401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3"/>
      <c r="S21" s="403"/>
      <c r="T21" s="402"/>
      <c r="U21" s="402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8" t="s">
        <v>479</v>
      </c>
      <c r="D26" s="408"/>
      <c r="E26" s="408"/>
      <c r="F26" s="408"/>
      <c r="G26" s="408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5" t="s">
        <v>484</v>
      </c>
      <c r="N27" s="406"/>
      <c r="O27" s="407"/>
      <c r="P27" s="256" t="s">
        <v>475</v>
      </c>
      <c r="Q27" s="242" t="s">
        <v>473</v>
      </c>
      <c r="R27" s="403" t="s">
        <v>475</v>
      </c>
      <c r="S27" s="403" t="s">
        <v>485</v>
      </c>
      <c r="T27" s="401" t="s">
        <v>486</v>
      </c>
      <c r="U27" s="401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3"/>
      <c r="S28" s="403"/>
      <c r="T28" s="402"/>
      <c r="U28" s="402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3" t="s">
        <v>439</v>
      </c>
      <c r="D1" s="336" t="s">
        <v>58</v>
      </c>
      <c r="E1" s="336"/>
      <c r="F1" s="337" t="s">
        <v>440</v>
      </c>
      <c r="G1" s="337"/>
      <c r="H1" s="410" t="s">
        <v>441</v>
      </c>
      <c r="I1" s="410"/>
      <c r="J1" s="410" t="s">
        <v>442</v>
      </c>
      <c r="K1" s="410"/>
      <c r="L1" s="405" t="s">
        <v>484</v>
      </c>
      <c r="M1" s="406"/>
      <c r="N1" s="407"/>
    </row>
    <row r="2" spans="2:17" ht="29" x14ac:dyDescent="0.35">
      <c r="B2" s="336"/>
      <c r="C2" s="40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2"/>
      <c r="G60" s="160" t="s">
        <v>195</v>
      </c>
      <c r="H60" s="161" t="s">
        <v>100</v>
      </c>
    </row>
    <row r="61" spans="5:8" x14ac:dyDescent="0.35">
      <c r="E61" s="159" t="s">
        <v>192</v>
      </c>
      <c r="F61" s="412"/>
      <c r="G61" s="160" t="s">
        <v>196</v>
      </c>
      <c r="H61" s="161" t="s">
        <v>98</v>
      </c>
    </row>
    <row r="62" spans="5:8" x14ac:dyDescent="0.35">
      <c r="E62" s="159" t="s">
        <v>192</v>
      </c>
      <c r="F62" s="412"/>
      <c r="G62" s="160" t="s">
        <v>197</v>
      </c>
      <c r="H62" s="161" t="s">
        <v>101</v>
      </c>
    </row>
    <row r="63" spans="5:8" x14ac:dyDescent="0.35">
      <c r="E63" s="159" t="s">
        <v>192</v>
      </c>
      <c r="F63" s="412"/>
      <c r="G63" s="160" t="s">
        <v>198</v>
      </c>
      <c r="H63" s="161" t="s">
        <v>102</v>
      </c>
    </row>
    <row r="64" spans="5:8" x14ac:dyDescent="0.35">
      <c r="E64" s="159" t="s">
        <v>192</v>
      </c>
      <c r="F64" s="412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2"/>
      <c r="G121" s="160" t="s">
        <v>273</v>
      </c>
      <c r="H121" s="161" t="s">
        <v>98</v>
      </c>
    </row>
    <row r="122" spans="5:8" x14ac:dyDescent="0.35">
      <c r="E122" s="159" t="s">
        <v>269</v>
      </c>
      <c r="F122" s="41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2"/>
      <c r="G241" s="160" t="s">
        <v>432</v>
      </c>
      <c r="H241" s="161" t="s">
        <v>98</v>
      </c>
    </row>
    <row r="242" spans="5:8" x14ac:dyDescent="0.35">
      <c r="E242" s="159" t="s">
        <v>428</v>
      </c>
      <c r="F242" s="41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2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2026-09-08T10:19:10Z</dcterms:modified>
</cp:coreProperties>
</file>