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E775A1F-4ADD-43F0-A4C9-5C9C65B8E82C}" xr6:coauthVersionLast="47" xr6:coauthVersionMax="47" xr10:uidLastSave="{00000000-0000-0000-0000-000000000000}"/>
  <bookViews>
    <workbookView xWindow="-110" yWindow="-110" windowWidth="19420" windowHeight="10420" tabRatio="948" firstSheet="3" activeTab="1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52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44" l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<sst xmlns="http://schemas.openxmlformats.org/spreadsheetml/2006/main" count="3948" uniqueCount="537">
  <si>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</si>
  <si>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</si>
  <si>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</si>
  <si>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</si>
  <si>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</si>
  <si>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</si>
  <si>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</si>
  <si>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</si>
  <si>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</si>
  <si>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</si>
  <si>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</si>
  <si>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</si>
  <si>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</si>
  <si>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</si>
  <si>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</si>
  <si>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</si>
  <si>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</si>
  <si>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</si>
  <si>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</si>
  <si>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</si>
  <si>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</si>
  <si>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</si>
  <si>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</si>
  <si>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</si>
  <si>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</si>
  <si>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</si>
  <si>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</si>
  <si>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</si>
  <si>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</si>
  <si>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</si>
  <si>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</si>
  <si>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</si>
  <si>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</si>
  <si>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</si>
  <si>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</si>
  <si>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</si>
  <si>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</si>
  <si>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</si>
  <si>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</si>
  <si>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</si>
  <si>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</si>
  <si>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</si>
  <si>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</si>
  <si>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</si>
  <si>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</si>
  <si>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</si>
  <si>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</si>
  <si>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</si>
  <si>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</si>
  <si>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</si>
  <si>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</si>
  <si>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</si>
  <si>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</si>
  <si>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</si>
  <si>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</si>
  <si>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</si>
  <si>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</si>
  <si>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</si>
  <si>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</si>
  <si>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</si>
  <si>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</si>
  <si>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</si>
  <si>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</si>
  <si>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</si>
  <si>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</si>
  <si>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</si>
  <si>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</si>
  <si>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</si>
  <si>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</si>
  <si>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</si>
  <si>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</si>
  <si>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</si>
  <si>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</si>
  <si>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</si>
  <si>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</si>
  <si>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</si>
  <si>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</si>
  <si>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</si>
  <si>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</si>
  <si>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</si>
  <si>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</si>
  <si>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</si>
  <si>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</si>
  <si>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</si>
  <si>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</si>
  <si>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</si>
  <si>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</si>
  <si>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</si>
  <si>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</si>
  <si>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</si>
  <si>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</si>
  <si>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</si>
  <si>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</si>
  <si>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</si>
  <si>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</si>
  <si>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</si>
  <si>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</si>
  <si>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</si>
  <si>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</si>
  <si>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</si>
  <si>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</si>
  <si>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</si>
  <si>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</si>
  <si>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</si>
  <si>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</si>
  <si>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</si>
  <si>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</si>
  <si>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</si>
  <si>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</si>
  <si>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</si>
  <si>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</si>
  <si>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</si>
  <si>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</si>
  <si>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</si>
  <si>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</si>
  <si>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</si>
  <si>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</si>
  <si>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</si>
  <si>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</si>
  <si>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</si>
  <si>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</si>
  <si>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</si>
  <si>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</si>
  <si>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</si>
  <si>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</si>
  <si>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</si>
  <si>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</si>
  <si>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</si>
  <si>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</si>
  <si>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</si>
  <si>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</si>
  <si>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</si>
  <si>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</si>
  <si>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</si>
  <si>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</si>
  <si>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</si>
  <si>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</si>
  <si>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</si>
  <si>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</si>
  <si>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</si>
  <si>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</si>
  <si>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</si>
  <si>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</si>
  <si>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</si>
  <si>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</si>
  <si>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</si>
  <si>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</si>
  <si>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</si>
  <si>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</si>
  <si>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</si>
  <si>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</si>
  <si>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</si>
  <si>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</si>
  <si>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</si>
  <si>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</si>
  <si>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</si>
  <si>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</si>
  <si>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</si>
  <si>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</si>
  <si>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</si>
  <si>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</si>
  <si>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</si>
  <si>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</si>
  <si>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</si>
  <si>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</si>
  <si>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</si>
  <si>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</si>
  <si>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</si>
  <si>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</si>
  <si>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</si>
  <si>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</si>
  <si>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</si>
  <si>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</si>
  <si>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</si>
  <si>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</si>
  <si>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</si>
  <si>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</si>
  <si>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</si>
  <si>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</si>
  <si>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</si>
  <si>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</si>
  <si>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</si>
  <si>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</si>
  <si>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</si>
  <si>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</si>
  <si>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</si>
  <si>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</si>
  <si>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</si>
  <si>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</si>
  <si>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</si>
  <si>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</si>
  <si>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</si>
  <si>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</si>
  <si>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</si>
  <si>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</si>
  <si>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</si>
  <si>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</si>
  <si>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</si>
  <si>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</si>
  <si>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</si>
  <si>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</si>
  <si>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</si>
  <si>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</si>
  <si>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</si>
  <si>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</si>
  <si>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</si>
  <si>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</si>
  <si>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</si>
  <si>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</si>
  <si>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</si>
  <si>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</si>
  <si>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</si>
  <si>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</si>
  <si>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</si>
  <si>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</si>
  <si>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</si>
  <si>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</si>
  <si>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</si>
  <si>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</si>
  <si>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</si>
  <si>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</si>
  <si>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</si>
  <si>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</si>
  <si>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</si>
  <si>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</si>
  <si>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</si>
  <si>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</si>
  <si>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</si>
  <si>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</si>
  <si>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</si>
  <si>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</si>
  <si>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</si>
  <si>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</si>
  <si>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</si>
  <si>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</si>
  <si>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</si>
  <si>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</si>
  <si>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</si>
  <si>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</si>
  <si>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</si>
  <si>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</si>
  <si>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</si>
  <si>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</si>
  <si>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</si>
  <si>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</si>
  <si>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</si>
  <si>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</si>
  <si>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</si>
  <si>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</si>
  <si>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</si>
  <si>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</si>
  <si>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</si>
  <si>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</si>
  <si>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</si>
  <si>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</si>
  <si>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</si>
  <si>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</si>
  <si>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</si>
  <si>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</si>
  <si>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</si>
  <si>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</si>
  <si>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</si>
  <si>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</si>
  <si>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</si>
  <si>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</si>
  <si>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</si>
  <si>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</si>
  <si>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</si>
  <si>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</si>
  <si>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</si>
  <si>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</si>
  <si>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</si>
  <si>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</si>
  <si>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</si>
  <si>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</si>
  <si>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</si>
  <si>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</si>
  <si>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</si>
  <si>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</si>
  <si>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</si>
  <si>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</si>
  <si>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</si>
  <si>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</si>
  <si>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</si>
  <si>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</si>
  <si>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</si>
  <si>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</si>
  <si>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</si>
  <si>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</si>
  <si>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</si>
  <si>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</si>
  <si>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</si>
  <si>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</si>
  <si>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</si>
  <si>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</si>
  <si>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</si>
  <si>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</si>
  <si>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</si>
  <si>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</si>
  <si>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</si>
  <si>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</si>
  <si>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</si>
  <si>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</si>
  <si>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</si>
  <si>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</si>
  <si>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</si>
  <si>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</si>
  <si>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</si>
  <si>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</si>
  <si>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</si>
  <si>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</si>
  <si>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</si>
  <si>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</si>
  <si>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</si>
  <si>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</si>
  <si>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</si>
  <si>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</si>
  <si>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</si>
  <si>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</si>
  <si>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</si>
  <si>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</si>
  <si>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</si>
  <si>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</si>
  <si>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</si>
  <si>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</si>
  <si>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</si>
  <si>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</si>
  <si>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</si>
  <si>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</si>
  <si>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</si>
  <si>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</si>
  <si>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</si>
  <si>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</si>
  <si>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</si>
  <si>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</si>
  <si>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</si>
  <si>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</si>
  <si>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</si>
  <si>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</si>
  <si>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</si>
  <si>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</si>
  <si>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</si>
  <si>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</si>
  <si>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</si>
  <si>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</si>
  <si>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</si>
  <si>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</si>
  <si>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</si>
  <si>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</si>
  <si>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</si>
  <si>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</si>
  <si>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</si>
  <si>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</si>
  <si>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</si>
  <si>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</si>
  <si>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</si>
  <si>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</si>
  <si>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</si>
  <si>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</si>
  <si>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</si>
  <si>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</si>
  <si>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</si>
  <si>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</si>
  <si>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</si>
  <si>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</si>
  <si>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</si>
  <si>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</si>
  <si>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</si>
  <si>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</si>
  <si>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</si>
  <si>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</si>
  <si>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</si>
  <si>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</si>
  <si>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</si>
  <si>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</si>
  <si>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</si>
  <si>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</si>
  <si>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</si>
  <si>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</si>
  <si>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</si>
  <si>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</si>
  <si>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</si>
  <si>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</si>
  <si>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</si>
  <si>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</si>
  <si>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</si>
  <si>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</si>
  <si>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</si>
  <si>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</si>
  <si>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</si>
  <si>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</si>
  <si>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</si>
  <si>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</si>
  <si>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</si>
  <si>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</si>
  <si>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</si>
  <si>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</si>
  <si>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</si>
  <si>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</si>
  <si>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</si>
  <si>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</si>
  <si>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</si>
  <si>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</si>
  <si>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</si>
  <si>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</si>
  <si>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</si>
  <si>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</si>
  <si>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</si>
  <si>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</si>
  <si>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</si>
  <si>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</si>
  <si>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</si>
  <si>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</si>
  <si>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</si>
  <si>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</si>
  <si>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</si>
  <si>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</si>
  <si>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</si>
  <si>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</si>
  <si>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</si>
  <si>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</si>
  <si>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</si>
  <si>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</si>
  <si>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</si>
  <si>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</si>
  <si>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</si>
  <si>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</si>
  <si>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</si>
  <si>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</si>
  <si>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</si>
  <si>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</si>
  <si>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</si>
  <si>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</si>
  <si>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</si>
  <si>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</si>
  <si>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</si>
  <si>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</si>
  <si>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</si>
  <si>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</si>
  <si>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</si>
  <si>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</si>
  <si>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</si>
  <si>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</si>
  <si>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</si>
  <si>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</si>
  <si>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</si>
  <si>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</si>
  <si>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</si>
  <si>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</si>
  <si>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</si>
  <si>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</si>
  <si>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</si>
  <si>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</si>
  <si>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</si>
  <si>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</si>
  <si>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</si>
  <si>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</si>
  <si>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</si>
  <si>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</si>
  <si>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</si>
  <si>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</si>
  <si>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</si>
  <si>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</si>
  <si>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</si>
  <si>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</si>
  <si>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</si>
  <si>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</si>
  <si>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</si>
  <si>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</si>
  <si>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</si>
  <si>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</si>
  <si>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</si>
  <si>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</si>
  <si>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</si>
  <si>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</si>
  <si>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</si>
  <si>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</si>
  <si>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</si>
  <si>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</si>
  <si>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</si>
  <si>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</si>
  <si>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</si>
  <si>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</si>
  <si>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</si>
  <si>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</si>
  <si>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</si>
  <si>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</si>
  <si>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</si>
  <si>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</si>
  <si>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</si>
  <si>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</si>
  <si>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</si>
  <si>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</si>
  <si>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</si>
  <si>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</si>
  <si>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</si>
  <si>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</si>
  <si>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</si>
  <si>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</si>
  <si>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</si>
  <si>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</si>
  <si>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</si>
  <si>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</si>
  <si>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</si>
  <si>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</si>
  <si>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</si>
  <si>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</si>
  <si>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</si>
  <si>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</si>
  <si>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</si>
  <si>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</si>
  <si>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</si>
  <si>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</si>
  <si>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</si>
  <si>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</si>
  <si>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Madina Medical Store</t>
  </si>
  <si>
    <t xml:space="preserve">Address: Shah Jahan Socity Walton </t>
  </si>
  <si>
    <t>Awan Super Store</t>
  </si>
  <si>
    <t xml:space="preserve">Address: Shah Jhan Society </t>
  </si>
  <si>
    <t>Anwar Store</t>
  </si>
  <si>
    <t>Al Qadri Store</t>
  </si>
  <si>
    <t>Haji G Store</t>
  </si>
  <si>
    <t>Address: Kora Pind Mohallah Number Dar</t>
  </si>
  <si>
    <t>Akmal GS</t>
  </si>
  <si>
    <t>Address: Kora Pind Mohala Numberdar</t>
  </si>
  <si>
    <t>TLP Store</t>
  </si>
  <si>
    <t>Address: Kora Pind Muhala Number dar</t>
  </si>
  <si>
    <t>Aziz Groccery Store</t>
  </si>
  <si>
    <t>Address: Walton Road</t>
  </si>
  <si>
    <t xml:space="preserve">Al Harmain Mart </t>
  </si>
  <si>
    <t xml:space="preserve">Address: Calevery Ground Seven Street </t>
  </si>
  <si>
    <t xml:space="preserve">Al Raheem Mart </t>
  </si>
  <si>
    <t xml:space="preserve">Address: Seven Street </t>
  </si>
  <si>
    <t>M Sadiq Store</t>
  </si>
  <si>
    <t>Address: Guru Mangat Road</t>
  </si>
  <si>
    <t>SM Store</t>
  </si>
  <si>
    <t xml:space="preserve">Address: Guru Mangat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</si>
</sst>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8" sqref="S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514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46273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Madina Medical Store</v>
      </c>
      <c r="T3" s="301">
        <f>+'1'!P35</f>
        <v>625.941717559322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Awan Super Store</v>
      </c>
      <c r="T4" s="301">
        <f>+'2'!P35</f>
        <v>1967.114748165254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Anwar Store</v>
      </c>
      <c r="T5" s="301">
        <f>+'3'!P35</f>
        <v>500.75337404745761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Al Qadri Store</v>
      </c>
      <c r="T6" s="301">
        <f>+'4'!P35</f>
        <v>1001.5067480949152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</v>
      </c>
      <c r="I7" s="235">
        <f>(G7*D7)*F7+H7*F7</f>
        <v>786.9375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62.954999999999998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27.542812500000004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696.43968749999999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148.72881355932196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4.22584250529661</v>
      </c>
      <c r="P7" s="310">
        <f>M7+N7+O7</f>
        <v>849.39434356461845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6</v>
      </c>
      <c r="R7" s="314">
        <v>5</v>
      </c>
      <c r="S7" s="300" t="str">
        <f>+'5'!A6:A6</f>
        <v>Haji G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55</v>
      </c>
      <c r="I8" s="236">
        <f t="shared" ref="I8:I14" si="0">(G8*D8)*F8+H8*F8</f>
        <v>2885.4375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230.83499999999998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100.9903125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2553.6121874999999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545.33898305084722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15.494755852754237</v>
      </c>
      <c r="P8" s="311">
        <f t="shared" ref="P8:P15" si="2">M8+N8+O8</f>
        <v>3114.4459264036013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6</v>
      </c>
      <c r="R8" s="314">
        <v>6</v>
      </c>
      <c r="S8" s="300" t="str">
        <f>+'6'!A6:A6</f>
        <v>Akmal GS</v>
      </c>
      <c r="T8" s="301">
        <f>+'6'!P35</f>
        <v>940.86347552542372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</v>
      </c>
      <c r="I9" s="236">
        <f t="shared" si="0"/>
        <v>524.625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41.97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18.361875000000001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464.29312500000003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99.152542372881314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2.8172283368644067</v>
      </c>
      <c r="P9" s="311">
        <f t="shared" si="2"/>
        <v>566.26289570974575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TLP Store</v>
      </c>
      <c r="T9" s="301">
        <f>+'7'!P35</f>
        <v>250.37668702372881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51</v>
      </c>
      <c r="I10" s="236">
        <f t="shared" si="0"/>
        <v>3704.64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296.37119999999999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129.66240000000002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3278.6063999999997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700.16949152542372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19.893879457627119</v>
      </c>
      <c r="P10" s="311">
        <f t="shared" si="2"/>
        <v>3998.6697709830505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Aziz Groccery Store</v>
      </c>
      <c r="T10" s="301">
        <f>+'8'!P35</f>
        <v>6402.769916018643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35</v>
      </c>
      <c r="I11" s="236">
        <f t="shared" si="0"/>
        <v>2542.4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203.392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88.984000000000009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2250.0240000000003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480.50847457627123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13.652662372881355</v>
      </c>
      <c r="P11" s="311">
        <f t="shared" si="2"/>
        <v>2744.1851369491528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Al Harmain Mart </v>
      </c>
      <c r="T11" s="301">
        <f>+'9'!P35</f>
        <v>2352.1586888135594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</v>
      </c>
      <c r="I12" s="236">
        <f t="shared" si="0"/>
        <v>1162.24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92.979200000000006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40.678400000000003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1028.5824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219.66101694915255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6.2412170847457631</v>
      </c>
      <c r="P12" s="311">
        <f t="shared" si="2"/>
        <v>1254.4846340338984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Al Raheem Mart </v>
      </c>
      <c r="T12" s="301">
        <f>+'10'!P35</f>
        <v>1669.1779134915255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181</v>
      </c>
      <c r="I13" s="236">
        <f t="shared" si="0"/>
        <v>7100.630000000001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355.03150000000011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248.52205000000009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362.13212999999996</v>
      </c>
      <c r="M13" s="230">
        <f t="shared" si="1"/>
        <v>6134.9443200000005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1380.5084745762701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37.577263972881354</v>
      </c>
      <c r="P13" s="311">
        <f t="shared" si="2"/>
        <v>7553.0300585491523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12</v>
      </c>
      <c r="R13" s="314">
        <v>11</v>
      </c>
      <c r="S13" s="300" t="str">
        <f>+'11'!A6:A6</f>
        <v>M Sadiq Store</v>
      </c>
      <c r="T13" s="301">
        <f>+'11'!P35</f>
        <v>2184.9047487266948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SM Store</v>
      </c>
      <c r="T14" s="301">
        <f>+'12'!P35</f>
        <v>2184.9047487266948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9.0749999999999993</v>
      </c>
      <c r="H16" s="113">
        <f t="shared" ref="H16:M16" si="3">SUM(H7:H15)</f>
        <v>363</v>
      </c>
      <c r="I16" s="114">
        <f t="shared" si="3"/>
        <v>18706.91</v>
      </c>
      <c r="J16" s="274">
        <f>SUM(J7:J15)</f>
        <v>1283.5339000000001</v>
      </c>
      <c r="K16" s="275">
        <f t="shared" si="3"/>
        <v>654.74185000000011</v>
      </c>
      <c r="L16" s="276">
        <f t="shared" si="3"/>
        <v>362.13212999999996</v>
      </c>
      <c r="M16" s="232">
        <f t="shared" si="3"/>
        <v>16406.502119999997</v>
      </c>
      <c r="N16" s="233">
        <f>SUM(N7:N15)</f>
        <v>3574.067796610168</v>
      </c>
      <c r="O16" s="101">
        <f>SUM(O7:O15)</f>
        <v>99.902849583050852</v>
      </c>
      <c r="P16" s="113">
        <f>SUM(P7:P15)</f>
        <v>20080.472766193219</v>
      </c>
      <c r="Q16" s="128">
        <f>SUM(Q7:Q15)</f>
        <v>24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18706.91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1283.5339000000001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1016.8739800000001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16406.502120000001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3574.067796610168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19980.569916610169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99.902849583050852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20080.472766193219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20080.472766193216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6"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15</v>
      </c>
      <c r="I22" s="236">
        <f t="shared" si="0"/>
        <v>588.45000000000005</v>
      </c>
      <c r="J22" s="272">
        <f t="shared" si="1"/>
        <v>29.422500000000003</v>
      </c>
      <c r="K22" s="128">
        <f t="shared" si="1"/>
        <v>20.595750000000002</v>
      </c>
      <c r="L22" s="119">
        <f t="shared" si="1"/>
        <v>30.010950000000001</v>
      </c>
      <c r="M22" s="230">
        <f t="shared" si="2"/>
        <v>508.42080000000004</v>
      </c>
      <c r="N22" s="277">
        <f t="shared" si="3"/>
        <v>114.40677966101688</v>
      </c>
      <c r="O22" s="239">
        <f t="shared" si="4"/>
        <v>3.1141378983050845</v>
      </c>
      <c r="P22" s="311">
        <f t="shared" si="5"/>
        <v>625.941717559322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15</v>
      </c>
      <c r="I25" s="114">
        <f t="shared" ref="I25:M25" si="10">SUM(I16:I24)</f>
        <v>588.45000000000005</v>
      </c>
      <c r="J25" s="274">
        <f>SUM(J16:J24)</f>
        <v>29.422500000000003</v>
      </c>
      <c r="K25" s="275">
        <f t="shared" si="10"/>
        <v>20.595750000000002</v>
      </c>
      <c r="L25" s="276">
        <f t="shared" si="10"/>
        <v>30.010950000000001</v>
      </c>
      <c r="M25" s="232">
        <f t="shared" si="10"/>
        <v>508.42080000000004</v>
      </c>
      <c r="N25" s="233">
        <f>SUM(N16:N24)</f>
        <v>114.40677966101688</v>
      </c>
      <c r="O25" s="101">
        <f>SUM(O16:O24)</f>
        <v>3.1141378983050845</v>
      </c>
      <c r="P25" s="113">
        <f>SUM(P16:P24)</f>
        <v>625.941717559322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588.45000000000005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29.422500000000003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50.606700000000004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508.42080000000004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114.40677966101688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622.8275796610169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3.1141378983050845</v>
      </c>
    </row>
    <row r="35" spans="2:16" ht="15.75" customHeight="1" thickBot="1" x14ac:dyDescent="0.4">
      <c r="N35" s="344" t="s">
        <v>88</v>
      </c>
      <c r="O35" s="345"/>
      <c r="P35" s="297">
        <f>+P33+P34</f>
        <v>625.941717559322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1833.8500000000001</v>
      </c>
      <c r="J25" s="274">
        <f>SUM(J16:J24)</f>
        <v>123.17000000000002</v>
      </c>
      <c r="K25" s="275">
        <f t="shared" si="7"/>
        <v>64.184750000000008</v>
      </c>
      <c r="L25" s="276">
        <f t="shared" si="7"/>
        <v>40.014600000000002</v>
      </c>
      <c r="M25" s="232">
        <f t="shared" si="7"/>
        <v>1606.4806500000002</v>
      </c>
      <c r="N25" s="233">
        <f>SUM(N16:N24)</f>
        <v>350.8474576271185</v>
      </c>
      <c r="O25" s="101">
        <f>SUM(O16:O24)</f>
        <v>9.7866405381355932</v>
      </c>
      <c r="P25" s="113">
        <f>SUM(P16:P24)</f>
        <v>1967.1147481652542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1833.8500000000001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123.17000000000002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104.19935000000001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1606.48065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350.8474576271185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1957.3281076271185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9.7866405381355932</v>
      </c>
    </row>
    <row r="35" spans="2:16" ht="15.75" customHeight="1" thickBot="1" x14ac:dyDescent="0.4">
      <c r="N35" s="344" t="s">
        <v>88</v>
      </c>
      <c r="O35" s="345"/>
      <c r="P35" s="297">
        <f>+P33+P34</f>
        <v>1967.114748165254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8.7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470.76000000000005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23.538000000000004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40.485360000000007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406.73664000000002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498.26206372881353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4" t="s">
        <v>88</v>
      </c>
      <c r="O35" s="345"/>
      <c r="P35" s="297">
        <f>+P33+P34</f>
        <v>500.75337404745761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311">
        <f t="shared" si="5"/>
        <v>1001.5067480949152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</v>
      </c>
      <c r="I25" s="114">
        <f t="shared" si="7"/>
        <v>941.5200000000001</v>
      </c>
      <c r="J25" s="274">
        <f>SUM(J16:J24)</f>
        <v>47.076000000000008</v>
      </c>
      <c r="K25" s="275">
        <f t="shared" si="7"/>
        <v>32.95320000000001</v>
      </c>
      <c r="L25" s="276">
        <f t="shared" si="7"/>
        <v>48.017520000000005</v>
      </c>
      <c r="M25" s="232">
        <f t="shared" si="7"/>
        <v>813.47328000000005</v>
      </c>
      <c r="N25" s="233">
        <f>SUM(N16:N24)</f>
        <v>183.05084745762701</v>
      </c>
      <c r="O25" s="101">
        <f>SUM(O16:O24)</f>
        <v>4.982620637288135</v>
      </c>
      <c r="P25" s="113">
        <f>SUM(P16:P24)</f>
        <v>1001.5067480949152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941.5200000000001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47.076000000000008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80.970720000000014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813.47328000000005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183.05084745762701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996.52412745762706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4.982620637288135</v>
      </c>
    </row>
    <row r="35" spans="2:16" ht="15.75" customHeight="1" thickBot="1" x14ac:dyDescent="0.4">
      <c r="N35" s="344" t="s">
        <v>88</v>
      </c>
      <c r="O35" s="345"/>
      <c r="P35" s="297">
        <f>+P33+P34</f>
        <v>1001.5067480949152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F22" sqref="F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6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'1'!N4:P5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871.68000000000006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69.734400000000008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30.508800000000004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771.43680000000006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936.18256271186442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4" t="s">
        <v>88</v>
      </c>
      <c r="O35" s="345"/>
      <c r="P35" s="297">
        <f>+P33+P34</f>
        <v>940.86347552542372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235.38000000000002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11.769000000000002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20.242680000000004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203.36832000000001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249.13103186440676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44" t="s">
        <v>88</v>
      </c>
      <c r="O35" s="345"/>
      <c r="P35" s="297">
        <f>+P33+P34</f>
        <v>250.37668702372881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311">
        <f t="shared" ref="P17:P24" si="5">M17+N17+O17</f>
        <v>849.39434356461845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311">
        <f t="shared" si="5"/>
        <v>1001.5067480949152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104</v>
      </c>
      <c r="I25" s="114">
        <f t="shared" si="7"/>
        <v>5945.62</v>
      </c>
      <c r="J25" s="274">
        <f>SUM(J16:J24)</f>
        <v>447.40400000000005</v>
      </c>
      <c r="K25" s="275">
        <f t="shared" si="7"/>
        <v>208.09670000000003</v>
      </c>
      <c r="L25" s="276">
        <f t="shared" si="7"/>
        <v>48.017520000000005</v>
      </c>
      <c r="M25" s="232">
        <f t="shared" si="7"/>
        <v>5242.10178</v>
      </c>
      <c r="N25" s="233">
        <f>SUM(N16:N24)</f>
        <v>1128.8135593220336</v>
      </c>
      <c r="O25" s="101">
        <f>SUM(O16:O24)</f>
        <v>31.85457669661017</v>
      </c>
      <c r="P25" s="113">
        <f>SUM(P16:P24)</f>
        <v>6402.769916018643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5945.62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447.40400000000005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256.11422000000005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5242.1017799999991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1128.8135593220336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6370.9153393220331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31.854576696610167</v>
      </c>
    </row>
    <row r="35" spans="2:16" ht="15.75" customHeight="1" thickBot="1" x14ac:dyDescent="0.4">
      <c r="N35" s="344" t="s">
        <v>88</v>
      </c>
      <c r="O35" s="345"/>
      <c r="P35" s="297">
        <f>+P33+P34</f>
        <v>6402.769916018643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113">
        <f>SUM(P16:P24)</f>
        <v>2352.1586888135594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2179.1999999999998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174.33600000000001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76.272000000000006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1928.5919999999999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2340.4564067796609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44" t="s">
        <v>88</v>
      </c>
      <c r="O35" s="345"/>
      <c r="P35" s="297">
        <f>+P33+P34</f>
        <v>2352.1586888135594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topLeftCell="A6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533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2035.6250000000002</v>
      </c>
      <c r="J25" s="274">
        <f>SUM(J16:J24)</f>
        <v>139.31200000000001</v>
      </c>
      <c r="K25" s="275">
        <f t="shared" si="7"/>
        <v>71.246875000000017</v>
      </c>
      <c r="L25" s="276">
        <f t="shared" si="7"/>
        <v>40.014600000000002</v>
      </c>
      <c r="M25" s="232">
        <f t="shared" si="7"/>
        <v>1785.0515250000003</v>
      </c>
      <c r="N25" s="233">
        <f>SUM(N16:N24)</f>
        <v>388.98305084745749</v>
      </c>
      <c r="O25" s="101">
        <f>SUM(O16:O24)</f>
        <v>10.870172879237288</v>
      </c>
      <c r="P25" s="113">
        <f>SUM(P16:P24)</f>
        <v>2184.9047487266953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2035.6250000000002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139.31200000000001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111.26147500000002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1785.0515250000001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388.98305084745749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2174.0345758474577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10.870172879237289</v>
      </c>
    </row>
    <row r="35" spans="2:16" ht="15.75" customHeight="1" thickBot="1" x14ac:dyDescent="0.4">
      <c r="N35" s="344" t="s">
        <v>88</v>
      </c>
      <c r="O35" s="345"/>
      <c r="P35" s="297">
        <f>+P33+P34</f>
        <v>2184.9047487266948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535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2035.6250000000002</v>
      </c>
      <c r="J25" s="274">
        <f>SUM(J16:J24)</f>
        <v>139.31200000000001</v>
      </c>
      <c r="K25" s="275">
        <f t="shared" si="7"/>
        <v>71.246875000000017</v>
      </c>
      <c r="L25" s="276">
        <f t="shared" si="7"/>
        <v>40.014600000000002</v>
      </c>
      <c r="M25" s="232">
        <f t="shared" si="7"/>
        <v>1785.0515250000003</v>
      </c>
      <c r="N25" s="233">
        <f>SUM(N16:N24)</f>
        <v>388.98305084745749</v>
      </c>
      <c r="O25" s="101">
        <f>SUM(O16:O24)</f>
        <v>10.870172879237288</v>
      </c>
      <c r="P25" s="113">
        <f>SUM(P16:P24)</f>
        <v>2184.9047487266953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2035.6250000000002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139.31200000000001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111.26147500000002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1785.0515250000001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388.98305084745749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2174.0345758474577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10.870172879237289</v>
      </c>
    </row>
    <row r="35" spans="2:16" ht="15.75" customHeight="1" thickBot="1" x14ac:dyDescent="0.4">
      <c r="N35" s="344" t="s">
        <v>88</v>
      </c>
      <c r="O35" s="345"/>
      <c r="P35" s="297">
        <f>+P33+P34</f>
        <v>2184.9047487266948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7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46283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46282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2026-09-17T09:40:01Z</dcterms:modified>
</cp:coreProperties>
</file>