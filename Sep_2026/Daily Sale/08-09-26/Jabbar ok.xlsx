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76F3E6A5-B14E-47CD-8C8F-FA47EDFD5D49}" xr6:coauthVersionLast="47" xr6:coauthVersionMax="47" xr10:uidLastSave="{00000000-0000-0000-0000-000000000000}"/>
  <bookViews>
    <workbookView xWindow="-110" yWindow="-110" windowWidth="19420" windowHeight="10420" tabRatio="948" firstSheet="3" activeTab="9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52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44" l="1"/>
  <c r="N4" i="72"/>
  <c r="N5" i="72" s="1"/>
  <c r="N4" i="71"/>
  <c r="N5" i="71" s="1"/>
  <c r="N4" i="54"/>
  <c r="N5" i="54" s="1"/>
  <c r="N4" i="66"/>
  <c r="N5" i="66" s="1"/>
  <c r="N4" i="49"/>
  <c r="N5" i="49" s="1"/>
  <c r="N4" i="43"/>
  <c r="N5" i="43" s="1"/>
  <c r="N4" i="56"/>
  <c r="N5" i="56" s="1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44" l="1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<sst xmlns="http://schemas.openxmlformats.org/spreadsheetml/2006/main" count="3948" uniqueCount="521">
  <si>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</si>
  <si>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</si>
  <si>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</si>
  <si>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</si>
  <si>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</si>
  <si>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</si>
  <si>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</si>
  <si>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</si>
  <si>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</si>
  <si>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</si>
  <si>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</si>
  <si>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</si>
  <si>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</si>
  <si>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</si>
  <si>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</si>
  <si>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</si>
  <si>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</si>
  <si>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</si>
  <si>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</si>
  <si>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</si>
  <si>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</si>
  <si>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</si>
  <si>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</si>
  <si>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</si>
  <si>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</si>
  <si>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</si>
  <si>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</si>
  <si>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</si>
  <si>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</si>
  <si>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</si>
  <si>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</si>
  <si>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</si>
  <si>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</si>
  <si>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</si>
  <si>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</si>
  <si>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</si>
  <si>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</si>
  <si>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</si>
  <si>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</si>
  <si>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</si>
  <si>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</si>
  <si>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</si>
  <si>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</si>
  <si>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</si>
  <si>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</si>
  <si>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</si>
  <si>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</si>
  <si>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</si>
  <si>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</si>
  <si>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</si>
  <si>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</si>
  <si>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</si>
  <si>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</si>
  <si>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</si>
  <si>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</si>
  <si>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</si>
  <si>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</si>
  <si>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</si>
  <si>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</si>
  <si>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</si>
  <si>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</si>
  <si>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</si>
  <si>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</si>
  <si>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</si>
  <si>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</si>
  <si>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</si>
  <si>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</si>
  <si>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</si>
  <si>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</si>
  <si>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</si>
  <si>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</si>
  <si>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</si>
  <si>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</si>
  <si>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</si>
  <si>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</si>
  <si>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</si>
  <si>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</si>
  <si>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</si>
  <si>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</si>
  <si>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</si>
  <si>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</si>
  <si>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</si>
  <si>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</si>
  <si>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</si>
  <si>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</si>
  <si>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</si>
  <si>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</si>
  <si>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</si>
  <si>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</si>
  <si>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</si>
  <si>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</si>
  <si>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</si>
  <si>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</si>
  <si>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</si>
  <si>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</si>
  <si>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</si>
  <si>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</si>
  <si>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</si>
  <si>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</si>
  <si>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</si>
  <si>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</si>
  <si>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</si>
  <si>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</si>
  <si>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</si>
  <si>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</si>
  <si>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</si>
  <si>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</si>
  <si>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</si>
  <si>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</si>
  <si>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</si>
  <si>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</si>
  <si>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</si>
  <si>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</si>
  <si>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</si>
  <si>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</si>
  <si>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</si>
  <si>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</si>
  <si>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</si>
  <si>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</si>
  <si>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</si>
  <si>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</si>
  <si>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</si>
  <si>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</si>
  <si>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</si>
  <si>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</si>
  <si>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</si>
  <si>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</si>
  <si>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</si>
  <si>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</si>
  <si>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</si>
  <si>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</si>
  <si>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</si>
  <si>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</si>
  <si>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</si>
  <si>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</si>
  <si>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</si>
  <si>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</si>
  <si>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</si>
  <si>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</si>
  <si>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</si>
  <si>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</si>
  <si>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</si>
  <si>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</si>
  <si>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</si>
  <si>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</si>
  <si>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</si>
  <si>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</si>
  <si>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</si>
  <si>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</si>
  <si>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</si>
  <si>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</si>
  <si>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</si>
  <si>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</si>
  <si>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</si>
  <si>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</si>
  <si>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</si>
  <si>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</si>
  <si>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</si>
  <si>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</si>
  <si>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</si>
  <si>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</si>
  <si>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</si>
  <si>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</si>
  <si>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</si>
  <si>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</si>
  <si>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</si>
  <si>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</si>
  <si>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</si>
  <si>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</si>
  <si>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</si>
  <si>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</si>
  <si>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</si>
  <si>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</si>
  <si>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</si>
  <si>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</si>
  <si>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</si>
  <si>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</si>
  <si>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</si>
  <si>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</si>
  <si>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</si>
  <si>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</si>
  <si>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</si>
  <si>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</si>
  <si>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</si>
  <si>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</si>
  <si>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</si>
  <si>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</si>
  <si>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</si>
  <si>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</si>
  <si>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</si>
  <si>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</si>
  <si>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</si>
  <si>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</si>
  <si>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</si>
  <si>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</si>
  <si>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</si>
  <si>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</si>
  <si>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</si>
  <si>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</si>
  <si>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</si>
  <si>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</si>
  <si>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</si>
  <si>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</si>
  <si>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</si>
  <si>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</si>
  <si>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</si>
  <si>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</si>
  <si>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</si>
  <si>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</si>
  <si>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</si>
  <si>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</si>
  <si>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</si>
  <si>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</si>
  <si>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</si>
  <si>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</si>
  <si>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</si>
  <si>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</si>
  <si>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</si>
  <si>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</si>
  <si>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</si>
  <si>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</si>
  <si>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</si>
  <si>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</si>
  <si>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</si>
  <si>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</si>
  <si>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</si>
  <si>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</si>
  <si>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</si>
  <si>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</si>
  <si>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</si>
  <si>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</si>
  <si>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</si>
  <si>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</si>
  <si>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</si>
  <si>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</si>
  <si>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</si>
  <si>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</si>
  <si>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</si>
  <si>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</si>
  <si>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</si>
  <si>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</si>
  <si>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</si>
  <si>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</si>
  <si>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</si>
  <si>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</si>
  <si>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</si>
  <si>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</si>
  <si>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</si>
  <si>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</si>
  <si>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</si>
  <si>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</si>
  <si>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</si>
  <si>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</si>
  <si>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</si>
  <si>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</si>
  <si>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</si>
  <si>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</si>
  <si>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</si>
  <si>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</si>
  <si>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</si>
  <si>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</si>
  <si>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</si>
  <si>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</si>
  <si>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</si>
  <si>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</si>
  <si>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</si>
  <si>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</si>
  <si>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</si>
  <si>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</si>
  <si>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</si>
  <si>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</si>
  <si>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</si>
  <si>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</si>
  <si>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</si>
  <si>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</si>
  <si>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</si>
  <si>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</si>
  <si>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</si>
  <si>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</si>
  <si>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</si>
  <si>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</si>
  <si>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</si>
  <si>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</si>
  <si>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</si>
  <si>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</si>
  <si>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</si>
  <si>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</si>
  <si>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</si>
  <si>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</si>
  <si>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</si>
  <si>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</si>
  <si>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</si>
  <si>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</si>
  <si>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</si>
  <si>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</si>
  <si>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</si>
  <si>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</si>
  <si>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</si>
  <si>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</si>
  <si>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</si>
  <si>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</si>
  <si>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</si>
  <si>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</si>
  <si>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</si>
  <si>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</si>
  <si>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</si>
  <si>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</si>
  <si>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</si>
  <si>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</si>
  <si>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</si>
  <si>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</si>
  <si>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</si>
  <si>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</si>
  <si>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</si>
  <si>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</si>
  <si>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</si>
  <si>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</si>
  <si>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</si>
  <si>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</si>
  <si>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</si>
  <si>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</si>
  <si>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</si>
  <si>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</si>
  <si>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</si>
  <si>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</si>
  <si>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</si>
  <si>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</si>
  <si>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</si>
  <si>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</si>
  <si>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</si>
  <si>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</si>
  <si>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</si>
  <si>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</si>
  <si>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</si>
  <si>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</si>
  <si>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</si>
  <si>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</si>
  <si>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</si>
  <si>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</si>
  <si>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</si>
  <si>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</si>
  <si>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</si>
  <si>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</si>
  <si>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</si>
  <si>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</si>
  <si>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</si>
  <si>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</si>
  <si>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</si>
  <si>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</si>
  <si>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</si>
  <si>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</si>
  <si>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</si>
  <si>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</si>
  <si>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</si>
  <si>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</si>
  <si>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</si>
  <si>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</si>
  <si>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</si>
  <si>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</si>
  <si>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</si>
  <si>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</si>
  <si>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</si>
  <si>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</si>
  <si>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</si>
  <si>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</si>
  <si>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</si>
  <si>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</si>
  <si>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</si>
  <si>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</si>
  <si>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</si>
  <si>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</si>
  <si>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</si>
  <si>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</si>
  <si>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</si>
  <si>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</si>
  <si>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</si>
  <si>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</si>
  <si>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</si>
  <si>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</si>
  <si>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</si>
  <si>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</si>
  <si>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</si>
  <si>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</si>
  <si>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</si>
  <si>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</si>
  <si>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</si>
  <si>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</si>
  <si>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</si>
  <si>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</si>
  <si>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</si>
  <si>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</si>
  <si>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</si>
  <si>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</si>
  <si>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</si>
  <si>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</si>
  <si>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</si>
  <si>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</si>
  <si>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</si>
  <si>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</si>
  <si>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</si>
  <si>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</si>
  <si>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</si>
  <si>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</si>
  <si>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</si>
  <si>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</si>
  <si>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</si>
  <si>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</si>
  <si>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</si>
  <si>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</si>
  <si>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</si>
  <si>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</si>
  <si>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</si>
  <si>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</si>
  <si>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</si>
  <si>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</si>
  <si>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</si>
  <si>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</si>
  <si>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</si>
  <si>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</si>
  <si>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</si>
  <si>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</si>
  <si>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</si>
  <si>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</si>
  <si>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</si>
  <si>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</si>
  <si>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</si>
  <si>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</si>
  <si>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</si>
  <si>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</si>
  <si>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</si>
  <si>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</si>
  <si>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</si>
  <si>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</si>
  <si>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</si>
  <si>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</si>
  <si>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</si>
  <si>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</si>
  <si>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</si>
  <si>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</si>
  <si>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</si>
  <si>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</si>
  <si>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</si>
  <si>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</si>
  <si>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</si>
  <si>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</si>
  <si>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</si>
  <si>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</si>
  <si>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</si>
  <si>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</si>
  <si>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</si>
  <si>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</si>
  <si>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</si>
  <si>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</si>
  <si>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</si>
  <si>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</si>
  <si>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</si>
  <si>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</si>
  <si>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</si>
  <si>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</si>
  <si>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</si>
  <si>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</si>
  <si>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</si>
  <si>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</si>
  <si>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</si>
  <si>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</si>
  <si>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</si>
  <si>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</si>
  <si>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</si>
  <si>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</si>
  <si>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</si>
  <si>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</si>
  <si>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</si>
  <si>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</si>
  <si>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</si>
  <si>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</si>
  <si>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</si>
  <si>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</si>
  <si>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</si>
  <si>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</si>
  <si>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</si>
  <si>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</si>
  <si>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</si>
  <si>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</si>
  <si>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</si>
  <si>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</si>
  <si>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</si>
  <si>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</si>
  <si>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</si>
  <si>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</si>
  <si>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</si>
  <si>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</si>
  <si>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</si>
  <si>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</si>
  <si>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</si>
  <si>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</si>
  <si>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</si>
  <si>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</si>
  <si>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</si>
  <si>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</si>
  <si>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</si>
  <si>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</si>
  <si>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</si>
  <si>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</si>
  <si>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</si>
  <si>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</si>
  <si>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</si>
  <si>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</si>
  <si>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</si>
  <si>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</si>
  <si>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</si>
  <si>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</si>
  <si>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</si>
  <si>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</si>
  <si>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</si>
  <si>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Jabbar</t>
  </si>
  <si>
    <t>Address: Hasan Abad</t>
  </si>
  <si>
    <t>Ahmad Store</t>
  </si>
  <si>
    <t>Awan Store</t>
  </si>
  <si>
    <t>Ideal Store</t>
  </si>
  <si>
    <t>Khan Store</t>
  </si>
  <si>
    <t xml:space="preserve">Zarar Khan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</si>
</sst>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S3" sqref="S3:S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2" t="s">
        <v>91</v>
      </c>
      <c r="B2" s="392"/>
      <c r="C2" s="392"/>
      <c r="E2" s="384" t="s">
        <v>498</v>
      </c>
      <c r="F2" s="385"/>
      <c r="G2" s="385"/>
      <c r="H2" s="382" t="s">
        <v>514</v>
      </c>
      <c r="I2" s="382"/>
      <c r="J2" s="383"/>
      <c r="R2" s="379" t="s">
        <v>497</v>
      </c>
      <c r="S2" s="380"/>
      <c r="T2" s="381"/>
    </row>
    <row r="3" spans="1:20 16377:16378" ht="21.75" customHeight="1" thickBot="1" x14ac:dyDescent="0.4">
      <c r="A3" s="393" t="s">
        <v>92</v>
      </c>
      <c r="B3" s="393"/>
      <c r="C3" s="393"/>
      <c r="E3" s="388" t="s">
        <v>508</v>
      </c>
      <c r="F3" s="389"/>
      <c r="G3" s="389"/>
      <c r="H3" s="386">
        <v>46273</v>
      </c>
      <c r="I3" s="386"/>
      <c r="J3" s="387"/>
      <c r="K3" s="394" t="s">
        <v>43</v>
      </c>
      <c r="L3" s="394"/>
      <c r="M3" s="394"/>
      <c r="N3" s="393"/>
      <c r="O3" s="393"/>
      <c r="P3" s="393"/>
      <c r="R3" s="299">
        <v>1</v>
      </c>
      <c r="S3" s="300" t="str">
        <f>+'1'!A6:A6</f>
        <v>Ahmad Store</v>
      </c>
      <c r="T3" s="301">
        <f>+'1'!P35</f>
        <v>1441.6168495728814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>Awan Store</v>
      </c>
      <c r="T4" s="301">
        <f>+'2'!P35</f>
        <v>1100.4670577745762</v>
      </c>
      <c r="XEX4" t="s">
        <v>105</v>
      </c>
    </row>
    <row r="5" spans="1:20 16377:16378" ht="21.75" customHeight="1" thickBot="1" x14ac:dyDescent="0.4">
      <c r="A5" s="344" t="s">
        <v>51</v>
      </c>
      <c r="B5" s="345"/>
      <c r="C5" s="348" t="s">
        <v>90</v>
      </c>
      <c r="D5" s="115" t="s">
        <v>52</v>
      </c>
      <c r="E5" s="350" t="s">
        <v>58</v>
      </c>
      <c r="F5" s="351"/>
      <c r="G5" s="352" t="s">
        <v>54</v>
      </c>
      <c r="H5" s="353"/>
      <c r="I5" s="354" t="s">
        <v>77</v>
      </c>
      <c r="J5" s="391" t="s">
        <v>55</v>
      </c>
      <c r="K5" s="352"/>
      <c r="L5" s="353"/>
      <c r="M5" s="345" t="s">
        <v>84</v>
      </c>
      <c r="N5" s="390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Ideal Store</v>
      </c>
      <c r="T5" s="301">
        <f>+'3'!P35</f>
        <v>5470.0847511483053</v>
      </c>
      <c r="XEX5" t="s">
        <v>106</v>
      </c>
    </row>
    <row r="6" spans="1:20 16377:16378" ht="21.75" customHeight="1" thickBot="1" x14ac:dyDescent="0.4">
      <c r="A6" s="346"/>
      <c r="B6" s="347"/>
      <c r="C6" s="34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5"/>
      <c r="J6" s="143" t="s">
        <v>59</v>
      </c>
      <c r="K6" s="144" t="s">
        <v>39</v>
      </c>
      <c r="L6" s="145" t="s">
        <v>493</v>
      </c>
      <c r="M6" s="347"/>
      <c r="N6" s="355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Khan Store</v>
      </c>
      <c r="T6" s="301">
        <f>+'4'!P35</f>
        <v>5401.2631679237275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25</v>
      </c>
      <c r="I7" s="235">
        <f>(G7*D7)*F7+H7*F7</f>
        <v>1311.5625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104.925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45.904687500000009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1160.7328124999999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247.88135593220329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7.0430708421610166</v>
      </c>
      <c r="P7" s="310">
        <f>M7+N7+O7</f>
        <v>1415.6572392743644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Zarar Khan </v>
      </c>
      <c r="T7" s="301">
        <f>+'5'!P35</f>
        <v>3136.2115850847458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19</v>
      </c>
      <c r="I8" s="236">
        <f t="shared" ref="I8:I14" si="0">(G8*D8)*F8+H8*F8</f>
        <v>996.78750000000002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79.742999999999995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34.887562500000001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882.15693750000003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188.38983050847449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5.3527338400423723</v>
      </c>
      <c r="P8" s="311">
        <f t="shared" ref="P8:P15" si="2">M8+N8+O8</f>
        <v>1075.899501848517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24</v>
      </c>
      <c r="I9" s="236">
        <f t="shared" si="0"/>
        <v>1259.0999999999999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100.72799999999999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44.0685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1114.3035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237.96610169491515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6.7613480084745756</v>
      </c>
      <c r="P9" s="311">
        <f t="shared" si="2"/>
        <v>1359.0309497033898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76</v>
      </c>
      <c r="I10" s="236">
        <f t="shared" si="0"/>
        <v>5520.64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441.65120000000002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193.22240000000002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4885.7664000000004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1043.3898305084747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29.645781152542376</v>
      </c>
      <c r="P10" s="311">
        <f t="shared" si="2"/>
        <v>5958.8020116610178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19</v>
      </c>
      <c r="I11" s="236">
        <f t="shared" si="0"/>
        <v>1380.16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110.41279999999999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48.305600000000005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1221.4416000000001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260.84745762711867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7.4114452881355932</v>
      </c>
      <c r="P11" s="311">
        <f t="shared" si="2"/>
        <v>1489.7005029152544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51</v>
      </c>
      <c r="I12" s="236">
        <f t="shared" si="0"/>
        <v>3704.64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296.37120000000004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129.66240000000002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3278.6063999999997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700.16949152542372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19.893879457627119</v>
      </c>
      <c r="P12" s="311">
        <f t="shared" si="2"/>
        <v>3998.6697709830505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30</v>
      </c>
      <c r="I13" s="236">
        <f t="shared" si="0"/>
        <v>1176.9000000000001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58.845000000000013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41.191500000000005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60.021900000000002</v>
      </c>
      <c r="M13" s="230">
        <f t="shared" si="1"/>
        <v>1016.8416000000001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228.81355932203377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6.2282757966101698</v>
      </c>
      <c r="P13" s="311">
        <f t="shared" si="2"/>
        <v>1251.883435118644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5">
        <f>COUNT(A7:A15)</f>
        <v>0</v>
      </c>
      <c r="B16" s="356"/>
      <c r="C16" s="356" t="s">
        <v>40</v>
      </c>
      <c r="D16" s="356"/>
      <c r="E16" s="356"/>
      <c r="F16" s="357"/>
      <c r="G16" s="117">
        <f>H16/40</f>
        <v>6.1</v>
      </c>
      <c r="H16" s="113">
        <f t="shared" ref="H16:M16" si="3">SUM(H7:H15)</f>
        <v>244</v>
      </c>
      <c r="I16" s="114">
        <f t="shared" si="3"/>
        <v>15349.789999999999</v>
      </c>
      <c r="J16" s="274">
        <f>SUM(J7:J15)</f>
        <v>1192.6762000000001</v>
      </c>
      <c r="K16" s="275">
        <f t="shared" si="3"/>
        <v>537.24265000000014</v>
      </c>
      <c r="L16" s="276">
        <f t="shared" si="3"/>
        <v>60.021900000000002</v>
      </c>
      <c r="M16" s="232">
        <f t="shared" si="3"/>
        <v>13559.849249999999</v>
      </c>
      <c r="N16" s="233">
        <f>SUM(N7:N15)</f>
        <v>2907.4576271186438</v>
      </c>
      <c r="O16" s="101">
        <f>SUM(O7:O15)</f>
        <v>82.336534385593239</v>
      </c>
      <c r="P16" s="113">
        <f>SUM(P7:P15)</f>
        <v>16549.643411504239</v>
      </c>
      <c r="Q16" s="128">
        <f>SUM(Q7:Q15)</f>
        <v>0</v>
      </c>
      <c r="R16" s="314">
        <v>14</v>
      </c>
      <c r="S16" s="318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8" t="s">
        <v>64</v>
      </c>
      <c r="C19" s="359"/>
      <c r="D19" s="359"/>
      <c r="E19" s="359"/>
      <c r="F19" s="359"/>
      <c r="G19" s="359"/>
      <c r="H19" s="359"/>
      <c r="I19" s="359"/>
      <c r="J19" s="359"/>
      <c r="K19" s="359"/>
      <c r="L19" s="360"/>
      <c r="N19" s="367" t="s">
        <v>60</v>
      </c>
      <c r="O19" s="368"/>
      <c r="P19" s="139">
        <f>I16</f>
        <v>15349.789999999999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1"/>
      <c r="C20" s="362"/>
      <c r="D20" s="362"/>
      <c r="E20" s="362"/>
      <c r="F20" s="362"/>
      <c r="G20" s="362"/>
      <c r="H20" s="362"/>
      <c r="I20" s="362"/>
      <c r="J20" s="362"/>
      <c r="K20" s="362"/>
      <c r="L20" s="363"/>
      <c r="N20" s="369" t="s">
        <v>85</v>
      </c>
      <c r="O20" s="370"/>
      <c r="P20" s="140">
        <f>+J16</f>
        <v>1192.6762000000001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1"/>
      <c r="C21" s="362"/>
      <c r="D21" s="362"/>
      <c r="E21" s="362"/>
      <c r="F21" s="362"/>
      <c r="G21" s="362"/>
      <c r="H21" s="362"/>
      <c r="I21" s="362"/>
      <c r="J21" s="362"/>
      <c r="K21" s="362"/>
      <c r="L21" s="363"/>
      <c r="N21" s="369" t="s">
        <v>86</v>
      </c>
      <c r="O21" s="370"/>
      <c r="P21" s="140">
        <f>+K16+L16</f>
        <v>597.2645500000001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1"/>
      <c r="C22" s="362"/>
      <c r="D22" s="362"/>
      <c r="E22" s="362"/>
      <c r="F22" s="362"/>
      <c r="G22" s="362"/>
      <c r="H22" s="362"/>
      <c r="I22" s="362"/>
      <c r="J22" s="362"/>
      <c r="K22" s="362"/>
      <c r="L22" s="363"/>
      <c r="M22" s="131"/>
      <c r="N22" s="369" t="s">
        <v>87</v>
      </c>
      <c r="O22" s="370"/>
      <c r="P22" s="140">
        <f>P19-P20-P21</f>
        <v>13559.849249999999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1"/>
      <c r="C23" s="362"/>
      <c r="D23" s="362"/>
      <c r="E23" s="362"/>
      <c r="F23" s="362"/>
      <c r="G23" s="362"/>
      <c r="H23" s="362"/>
      <c r="I23" s="362"/>
      <c r="J23" s="362"/>
      <c r="K23" s="362"/>
      <c r="L23" s="363"/>
      <c r="M23" s="131"/>
      <c r="N23" s="136" t="s">
        <v>61</v>
      </c>
      <c r="O23" s="133">
        <v>0.18</v>
      </c>
      <c r="P23" s="140">
        <f>+N16</f>
        <v>2907.4576271186438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1"/>
      <c r="C24" s="362"/>
      <c r="D24" s="362"/>
      <c r="E24" s="362"/>
      <c r="F24" s="362"/>
      <c r="G24" s="362"/>
      <c r="H24" s="362"/>
      <c r="I24" s="362"/>
      <c r="J24" s="362"/>
      <c r="K24" s="362"/>
      <c r="L24" s="363"/>
      <c r="M24" s="131"/>
      <c r="N24" s="371" t="s">
        <v>76</v>
      </c>
      <c r="O24" s="372"/>
      <c r="P24" s="140">
        <f>P22+P23</f>
        <v>16467.306877118644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4"/>
      <c r="C25" s="365"/>
      <c r="D25" s="365"/>
      <c r="E25" s="365"/>
      <c r="F25" s="365"/>
      <c r="G25" s="365"/>
      <c r="H25" s="365"/>
      <c r="I25" s="365"/>
      <c r="J25" s="365"/>
      <c r="K25" s="365"/>
      <c r="L25" s="366"/>
      <c r="M25" s="99"/>
      <c r="N25" s="138" t="s">
        <v>83</v>
      </c>
      <c r="O25" s="137" t="e">
        <f>IF(#REF!="Filer",0.5%,2.5%)</f>
        <v>#REF!</v>
      </c>
      <c r="P25" s="140">
        <f>+O16</f>
        <v>82.336534385593239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3" t="s">
        <v>88</v>
      </c>
      <c r="O26" s="374"/>
      <c r="P26" s="297">
        <f>+P24+P25</f>
        <v>16549.643411504239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5"/>
      <c r="D27" s="375"/>
      <c r="E27" s="375"/>
      <c r="F27" s="375"/>
      <c r="G27" s="375"/>
      <c r="H27" s="375"/>
      <c r="I27" s="376"/>
      <c r="J27" s="377"/>
      <c r="K27" s="378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16549.643411504236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6" workbookViewId="0">
      <selection activeCell="A23" sqref="A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Summary!H3</f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7.2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7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311">
        <f t="shared" si="5"/>
        <v>470.43173776271186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7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311">
        <f t="shared" si="5"/>
        <v>470.43173776271186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" si="8">SUM(G16:G24)</f>
        <v>0</v>
      </c>
      <c r="H25" s="113">
        <f t="shared" ref="H25" si="9">SUM(H16:H24)</f>
        <v>24</v>
      </c>
      <c r="I25" s="114">
        <f t="shared" ref="I25:M25" si="10">SUM(I16:I24)</f>
        <v>1342.44</v>
      </c>
      <c r="J25" s="274">
        <f>SUM(J16:J24)</f>
        <v>93.272400000000005</v>
      </c>
      <c r="K25" s="275">
        <f t="shared" si="10"/>
        <v>46.985400000000013</v>
      </c>
      <c r="L25" s="276">
        <f t="shared" si="10"/>
        <v>24.008760000000002</v>
      </c>
      <c r="M25" s="232">
        <f t="shared" si="10"/>
        <v>1178.17344</v>
      </c>
      <c r="N25" s="233">
        <f>SUM(N16:N24)</f>
        <v>256.27118644067792</v>
      </c>
      <c r="O25" s="101">
        <f>SUM(O16:O24)</f>
        <v>7.1722231322033903</v>
      </c>
      <c r="P25" s="113">
        <f>SUM(P16:P24)</f>
        <v>1441.6168495728814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1342.44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93.272400000000005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70.994160000000022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1178.17344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256.27118644067792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1434.4446264406779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7.1722231322033894</v>
      </c>
    </row>
    <row r="35" spans="2:16" ht="15.75" customHeight="1" thickBot="1" x14ac:dyDescent="0.4">
      <c r="N35" s="373" t="s">
        <v>88</v>
      </c>
      <c r="O35" s="374"/>
      <c r="P35" s="297">
        <f>+P33+P34</f>
        <v>1441.6168495728814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</v>
      </c>
      <c r="I17" s="236">
        <f t="shared" ref="I17:I23" si="0">(G17*D17)*F17+H17*F17</f>
        <v>209.85</v>
      </c>
      <c r="J17" s="272">
        <f t="shared" ref="J17:L24" si="1">$I17*S17</f>
        <v>16.788</v>
      </c>
      <c r="K17" s="128">
        <f>$I17*T17</f>
        <v>7.3447500000000003</v>
      </c>
      <c r="L17" s="119">
        <f>$I17*U17</f>
        <v>0</v>
      </c>
      <c r="M17" s="230">
        <f t="shared" ref="M17:M24" si="2">I17-SUM(J17:L17)</f>
        <v>185.71724999999998</v>
      </c>
      <c r="N17" s="277">
        <f t="shared" ref="N17:N24" si="3">+(G17*D17+H17)*V17</f>
        <v>39.661016949152526</v>
      </c>
      <c r="O17" s="239">
        <f t="shared" ref="O17:O24" si="4">(N17+M17)*$O$15</f>
        <v>1.1268913347457625</v>
      </c>
      <c r="P17" s="311">
        <f t="shared" ref="P17:P24" si="5">M17+N17+O17</f>
        <v>226.50515828389825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</v>
      </c>
      <c r="I18" s="236">
        <f t="shared" si="0"/>
        <v>209.85</v>
      </c>
      <c r="J18" s="272">
        <f t="shared" si="1"/>
        <v>16.788</v>
      </c>
      <c r="K18" s="128">
        <f t="shared" si="1"/>
        <v>7.3447500000000003</v>
      </c>
      <c r="L18" s="119">
        <f t="shared" si="1"/>
        <v>0</v>
      </c>
      <c r="M18" s="230">
        <f t="shared" si="2"/>
        <v>185.71724999999998</v>
      </c>
      <c r="N18" s="277">
        <f t="shared" si="3"/>
        <v>39.661016949152526</v>
      </c>
      <c r="O18" s="239">
        <f t="shared" si="4"/>
        <v>1.1268913347457625</v>
      </c>
      <c r="P18" s="311">
        <f t="shared" si="5"/>
        <v>226.50515828389825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</v>
      </c>
      <c r="I20" s="236">
        <f t="shared" si="0"/>
        <v>290.56</v>
      </c>
      <c r="J20" s="272">
        <f t="shared" si="1"/>
        <v>23.244800000000001</v>
      </c>
      <c r="K20" s="128">
        <f t="shared" si="1"/>
        <v>10.169600000000001</v>
      </c>
      <c r="L20" s="119">
        <f t="shared" si="1"/>
        <v>0</v>
      </c>
      <c r="M20" s="230">
        <f t="shared" si="2"/>
        <v>257.1456</v>
      </c>
      <c r="N20" s="277">
        <f t="shared" si="3"/>
        <v>54.915254237288138</v>
      </c>
      <c r="O20" s="239">
        <f t="shared" si="4"/>
        <v>1.5603042711864408</v>
      </c>
      <c r="P20" s="311">
        <f t="shared" si="5"/>
        <v>313.62115850847459</v>
      </c>
      <c r="Q20" s="156"/>
      <c r="R20">
        <f>P20/21</f>
        <v>14.934340881355933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8</v>
      </c>
      <c r="I22" s="236">
        <f t="shared" si="0"/>
        <v>313.84000000000003</v>
      </c>
      <c r="J22" s="272">
        <f t="shared" si="1"/>
        <v>15.692000000000002</v>
      </c>
      <c r="K22" s="128">
        <f t="shared" si="1"/>
        <v>10.984400000000003</v>
      </c>
      <c r="L22" s="119">
        <f t="shared" si="1"/>
        <v>16.005839999999999</v>
      </c>
      <c r="M22" s="230">
        <f t="shared" si="2"/>
        <v>271.15776000000005</v>
      </c>
      <c r="N22" s="277">
        <f t="shared" si="3"/>
        <v>61.016949152542338</v>
      </c>
      <c r="O22" s="239">
        <f t="shared" si="4"/>
        <v>1.660873545762712</v>
      </c>
      <c r="P22" s="311">
        <f t="shared" si="5"/>
        <v>333.83558269830507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20</v>
      </c>
      <c r="I25" s="114">
        <f t="shared" si="7"/>
        <v>1024.0999999999999</v>
      </c>
      <c r="J25" s="274">
        <f>SUM(J16:J24)</f>
        <v>72.512800000000013</v>
      </c>
      <c r="K25" s="275">
        <f t="shared" si="7"/>
        <v>35.843500000000006</v>
      </c>
      <c r="L25" s="276">
        <f t="shared" si="7"/>
        <v>16.005839999999999</v>
      </c>
      <c r="M25" s="232">
        <f t="shared" si="7"/>
        <v>899.73785999999996</v>
      </c>
      <c r="N25" s="233">
        <f>SUM(N16:N24)</f>
        <v>195.25423728813553</v>
      </c>
      <c r="O25" s="101">
        <f>SUM(O16:O24)</f>
        <v>5.4749604864406773</v>
      </c>
      <c r="P25" s="113">
        <f>SUM(P16:P24)</f>
        <v>1100.467057774576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1024.0999999999999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72.512800000000013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51.849340000000005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899.73785999999996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195.25423728813553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1094.9920972881355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5.4749604864406773</v>
      </c>
    </row>
    <row r="35" spans="2:16" ht="15.75" customHeight="1" thickBot="1" x14ac:dyDescent="0.4">
      <c r="N35" s="373" t="s">
        <v>88</v>
      </c>
      <c r="O35" s="374"/>
      <c r="P35" s="297">
        <f>+P33+P34</f>
        <v>1100.4670577745762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8.7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310">
        <f>M16+N16+O16</f>
        <v>566.26289570974575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311">
        <f t="shared" si="5"/>
        <v>566.26289570974575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80</v>
      </c>
      <c r="I25" s="114">
        <f t="shared" si="7"/>
        <v>5073.55</v>
      </c>
      <c r="J25" s="274">
        <f>SUM(J16:J24)</f>
        <v>394.11500000000007</v>
      </c>
      <c r="K25" s="275">
        <f t="shared" si="7"/>
        <v>177.57425000000003</v>
      </c>
      <c r="L25" s="276">
        <f t="shared" si="7"/>
        <v>20.007300000000001</v>
      </c>
      <c r="M25" s="232">
        <f t="shared" si="7"/>
        <v>4481.8534500000005</v>
      </c>
      <c r="N25" s="233">
        <f>SUM(N16:N24)</f>
        <v>961.01694915254234</v>
      </c>
      <c r="O25" s="101">
        <f>SUM(O16:O24)</f>
        <v>27.214351995762712</v>
      </c>
      <c r="P25" s="113">
        <f>SUM(P16:P24)</f>
        <v>5470.0847511483062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5073.55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394.11500000000007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197.58155000000005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4481.8534500000005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961.01694915254234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5442.8703991525426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27.214351995762712</v>
      </c>
    </row>
    <row r="35" spans="2:16" ht="15.75" customHeight="1" thickBot="1" x14ac:dyDescent="0.4">
      <c r="N35" s="373" t="s">
        <v>88</v>
      </c>
      <c r="O35" s="374"/>
      <c r="P35" s="297">
        <f>+P33+P34</f>
        <v>5470.0847511483053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310">
        <f>M16+N16+O16</f>
        <v>849.39434356461845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15</v>
      </c>
      <c r="I17" s="236">
        <f t="shared" ref="I17:I23" si="0">(G17*D17)*F17+H17*F17</f>
        <v>786.9375</v>
      </c>
      <c r="J17" s="272">
        <f t="shared" ref="J17:L24" si="1">$I17*S17</f>
        <v>62.954999999999998</v>
      </c>
      <c r="K17" s="128">
        <f>$I17*T17</f>
        <v>27.542812500000004</v>
      </c>
      <c r="L17" s="119">
        <f>$I17*U17</f>
        <v>0</v>
      </c>
      <c r="M17" s="230">
        <f t="shared" ref="M17:M24" si="2">I17-SUM(J17:L17)</f>
        <v>696.43968749999999</v>
      </c>
      <c r="N17" s="277">
        <f t="shared" ref="N17:N24" si="3">+(G17*D17+H17)*V17</f>
        <v>148.72881355932196</v>
      </c>
      <c r="O17" s="239">
        <f t="shared" ref="O17:O24" si="4">(N17+M17)*$O$15</f>
        <v>4.22584250529661</v>
      </c>
      <c r="P17" s="311">
        <f t="shared" ref="P17:P24" si="5">M17+N17+O17</f>
        <v>849.39434356461845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311">
        <f t="shared" si="5"/>
        <v>566.26289570974575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15</v>
      </c>
      <c r="I20" s="236">
        <f t="shared" si="0"/>
        <v>1089.5999999999999</v>
      </c>
      <c r="J20" s="272">
        <f t="shared" si="1"/>
        <v>87.167999999999992</v>
      </c>
      <c r="K20" s="128">
        <f t="shared" si="1"/>
        <v>38.136000000000003</v>
      </c>
      <c r="L20" s="119">
        <f t="shared" si="1"/>
        <v>0</v>
      </c>
      <c r="M20" s="230">
        <f t="shared" si="2"/>
        <v>964.29599999999994</v>
      </c>
      <c r="N20" s="277">
        <f t="shared" si="3"/>
        <v>205.93220338983053</v>
      </c>
      <c r="O20" s="239">
        <f t="shared" si="4"/>
        <v>5.8511410169491525</v>
      </c>
      <c r="P20" s="311">
        <f t="shared" si="5"/>
        <v>1176.0793444067797</v>
      </c>
      <c r="Q20" s="156"/>
      <c r="R20">
        <f>P20/21</f>
        <v>56.003778305084744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80</v>
      </c>
      <c r="I25" s="114">
        <f t="shared" si="7"/>
        <v>5004.0999999999995</v>
      </c>
      <c r="J25" s="274">
        <f>SUM(J16:J24)</f>
        <v>400.32800000000003</v>
      </c>
      <c r="K25" s="275">
        <f t="shared" si="7"/>
        <v>175.14350000000002</v>
      </c>
      <c r="L25" s="276">
        <f t="shared" si="7"/>
        <v>0</v>
      </c>
      <c r="M25" s="232">
        <f t="shared" si="7"/>
        <v>4428.6284999999998</v>
      </c>
      <c r="N25" s="233">
        <f>SUM(N16:N24)</f>
        <v>945.76271186440658</v>
      </c>
      <c r="O25" s="101">
        <f>SUM(O16:O24)</f>
        <v>26.871956059322034</v>
      </c>
      <c r="P25" s="113">
        <f>SUM(P16:P24)</f>
        <v>5401.2631679237275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5004.0999999999995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400.32800000000003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175.14350000000002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4428.6284999999989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5374.3912118644057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26.871956059322031</v>
      </c>
    </row>
    <row r="35" spans="2:16" ht="15.75" customHeight="1" thickBot="1" x14ac:dyDescent="0.4">
      <c r="N35" s="373" t="s">
        <v>88</v>
      </c>
      <c r="O35" s="374"/>
      <c r="P35" s="297">
        <f>+P33+P34</f>
        <v>5401.2631679237275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25</v>
      </c>
      <c r="I21" s="236">
        <f t="shared" si="0"/>
        <v>1816</v>
      </c>
      <c r="J21" s="272">
        <f t="shared" si="1"/>
        <v>145.28</v>
      </c>
      <c r="K21" s="128">
        <f t="shared" si="1"/>
        <v>63.560000000000009</v>
      </c>
      <c r="L21" s="119">
        <f t="shared" si="1"/>
        <v>0</v>
      </c>
      <c r="M21" s="230">
        <f t="shared" si="2"/>
        <v>1607.16</v>
      </c>
      <c r="N21" s="277">
        <f t="shared" si="3"/>
        <v>343.22033898305085</v>
      </c>
      <c r="O21" s="239">
        <f t="shared" si="4"/>
        <v>9.7519016949152544</v>
      </c>
      <c r="P21" s="311">
        <f t="shared" si="5"/>
        <v>1960.1322406779661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2905.6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232.44799999999998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101.69600000000001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2571.4560000000001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3120.6085423728814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3" t="s">
        <v>88</v>
      </c>
      <c r="O35" s="374"/>
      <c r="P35" s="297">
        <f>+P33+P34</f>
        <v>3136.2115850847458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abSelected="1" topLeftCell="A2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'1'!N4:P5</f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2" t="s">
        <v>91</v>
      </c>
      <c r="B2" s="392"/>
      <c r="C2" s="392"/>
    </row>
    <row r="3" spans="1:18 16382:16383" ht="15" customHeight="1" x14ac:dyDescent="0.35">
      <c r="A3" s="393" t="s">
        <v>92</v>
      </c>
      <c r="B3" s="393"/>
      <c r="C3" s="393"/>
      <c r="F3" s="85"/>
      <c r="G3" s="1"/>
      <c r="J3" s="394" t="s">
        <v>43</v>
      </c>
      <c r="K3" s="394"/>
      <c r="L3" s="394"/>
      <c r="M3" s="393"/>
      <c r="N3" s="393"/>
      <c r="O3" s="39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3" t="s">
        <v>65</v>
      </c>
      <c r="B4" s="393"/>
      <c r="C4" s="393"/>
      <c r="F4" s="85"/>
      <c r="G4" s="1"/>
      <c r="J4" s="394" t="s">
        <v>44</v>
      </c>
      <c r="K4" s="394"/>
      <c r="L4" s="394"/>
      <c r="M4" s="397">
        <f ca="1">TODAY()+1</f>
        <v>46283</v>
      </c>
      <c r="N4" s="397"/>
      <c r="O4" s="39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94" t="s">
        <v>45</v>
      </c>
      <c r="K5" s="394"/>
      <c r="L5" s="394"/>
      <c r="M5" s="397">
        <f ca="1">M4-1</f>
        <v>46282</v>
      </c>
      <c r="N5" s="393"/>
      <c r="O5" s="393"/>
      <c r="Q5" s="85"/>
      <c r="R5" s="1"/>
    </row>
    <row r="6" spans="1:18 16382:16383" ht="15" customHeight="1" x14ac:dyDescent="0.35">
      <c r="A6" s="394" t="s">
        <v>94</v>
      </c>
      <c r="B6" s="394"/>
      <c r="C6" s="394"/>
      <c r="F6" s="85"/>
      <c r="G6" s="86"/>
      <c r="J6" s="394" t="s">
        <v>69</v>
      </c>
      <c r="K6" s="394"/>
      <c r="L6" s="394"/>
      <c r="M6" s="396" t="s">
        <v>62</v>
      </c>
      <c r="N6" s="396"/>
      <c r="O6" s="39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4" t="s">
        <v>73</v>
      </c>
      <c r="B7" s="394"/>
      <c r="C7" s="394"/>
      <c r="F7" s="85"/>
      <c r="G7" s="86"/>
      <c r="J7" s="394" t="s">
        <v>66</v>
      </c>
      <c r="K7" s="394"/>
      <c r="L7" s="394"/>
      <c r="M7" s="396" t="s">
        <v>70</v>
      </c>
      <c r="N7" s="396"/>
      <c r="O7" s="39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0" t="s">
        <v>95</v>
      </c>
      <c r="B8" s="400"/>
      <c r="C8" s="400"/>
      <c r="F8" s="85"/>
      <c r="G8" s="86"/>
      <c r="J8" s="394" t="s">
        <v>67</v>
      </c>
      <c r="K8" s="394"/>
      <c r="L8" s="394"/>
      <c r="M8" s="396" t="s">
        <v>71</v>
      </c>
      <c r="N8" s="396"/>
      <c r="O8" s="396"/>
      <c r="Q8" s="85"/>
      <c r="R8" s="86"/>
    </row>
    <row r="9" spans="1:18 16382:16383" x14ac:dyDescent="0.35">
      <c r="A9" s="400" t="s">
        <v>96</v>
      </c>
      <c r="B9" s="400"/>
      <c r="C9" s="400"/>
      <c r="F9" s="85"/>
      <c r="G9" s="86"/>
      <c r="J9" s="394" t="s">
        <v>68</v>
      </c>
      <c r="K9" s="394"/>
      <c r="L9" s="394"/>
      <c r="M9" s="396" t="s">
        <v>104</v>
      </c>
      <c r="N9" s="396"/>
      <c r="O9" s="396"/>
      <c r="Q9" s="85"/>
      <c r="R9" s="86"/>
      <c r="XFC9" t="s">
        <v>49</v>
      </c>
    </row>
    <row r="10" spans="1:18 16382:16383" x14ac:dyDescent="0.35">
      <c r="A10" s="400" t="s">
        <v>97</v>
      </c>
      <c r="B10" s="400"/>
      <c r="C10" s="400"/>
      <c r="F10" s="85"/>
      <c r="G10" s="1"/>
      <c r="J10" s="394" t="s">
        <v>46</v>
      </c>
      <c r="K10" s="394"/>
      <c r="L10" s="394"/>
      <c r="M10" s="393" t="s">
        <v>47</v>
      </c>
      <c r="N10" s="393"/>
      <c r="O10" s="39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4" t="s">
        <v>48</v>
      </c>
      <c r="K11" s="394"/>
      <c r="L11" s="394"/>
      <c r="M11" s="393" t="s">
        <v>49</v>
      </c>
      <c r="N11" s="393"/>
      <c r="O11" s="39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4" t="s">
        <v>50</v>
      </c>
      <c r="K12" s="394"/>
      <c r="L12" s="394"/>
      <c r="M12" s="393"/>
      <c r="N12" s="393"/>
      <c r="O12" s="39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4" t="s">
        <v>51</v>
      </c>
      <c r="B14" s="345"/>
      <c r="C14" s="348" t="s">
        <v>90</v>
      </c>
      <c r="D14" s="88" t="s">
        <v>52</v>
      </c>
      <c r="E14" s="95" t="s">
        <v>74</v>
      </c>
      <c r="F14" s="115" t="s">
        <v>53</v>
      </c>
      <c r="G14" s="391" t="s">
        <v>54</v>
      </c>
      <c r="H14" s="353"/>
      <c r="I14" s="354" t="s">
        <v>77</v>
      </c>
      <c r="J14" s="352" t="s">
        <v>55</v>
      </c>
      <c r="K14" s="353"/>
      <c r="L14" s="35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6"/>
      <c r="B15" s="347"/>
      <c r="C15" s="34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5"/>
      <c r="J15" s="144" t="s">
        <v>39</v>
      </c>
      <c r="K15" s="145" t="s">
        <v>59</v>
      </c>
      <c r="L15" s="35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60"/>
      <c r="M28" s="367" t="s">
        <v>60</v>
      </c>
      <c r="N28" s="368"/>
      <c r="O28" s="139">
        <f>I25</f>
        <v>1452.8</v>
      </c>
    </row>
    <row r="29" spans="1:18 16383:16383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3"/>
      <c r="M29" s="369" t="s">
        <v>85</v>
      </c>
      <c r="N29" s="370"/>
      <c r="O29" s="140">
        <f>K25</f>
        <v>0</v>
      </c>
    </row>
    <row r="30" spans="1:18 16383:16383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3"/>
      <c r="M30" s="369" t="s">
        <v>86</v>
      </c>
      <c r="N30" s="370"/>
      <c r="O30" s="140">
        <f>J25</f>
        <v>50.848000000000006</v>
      </c>
    </row>
    <row r="31" spans="1:18 16383:16383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3"/>
      <c r="L31" s="131"/>
      <c r="M31" s="369" t="s">
        <v>87</v>
      </c>
      <c r="N31" s="370"/>
      <c r="O31" s="140">
        <f>O28-O29-O30</f>
        <v>1401.952</v>
      </c>
    </row>
    <row r="32" spans="1:18 16383:16383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3"/>
      <c r="L33" s="131"/>
      <c r="M33" s="371" t="s">
        <v>76</v>
      </c>
      <c r="N33" s="372"/>
      <c r="O33" s="140">
        <f>O31+O32</f>
        <v>1710.3814400000001</v>
      </c>
    </row>
    <row r="34" spans="2:15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3" t="s">
        <v>88</v>
      </c>
      <c r="N35" s="374"/>
      <c r="O35" s="141">
        <f>O28-O29+O31+O34</f>
        <v>2897.511536</v>
      </c>
    </row>
    <row r="36" spans="2:15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4" t="s">
        <v>439</v>
      </c>
      <c r="E1" s="336" t="s">
        <v>58</v>
      </c>
      <c r="F1" s="336"/>
      <c r="G1" s="337" t="s">
        <v>440</v>
      </c>
      <c r="H1" s="337"/>
      <c r="I1" s="405" t="s">
        <v>441</v>
      </c>
      <c r="J1" s="405"/>
      <c r="K1" s="405" t="s">
        <v>442</v>
      </c>
      <c r="L1" s="405"/>
      <c r="M1" s="401" t="s">
        <v>484</v>
      </c>
      <c r="N1" s="402"/>
      <c r="O1" s="403"/>
    </row>
    <row r="2" spans="3:24" ht="29" x14ac:dyDescent="0.35">
      <c r="C2" s="336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8" t="s">
        <v>58</v>
      </c>
      <c r="F7" s="408"/>
      <c r="G7" s="409" t="s">
        <v>440</v>
      </c>
      <c r="H7" s="337"/>
      <c r="I7" s="338" t="s">
        <v>441</v>
      </c>
      <c r="J7" s="339"/>
      <c r="K7" s="338" t="s">
        <v>442</v>
      </c>
      <c r="L7" s="339"/>
      <c r="M7" s="401" t="s">
        <v>484</v>
      </c>
      <c r="N7" s="402"/>
      <c r="O7" s="403"/>
      <c r="P7" s="256" t="s">
        <v>475</v>
      </c>
      <c r="Q7" s="242" t="s">
        <v>473</v>
      </c>
      <c r="R7" s="404" t="s">
        <v>475</v>
      </c>
      <c r="S7" s="404" t="s">
        <v>485</v>
      </c>
      <c r="T7" s="410" t="s">
        <v>486</v>
      </c>
      <c r="U7" s="410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9"/>
      <c r="U8" s="40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1" t="s">
        <v>484</v>
      </c>
      <c r="N13" s="402"/>
      <c r="O13" s="403"/>
      <c r="P13" s="256" t="s">
        <v>475</v>
      </c>
      <c r="Q13" s="242" t="s">
        <v>473</v>
      </c>
      <c r="R13" s="404" t="s">
        <v>475</v>
      </c>
      <c r="S13" s="404" t="s">
        <v>485</v>
      </c>
      <c r="T13" s="410" t="s">
        <v>486</v>
      </c>
      <c r="U13" s="410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9"/>
      <c r="U14" s="40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1" t="s">
        <v>484</v>
      </c>
      <c r="N20" s="402"/>
      <c r="O20" s="403"/>
      <c r="P20" s="256" t="s">
        <v>475</v>
      </c>
      <c r="Q20" s="242" t="s">
        <v>473</v>
      </c>
      <c r="R20" s="404" t="s">
        <v>475</v>
      </c>
      <c r="S20" s="404" t="s">
        <v>485</v>
      </c>
      <c r="T20" s="410" t="s">
        <v>486</v>
      </c>
      <c r="U20" s="410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9"/>
      <c r="U21" s="40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1" t="s">
        <v>484</v>
      </c>
      <c r="N27" s="402"/>
      <c r="O27" s="403"/>
      <c r="P27" s="256" t="s">
        <v>475</v>
      </c>
      <c r="Q27" s="242" t="s">
        <v>473</v>
      </c>
      <c r="R27" s="404" t="s">
        <v>475</v>
      </c>
      <c r="S27" s="404" t="s">
        <v>485</v>
      </c>
      <c r="T27" s="410" t="s">
        <v>486</v>
      </c>
      <c r="U27" s="410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9"/>
      <c r="U28" s="40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4" t="s">
        <v>439</v>
      </c>
      <c r="D1" s="336" t="s">
        <v>58</v>
      </c>
      <c r="E1" s="336"/>
      <c r="F1" s="337" t="s">
        <v>440</v>
      </c>
      <c r="G1" s="337"/>
      <c r="H1" s="405" t="s">
        <v>441</v>
      </c>
      <c r="I1" s="405"/>
      <c r="J1" s="405" t="s">
        <v>442</v>
      </c>
      <c r="K1" s="405"/>
      <c r="L1" s="401" t="s">
        <v>484</v>
      </c>
      <c r="M1" s="402"/>
      <c r="N1" s="403"/>
    </row>
    <row r="2" spans="2:17" ht="29" x14ac:dyDescent="0.35">
      <c r="B2" s="336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2026-09-17T09:41:48Z</dcterms:modified>
</cp:coreProperties>
</file>