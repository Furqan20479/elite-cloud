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9BC4EAC-E113-4772-B825-68891B460528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2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44" l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<sst xmlns="http://schemas.openxmlformats.org/spreadsheetml/2006/main" count="3948" uniqueCount="521">
  <si>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</si>
  <si>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</si>
  <si>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</si>
  <si>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</si>
  <si>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</si>
  <si>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</si>
  <si>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</si>
  <si>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</si>
  <si>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</si>
  <si>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</si>
  <si>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</si>
  <si>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</si>
  <si>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</si>
  <si>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</si>
  <si>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</si>
  <si>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</si>
  <si>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</si>
  <si>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</si>
  <si>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</si>
  <si>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</si>
  <si>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</si>
  <si>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</si>
  <si>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</si>
  <si>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</si>
  <si>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</si>
  <si>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</si>
  <si>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</si>
  <si>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</si>
  <si>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</si>
  <si>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</si>
  <si>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</si>
  <si>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</si>
  <si>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</si>
  <si>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</si>
  <si>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</si>
  <si>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</si>
  <si>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</si>
  <si>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</si>
  <si>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</si>
  <si>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</si>
  <si>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</si>
  <si>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</si>
  <si>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</si>
  <si>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</si>
  <si>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</si>
  <si>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</si>
  <si>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</si>
  <si>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</si>
  <si>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</si>
  <si>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</si>
  <si>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</si>
  <si>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</si>
  <si>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</si>
  <si>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</si>
  <si>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</si>
  <si>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</si>
  <si>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</si>
  <si>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</si>
  <si>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</si>
  <si>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</si>
  <si>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</si>
  <si>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</si>
  <si>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</si>
  <si>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</si>
  <si>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</si>
  <si>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</si>
  <si>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</si>
  <si>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</si>
  <si>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</si>
  <si>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</si>
  <si>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</si>
  <si>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</si>
  <si>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</si>
  <si>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</si>
  <si>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</si>
  <si>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</si>
  <si>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</si>
  <si>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</si>
  <si>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</si>
  <si>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</si>
  <si>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</si>
  <si>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</si>
  <si>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</si>
  <si>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</si>
  <si>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</si>
  <si>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</si>
  <si>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</si>
  <si>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</si>
  <si>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</si>
  <si>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</si>
  <si>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</si>
  <si>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</si>
  <si>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</si>
  <si>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</si>
  <si>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</si>
  <si>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</si>
  <si>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</si>
  <si>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</si>
  <si>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</si>
  <si>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</si>
  <si>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</si>
  <si>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</si>
  <si>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</si>
  <si>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</si>
  <si>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</si>
  <si>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</si>
  <si>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</si>
  <si>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</si>
  <si>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</si>
  <si>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</si>
  <si>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</si>
  <si>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</si>
  <si>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</si>
  <si>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</si>
  <si>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</si>
  <si>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</si>
  <si>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</si>
  <si>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</si>
  <si>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</si>
  <si>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</si>
  <si>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</si>
  <si>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</si>
  <si>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</si>
  <si>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</si>
  <si>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</si>
  <si>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</si>
  <si>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</si>
  <si>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</si>
  <si>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</si>
  <si>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</si>
  <si>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</si>
  <si>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</si>
  <si>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</si>
  <si>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</si>
  <si>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</si>
  <si>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</si>
  <si>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</si>
  <si>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</si>
  <si>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</si>
  <si>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</si>
  <si>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</si>
  <si>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</si>
  <si>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</si>
  <si>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</si>
  <si>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</si>
  <si>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</si>
  <si>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</si>
  <si>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</si>
  <si>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</si>
  <si>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</si>
  <si>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</si>
  <si>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</si>
  <si>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</si>
  <si>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</si>
  <si>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</si>
  <si>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</si>
  <si>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</si>
  <si>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</si>
  <si>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</si>
  <si>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</si>
  <si>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</si>
  <si>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</si>
  <si>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</si>
  <si>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</si>
  <si>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</si>
  <si>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</si>
  <si>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</si>
  <si>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</si>
  <si>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</si>
  <si>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</si>
  <si>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</si>
  <si>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</si>
  <si>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</si>
  <si>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</si>
  <si>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</si>
  <si>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</si>
  <si>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</si>
  <si>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</si>
  <si>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</si>
  <si>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</si>
  <si>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</si>
  <si>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</si>
  <si>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</si>
  <si>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</si>
  <si>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</si>
  <si>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</si>
  <si>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</si>
  <si>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</si>
  <si>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</si>
  <si>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</si>
  <si>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</si>
  <si>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</si>
  <si>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</si>
  <si>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</si>
  <si>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</si>
  <si>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</si>
  <si>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</si>
  <si>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</si>
  <si>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</si>
  <si>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</si>
  <si>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</si>
  <si>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</si>
  <si>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</si>
  <si>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</si>
  <si>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</si>
  <si>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</si>
  <si>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</si>
  <si>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</si>
  <si>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</si>
  <si>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</si>
  <si>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</si>
  <si>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</si>
  <si>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</si>
  <si>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</si>
  <si>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</si>
  <si>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</si>
  <si>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</si>
  <si>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</si>
  <si>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</si>
  <si>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</si>
  <si>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</si>
  <si>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</si>
  <si>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</si>
  <si>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</si>
  <si>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</si>
  <si>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</si>
  <si>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</si>
  <si>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</si>
  <si>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</si>
  <si>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</si>
  <si>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</si>
  <si>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</si>
  <si>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</si>
  <si>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</si>
  <si>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</si>
  <si>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</si>
  <si>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</si>
  <si>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</si>
  <si>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</si>
  <si>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</si>
  <si>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</si>
  <si>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</si>
  <si>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</si>
  <si>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</si>
  <si>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</si>
  <si>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</si>
  <si>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</si>
  <si>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</si>
  <si>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</si>
  <si>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</si>
  <si>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</si>
  <si>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</si>
  <si>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</si>
  <si>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</si>
  <si>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</si>
  <si>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</si>
  <si>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</si>
  <si>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</si>
  <si>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</si>
  <si>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</si>
  <si>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</si>
  <si>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</si>
  <si>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</si>
  <si>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</si>
  <si>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</si>
  <si>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</si>
  <si>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</si>
  <si>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</si>
  <si>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</si>
  <si>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</si>
  <si>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</si>
  <si>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</si>
  <si>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</si>
  <si>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</si>
  <si>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</si>
  <si>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</si>
  <si>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</si>
  <si>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</si>
  <si>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</si>
  <si>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</si>
  <si>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</si>
  <si>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</si>
  <si>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</si>
  <si>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</si>
  <si>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</si>
  <si>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</si>
  <si>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</si>
  <si>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</si>
  <si>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</si>
  <si>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</si>
  <si>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</si>
  <si>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</si>
  <si>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</si>
  <si>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</si>
  <si>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</si>
  <si>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</si>
  <si>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</si>
  <si>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</si>
  <si>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</si>
  <si>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</si>
  <si>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</si>
  <si>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</si>
  <si>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</si>
  <si>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</si>
  <si>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</si>
  <si>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</si>
  <si>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</si>
  <si>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</si>
  <si>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</si>
  <si>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</si>
  <si>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</si>
  <si>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</si>
  <si>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</si>
  <si>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</si>
  <si>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</si>
  <si>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</si>
  <si>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</si>
  <si>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</si>
  <si>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</si>
  <si>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</si>
  <si>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</si>
  <si>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</si>
  <si>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</si>
  <si>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</si>
  <si>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</si>
  <si>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</si>
  <si>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</si>
  <si>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</si>
  <si>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</si>
  <si>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</si>
  <si>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</si>
  <si>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</si>
  <si>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</si>
  <si>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</si>
  <si>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</si>
  <si>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</si>
  <si>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</si>
  <si>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</si>
  <si>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</si>
  <si>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</si>
  <si>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</si>
  <si>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</si>
  <si>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</si>
  <si>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</si>
  <si>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</si>
  <si>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</si>
  <si>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</si>
  <si>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</si>
  <si>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</si>
  <si>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</si>
  <si>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</si>
  <si>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</si>
  <si>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</si>
  <si>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</si>
  <si>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</si>
  <si>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</si>
  <si>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</si>
  <si>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</si>
  <si>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</si>
  <si>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</si>
  <si>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</si>
  <si>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</si>
  <si>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</si>
  <si>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</si>
  <si>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</si>
  <si>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</si>
  <si>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</si>
  <si>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</si>
  <si>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</si>
  <si>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</si>
  <si>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</si>
  <si>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</si>
  <si>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</si>
  <si>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</si>
  <si>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</si>
  <si>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</si>
  <si>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</si>
  <si>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</si>
  <si>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</si>
  <si>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</si>
  <si>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</si>
  <si>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</si>
  <si>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</si>
  <si>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</si>
  <si>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</si>
  <si>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</si>
  <si>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</si>
  <si>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</si>
  <si>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</si>
  <si>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</si>
  <si>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</si>
  <si>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</si>
  <si>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</si>
  <si>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</si>
  <si>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</si>
  <si>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</si>
  <si>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</si>
  <si>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</si>
  <si>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</si>
  <si>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</si>
  <si>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</si>
  <si>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</si>
  <si>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</si>
  <si>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</si>
  <si>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</si>
  <si>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</si>
  <si>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</si>
  <si>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</si>
  <si>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</si>
  <si>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</si>
  <si>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</si>
  <si>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</si>
  <si>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</si>
  <si>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</si>
  <si>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</si>
  <si>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</si>
  <si>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</si>
  <si>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</si>
  <si>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</si>
  <si>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</si>
  <si>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</si>
  <si>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</si>
  <si>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</si>
  <si>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</si>
  <si>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</si>
  <si>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</si>
  <si>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</si>
  <si>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</si>
  <si>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</si>
  <si>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</si>
  <si>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</si>
  <si>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</si>
  <si>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</si>
  <si>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</si>
  <si>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</si>
  <si>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</si>
  <si>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</si>
  <si>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</si>
  <si>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</si>
  <si>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</si>
  <si>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</si>
  <si>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</si>
  <si>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</si>
  <si>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</si>
  <si>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</si>
  <si>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</si>
  <si>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</si>
  <si>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</si>
  <si>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</si>
  <si>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</si>
  <si>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</si>
  <si>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</si>
  <si>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</si>
  <si>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</si>
  <si>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</si>
  <si>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</si>
  <si>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</si>
  <si>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</si>
  <si>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</si>
  <si>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</si>
  <si>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</si>
  <si>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</si>
  <si>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</si>
  <si>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</si>
  <si>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</si>
  <si>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</si>
  <si>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</si>
  <si>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</si>
  <si>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</si>
  <si>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</si>
  <si>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</si>
  <si>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</si>
  <si>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</si>
  <si>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</si>
  <si>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</si>
  <si>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</si>
  <si>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</si>
  <si>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</si>
  <si>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</si>
  <si>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</si>
  <si>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</si>
  <si>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</si>
  <si>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</si>
  <si>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</si>
  <si>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</si>
  <si>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</si>
  <si>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</si>
  <si>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</si>
  <si>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</si>
  <si>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</si>
  <si>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</si>
  <si>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</si>
  <si>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</si>
  <si>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</si>
  <si>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</si>
  <si>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</si>
  <si>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</si>
  <si>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</si>
  <si>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</si>
  <si>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</si>
  <si>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</si>
  <si>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</si>
  <si>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</si>
  <si>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</si>
  <si>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</si>
  <si>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</si>
  <si>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</si>
  <si>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</si>
  <si>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</si>
  <si>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</si>
  <si>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</si>
  <si>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</si>
  <si>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</si>
  <si>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</si>
  <si>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</si>
  <si>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Address: Hasan Abad</t>
  </si>
  <si>
    <t>Ahmad Store</t>
  </si>
  <si>
    <t>Awan Store</t>
  </si>
  <si>
    <t>Ideal Store</t>
  </si>
  <si>
    <t>Khan Store</t>
  </si>
  <si>
    <t xml:space="preserve">Zarar Khan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</si>
</sst>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R3" sqref="R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514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v>46273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Ahmad Store</v>
      </c>
      <c r="T3" s="301">
        <f>+'1'!P35</f>
        <v>1441.6168495728814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Awan Store</v>
      </c>
      <c r="T4" s="301">
        <f>+'2'!P35</f>
        <v>1100.4670577745762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Ideal Store</v>
      </c>
      <c r="T5" s="301">
        <f>+'3'!P35</f>
        <v>5470.0847511483053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Khan Store</v>
      </c>
      <c r="T6" s="301">
        <f>+'4'!P35</f>
        <v>5401.2631679237275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25</v>
      </c>
      <c r="I7" s="235">
        <f>(G7*D7)*F7+H7*F7</f>
        <v>1311.5625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104.925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45.904687500000009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1160.7328124999999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247.88135593220329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7.0430708421610166</v>
      </c>
      <c r="P7" s="310">
        <f>M7+N7+O7</f>
        <v>1415.6572392743644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Zarar Khan 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19</v>
      </c>
      <c r="I8" s="236">
        <f t="shared" ref="I8:I14" si="0">(G8*D8)*F8+H8*F8</f>
        <v>996.78750000000002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79.742999999999995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34.887562500000001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882.15693750000003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188.38983050847449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5.3527338400423723</v>
      </c>
      <c r="P8" s="311">
        <f t="shared" ref="P8:P15" si="2">M8+N8+O8</f>
        <v>1075.899501848517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</v>
      </c>
      <c r="I9" s="236">
        <f t="shared" si="0"/>
        <v>1259.0999999999999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100.72799999999999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44.0685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1114.3035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237.96610169491515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6.7613480084745756</v>
      </c>
      <c r="P9" s="311">
        <f t="shared" si="2"/>
        <v>1359.0309497033898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76</v>
      </c>
      <c r="I10" s="236">
        <f t="shared" si="0"/>
        <v>5520.64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441.65120000000002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193.22240000000002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4885.7664000000004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1043.3898305084747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29.645781152542376</v>
      </c>
      <c r="P10" s="311">
        <f t="shared" si="2"/>
        <v>5958.8020116610178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19</v>
      </c>
      <c r="I11" s="236">
        <f t="shared" si="0"/>
        <v>1380.16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110.41279999999999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48.305600000000005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1221.4416000000001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260.84745762711867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7.4114452881355932</v>
      </c>
      <c r="P11" s="311">
        <f t="shared" si="2"/>
        <v>1489.7005029152544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51</v>
      </c>
      <c r="I12" s="236">
        <f t="shared" si="0"/>
        <v>3704.64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296.37120000000004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129.66240000000002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3278.6063999999997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700.16949152542372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19.893879457627119</v>
      </c>
      <c r="P12" s="311">
        <f t="shared" si="2"/>
        <v>3998.6697709830505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30</v>
      </c>
      <c r="I13" s="236">
        <f t="shared" si="0"/>
        <v>1176.9000000000001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58.845000000000013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41.191500000000005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60.021900000000002</v>
      </c>
      <c r="M13" s="230">
        <f t="shared" si="1"/>
        <v>1016.8416000000001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228.81355932203377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6.2282757966101698</v>
      </c>
      <c r="P13" s="311">
        <f t="shared" si="2"/>
        <v>1251.883435118644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6.1</v>
      </c>
      <c r="H16" s="113">
        <f t="shared" ref="H16:M16" si="3">SUM(H7:H15)</f>
        <v>244</v>
      </c>
      <c r="I16" s="114">
        <f t="shared" si="3"/>
        <v>15349.789999999999</v>
      </c>
      <c r="J16" s="274">
        <f>SUM(J7:J15)</f>
        <v>1192.6762000000001</v>
      </c>
      <c r="K16" s="275">
        <f t="shared" si="3"/>
        <v>537.24265000000014</v>
      </c>
      <c r="L16" s="276">
        <f t="shared" si="3"/>
        <v>60.021900000000002</v>
      </c>
      <c r="M16" s="232">
        <f t="shared" si="3"/>
        <v>13559.849249999999</v>
      </c>
      <c r="N16" s="233">
        <f>SUM(N7:N15)</f>
        <v>2907.4576271186438</v>
      </c>
      <c r="O16" s="101">
        <f>SUM(O7:O15)</f>
        <v>82.336534385593239</v>
      </c>
      <c r="P16" s="113">
        <f>SUM(P7:P15)</f>
        <v>16549.643411504239</v>
      </c>
      <c r="Q16" s="128">
        <f>SUM(Q7:Q15)</f>
        <v>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15349.789999999999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1192.6762000000001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597.2645500000001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13559.849249999999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2907.4576271186438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16467.306877118644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82.336534385593239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16549.643411504239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16549.643411504236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Summary!H3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7.2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7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7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311">
        <f t="shared" si="5"/>
        <v>470.43173776271186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1342.44</v>
      </c>
      <c r="J25" s="274">
        <f>SUM(J16:J24)</f>
        <v>93.272400000000005</v>
      </c>
      <c r="K25" s="275">
        <f t="shared" si="10"/>
        <v>46.985400000000013</v>
      </c>
      <c r="L25" s="276">
        <f t="shared" si="10"/>
        <v>24.008760000000002</v>
      </c>
      <c r="M25" s="232">
        <f t="shared" si="10"/>
        <v>1178.17344</v>
      </c>
      <c r="N25" s="233">
        <f>SUM(N16:N24)</f>
        <v>256.27118644067792</v>
      </c>
      <c r="O25" s="101">
        <f>SUM(O16:O24)</f>
        <v>7.1722231322033903</v>
      </c>
      <c r="P25" s="113">
        <f>SUM(P16:P24)</f>
        <v>1441.6168495728814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1342.44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93.272400000000005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70.994160000000022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1178.17344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256.27118644067792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1434.4446264406779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7.1722231322033894</v>
      </c>
    </row>
    <row r="35" spans="2:16" ht="15.75" customHeight="1" thickBot="1" x14ac:dyDescent="0.4">
      <c r="N35" s="344" t="s">
        <v>88</v>
      </c>
      <c r="O35" s="345"/>
      <c r="P35" s="297">
        <f>+P33+P34</f>
        <v>1441.6168495728814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517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311">
        <f t="shared" ref="P17:P24" si="5">M17+N17+O17</f>
        <v>226.50515828389825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311">
        <f t="shared" si="5"/>
        <v>226.50515828389825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311">
        <f t="shared" si="5"/>
        <v>313.62115850847459</v>
      </c>
      <c r="Q20" s="156"/>
      <c r="R20">
        <f>P20/21</f>
        <v>14.934340881355933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</v>
      </c>
      <c r="I22" s="236">
        <f t="shared" si="0"/>
        <v>313.84000000000003</v>
      </c>
      <c r="J22" s="272">
        <f t="shared" si="1"/>
        <v>15.692000000000002</v>
      </c>
      <c r="K22" s="128">
        <f t="shared" si="1"/>
        <v>10.984400000000003</v>
      </c>
      <c r="L22" s="119">
        <f t="shared" si="1"/>
        <v>16.005839999999999</v>
      </c>
      <c r="M22" s="230">
        <f t="shared" si="2"/>
        <v>271.15776000000005</v>
      </c>
      <c r="N22" s="277">
        <f t="shared" si="3"/>
        <v>61.016949152542338</v>
      </c>
      <c r="O22" s="239">
        <f t="shared" si="4"/>
        <v>1.660873545762712</v>
      </c>
      <c r="P22" s="311">
        <f t="shared" si="5"/>
        <v>333.83558269830507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20</v>
      </c>
      <c r="I25" s="114">
        <f t="shared" si="7"/>
        <v>1024.0999999999999</v>
      </c>
      <c r="J25" s="274">
        <f>SUM(J16:J24)</f>
        <v>72.512800000000013</v>
      </c>
      <c r="K25" s="275">
        <f t="shared" si="7"/>
        <v>35.843500000000006</v>
      </c>
      <c r="L25" s="276">
        <f t="shared" si="7"/>
        <v>16.005839999999999</v>
      </c>
      <c r="M25" s="232">
        <f t="shared" si="7"/>
        <v>899.73785999999996</v>
      </c>
      <c r="N25" s="233">
        <f>SUM(N16:N24)</f>
        <v>195.25423728813553</v>
      </c>
      <c r="O25" s="101">
        <f>SUM(O16:O24)</f>
        <v>5.4749604864406773</v>
      </c>
      <c r="P25" s="113">
        <f>SUM(P16:P24)</f>
        <v>1100.467057774576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1024.0999999999999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72.512800000000013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51.849340000000005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899.73785999999996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195.25423728813553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1094.9920972881355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5.4749604864406773</v>
      </c>
    </row>
    <row r="35" spans="2:16" ht="15.75" customHeight="1" thickBot="1" x14ac:dyDescent="0.4">
      <c r="N35" s="344" t="s">
        <v>88</v>
      </c>
      <c r="O35" s="345"/>
      <c r="P35" s="297">
        <f>+P33+P34</f>
        <v>1100.4670577745762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311">
        <f t="shared" si="5"/>
        <v>566.26289570974575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80</v>
      </c>
      <c r="I25" s="114">
        <f t="shared" si="7"/>
        <v>5073.55</v>
      </c>
      <c r="J25" s="274">
        <f>SUM(J16:J24)</f>
        <v>394.11500000000007</v>
      </c>
      <c r="K25" s="275">
        <f t="shared" si="7"/>
        <v>177.57425000000003</v>
      </c>
      <c r="L25" s="276">
        <f t="shared" si="7"/>
        <v>20.007300000000001</v>
      </c>
      <c r="M25" s="232">
        <f t="shared" si="7"/>
        <v>4481.8534500000005</v>
      </c>
      <c r="N25" s="233">
        <f>SUM(N16:N24)</f>
        <v>961.01694915254234</v>
      </c>
      <c r="O25" s="101">
        <f>SUM(O16:O24)</f>
        <v>27.214351995762712</v>
      </c>
      <c r="P25" s="113">
        <f>SUM(P16:P24)</f>
        <v>5470.0847511483062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5073.55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394.11500000000007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197.58155000000005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4481.8534500000005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961.01694915254234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5442.8703991525426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27.214351995762712</v>
      </c>
    </row>
    <row r="35" spans="2:16" ht="15.75" customHeight="1" thickBot="1" x14ac:dyDescent="0.4">
      <c r="N35" s="344" t="s">
        <v>88</v>
      </c>
      <c r="O35" s="345"/>
      <c r="P35" s="297">
        <f>+P33+P34</f>
        <v>5470.0847511483053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310">
        <f>M16+N16+O16</f>
        <v>849.39434356461845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311">
        <f t="shared" ref="P17:P24" si="5">M17+N17+O17</f>
        <v>849.39434356461845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311">
        <f t="shared" si="5"/>
        <v>566.26289570974575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80</v>
      </c>
      <c r="I25" s="114">
        <f t="shared" si="7"/>
        <v>5004.0999999999995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113">
        <f>SUM(P16:P24)</f>
        <v>5401.2631679237275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5004.0999999999995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400.32800000000003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175.14350000000002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4428.6284999999989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5374.3912118644057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26.871956059322031</v>
      </c>
    </row>
    <row r="35" spans="2:16" ht="15.75" customHeight="1" thickBot="1" x14ac:dyDescent="0.4">
      <c r="N35" s="344" t="s">
        <v>88</v>
      </c>
      <c r="O35" s="345"/>
      <c r="P35" s="297">
        <f>+P33+P34</f>
        <v>5401.2631679237275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25</v>
      </c>
      <c r="I21" s="236">
        <f t="shared" si="0"/>
        <v>1816</v>
      </c>
      <c r="J21" s="272">
        <f t="shared" si="1"/>
        <v>145.28</v>
      </c>
      <c r="K21" s="128">
        <f t="shared" si="1"/>
        <v>63.560000000000009</v>
      </c>
      <c r="L21" s="119">
        <f t="shared" si="1"/>
        <v>0</v>
      </c>
      <c r="M21" s="230">
        <f t="shared" si="2"/>
        <v>1607.16</v>
      </c>
      <c r="N21" s="277">
        <f t="shared" si="3"/>
        <v>343.22033898305085</v>
      </c>
      <c r="O21" s="239">
        <f t="shared" si="4"/>
        <v>9.7519016949152544</v>
      </c>
      <c r="P21" s="311">
        <f t="shared" si="5"/>
        <v>1960.1322406779661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2905.6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232.44799999999998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101.69600000000001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2571.4560000000001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3120.6085423728814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4" t="s">
        <v>88</v>
      </c>
      <c r="O35" s="345"/>
      <c r="P35" s="297">
        <f>+P33+P34</f>
        <v>3136.2115850847458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'1'!N4:P5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46273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46272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2026-09-07T11:28:15Z</dcterms:modified>
</cp:coreProperties>
</file>