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61082E9-4FE1-4C11-815A-78DFC3CC6AC6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52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44" l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2" l="1"/>
  <c r="O22" i="52" s="1"/>
  <c r="P22" i="52" s="1"/>
  <c r="M21" i="47"/>
  <c r="O21" i="47" s="1"/>
  <c r="P21" i="47" s="1"/>
  <c r="M20" i="47"/>
  <c r="O20" i="47" s="1"/>
  <c r="P20" i="47" s="1"/>
  <c r="R20" i="47" s="1"/>
  <c r="M16" i="44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<sst xmlns="http://schemas.openxmlformats.org/spreadsheetml/2006/main" count="3948" uniqueCount="527">
  <si>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</si>
  <si>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</si>
  <si>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</si>
  <si>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</si>
  <si>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</si>
  <si>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</si>
  <si>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</si>
  <si>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</si>
  <si>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</si>
  <si>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</si>
  <si>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</si>
  <si>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</si>
  <si>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</si>
  <si>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</si>
  <si>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</si>
  <si>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</si>
  <si>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</si>
  <si>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</si>
  <si>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</si>
  <si>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</si>
  <si>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</si>
  <si>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</si>
  <si>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</si>
  <si>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</si>
  <si>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</si>
  <si>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</si>
  <si>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</si>
  <si>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</si>
  <si>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</si>
  <si>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</si>
  <si>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</si>
  <si>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</si>
  <si>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</si>
  <si>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</si>
  <si>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</si>
  <si>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</si>
  <si>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</si>
  <si>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</si>
  <si>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</si>
  <si>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</si>
  <si>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</si>
  <si>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</si>
  <si>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</si>
  <si>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</si>
  <si>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</si>
  <si>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</si>
  <si>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</si>
  <si>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</si>
  <si>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</si>
  <si>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</si>
  <si>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</si>
  <si>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</si>
  <si>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</si>
  <si>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</si>
  <si>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</si>
  <si>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</si>
  <si>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</si>
  <si>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</si>
  <si>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</si>
  <si>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</si>
  <si>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</si>
  <si>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</si>
  <si>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</si>
  <si>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</si>
  <si>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</si>
  <si>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</si>
  <si>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</si>
  <si>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</si>
  <si>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</si>
  <si>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</si>
  <si>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</si>
  <si>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</si>
  <si>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</si>
  <si>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</si>
  <si>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</si>
  <si>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</si>
  <si>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</si>
  <si>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</si>
  <si>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</si>
  <si>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</si>
  <si>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</si>
  <si>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</si>
  <si>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</si>
  <si>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</si>
  <si>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</si>
  <si>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</si>
  <si>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</si>
  <si>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</si>
  <si>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</si>
  <si>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</si>
  <si>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</si>
  <si>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</si>
  <si>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</si>
  <si>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</si>
  <si>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</si>
  <si>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</si>
  <si>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</si>
  <si>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</si>
  <si>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</si>
  <si>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</si>
  <si>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</si>
  <si>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</si>
  <si>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</si>
  <si>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</si>
  <si>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</si>
  <si>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</si>
  <si>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</si>
  <si>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</si>
  <si>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</si>
  <si>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</si>
  <si>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</si>
  <si>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</si>
  <si>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</si>
  <si>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</si>
  <si>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</si>
  <si>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</si>
  <si>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</si>
  <si>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</si>
  <si>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</si>
  <si>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</si>
  <si>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</si>
  <si>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</si>
  <si>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</si>
  <si>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</si>
  <si>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</si>
  <si>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</si>
  <si>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</si>
  <si>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</si>
  <si>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</si>
  <si>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</si>
  <si>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</si>
  <si>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</si>
  <si>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</si>
  <si>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</si>
  <si>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</si>
  <si>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</si>
  <si>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</si>
  <si>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</si>
  <si>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</si>
  <si>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</si>
  <si>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</si>
  <si>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</si>
  <si>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</si>
  <si>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</si>
  <si>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</si>
  <si>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</si>
  <si>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</si>
  <si>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</si>
  <si>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</si>
  <si>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</si>
  <si>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</si>
  <si>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</si>
  <si>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</si>
  <si>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</si>
  <si>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</si>
  <si>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</si>
  <si>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</si>
  <si>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</si>
  <si>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</si>
  <si>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</si>
  <si>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</si>
  <si>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</si>
  <si>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</si>
  <si>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</si>
  <si>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</si>
  <si>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</si>
  <si>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</si>
  <si>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</si>
  <si>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</si>
  <si>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</si>
  <si>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</si>
  <si>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</si>
  <si>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</si>
  <si>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</si>
  <si>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</si>
  <si>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</si>
  <si>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</si>
  <si>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</si>
  <si>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</si>
  <si>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</si>
  <si>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</si>
  <si>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</si>
  <si>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</si>
  <si>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</si>
  <si>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</si>
  <si>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</si>
  <si>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</si>
  <si>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</si>
  <si>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</si>
  <si>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</si>
  <si>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</si>
  <si>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</si>
  <si>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</si>
  <si>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</si>
  <si>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</si>
  <si>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</si>
  <si>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</si>
  <si>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</si>
  <si>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</si>
  <si>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</si>
  <si>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</si>
  <si>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</si>
  <si>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</si>
  <si>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</si>
  <si>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</si>
  <si>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</si>
  <si>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</si>
  <si>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</si>
  <si>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</si>
  <si>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</si>
  <si>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</si>
  <si>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</si>
  <si>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</si>
  <si>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</si>
  <si>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</si>
  <si>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</si>
  <si>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</si>
  <si>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</si>
  <si>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</si>
  <si>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</si>
  <si>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</si>
  <si>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</si>
  <si>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</si>
  <si>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</si>
  <si>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</si>
  <si>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</si>
  <si>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</si>
  <si>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</si>
  <si>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</si>
  <si>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</si>
  <si>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</si>
  <si>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</si>
  <si>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</si>
  <si>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</si>
  <si>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</si>
  <si>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</si>
  <si>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</si>
  <si>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</si>
  <si>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</si>
  <si>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</si>
  <si>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</si>
  <si>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</si>
  <si>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</si>
  <si>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</si>
  <si>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</si>
  <si>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</si>
  <si>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</si>
  <si>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</si>
  <si>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</si>
  <si>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</si>
  <si>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</si>
  <si>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</si>
  <si>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</si>
  <si>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</si>
  <si>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</si>
  <si>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</si>
  <si>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</si>
  <si>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</si>
  <si>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</si>
  <si>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</si>
  <si>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</si>
  <si>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</si>
  <si>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</si>
  <si>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</si>
  <si>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</si>
  <si>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</si>
  <si>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</si>
  <si>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</si>
  <si>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</si>
  <si>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</si>
  <si>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</si>
  <si>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</si>
  <si>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</si>
  <si>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</si>
  <si>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</si>
  <si>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</si>
  <si>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</si>
  <si>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</si>
  <si>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</si>
  <si>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</si>
  <si>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</si>
  <si>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</si>
  <si>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</si>
  <si>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</si>
  <si>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</si>
  <si>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</si>
  <si>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</si>
  <si>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</si>
  <si>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</si>
  <si>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</si>
  <si>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</si>
  <si>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</si>
  <si>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</si>
  <si>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</si>
  <si>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</si>
  <si>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</si>
  <si>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</si>
  <si>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</si>
  <si>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</si>
  <si>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</si>
  <si>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</si>
  <si>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</si>
  <si>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</si>
  <si>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</si>
  <si>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</si>
  <si>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</si>
  <si>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</si>
  <si>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</si>
  <si>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</si>
  <si>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</si>
  <si>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</si>
  <si>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</si>
  <si>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</si>
  <si>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</si>
  <si>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</si>
  <si>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</si>
  <si>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</si>
  <si>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</si>
  <si>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</si>
  <si>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</si>
  <si>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</si>
  <si>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</si>
  <si>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</si>
  <si>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</si>
  <si>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</si>
  <si>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</si>
  <si>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</si>
  <si>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</si>
  <si>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</si>
  <si>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</si>
  <si>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</si>
  <si>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</si>
  <si>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</si>
  <si>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</si>
  <si>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</si>
  <si>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</si>
  <si>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</si>
  <si>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</si>
  <si>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</si>
  <si>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</si>
  <si>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</si>
  <si>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</si>
  <si>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</si>
  <si>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</si>
  <si>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</si>
  <si>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</si>
  <si>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</si>
  <si>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</si>
  <si>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</si>
  <si>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</si>
  <si>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</si>
  <si>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</si>
  <si>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</si>
  <si>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</si>
  <si>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</si>
  <si>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</si>
  <si>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</si>
  <si>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</si>
  <si>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</si>
  <si>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</si>
  <si>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</si>
  <si>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</si>
  <si>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</si>
  <si>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</si>
  <si>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</si>
  <si>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</si>
  <si>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</si>
  <si>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</si>
  <si>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</si>
  <si>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</si>
  <si>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</si>
  <si>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</si>
  <si>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</si>
  <si>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</si>
  <si>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</si>
  <si>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</si>
  <si>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</si>
  <si>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</si>
  <si>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</si>
  <si>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</si>
  <si>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</si>
  <si>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</si>
  <si>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</si>
  <si>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</si>
  <si>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</si>
  <si>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</si>
  <si>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</si>
  <si>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</si>
  <si>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</si>
  <si>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</si>
  <si>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</si>
  <si>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</si>
  <si>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</si>
  <si>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</si>
  <si>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</si>
  <si>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</si>
  <si>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</si>
  <si>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</si>
  <si>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</si>
  <si>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</si>
  <si>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</si>
  <si>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</si>
  <si>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</si>
  <si>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</si>
  <si>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</si>
  <si>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</si>
  <si>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</si>
  <si>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</si>
  <si>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</si>
  <si>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</si>
  <si>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</si>
  <si>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</si>
  <si>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</si>
  <si>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</si>
  <si>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</si>
  <si>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</si>
  <si>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</si>
  <si>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</si>
  <si>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</si>
  <si>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</si>
  <si>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</si>
  <si>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</si>
  <si>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</si>
  <si>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</si>
  <si>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</si>
  <si>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</si>
  <si>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</si>
  <si>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</si>
  <si>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</si>
  <si>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</si>
  <si>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</si>
  <si>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</si>
  <si>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</si>
  <si>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</si>
  <si>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</si>
  <si>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</si>
  <si>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</si>
  <si>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</si>
  <si>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</si>
  <si>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</si>
  <si>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</si>
  <si>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</si>
  <si>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</si>
  <si>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</si>
  <si>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</si>
  <si>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</si>
  <si>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</si>
  <si>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</si>
  <si>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</si>
  <si>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</si>
  <si>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</si>
  <si>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</si>
  <si>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</si>
  <si>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</si>
  <si>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</si>
  <si>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</si>
  <si>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</si>
  <si>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</si>
  <si>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</si>
  <si>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</si>
  <si>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</si>
  <si>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</si>
  <si>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</si>
  <si>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</si>
  <si>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</si>
  <si>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</si>
  <si>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</si>
  <si>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</si>
  <si>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</si>
  <si>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</si>
  <si>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</si>
  <si>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</si>
  <si>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</si>
  <si>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</si>
  <si>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</si>
  <si>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</si>
  <si>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</si>
  <si>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</si>
  <si>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</si>
  <si>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</si>
  <si>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</si>
  <si>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</si>
  <si>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</si>
  <si>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</si>
  <si>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</si>
  <si>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</si>
  <si>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</si>
  <si>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</si>
  <si>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</si>
  <si>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</si>
  <si>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</si>
  <si>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</si>
  <si>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</si>
  <si>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</si>
  <si>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</si>
  <si>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</si>
  <si>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</si>
  <si>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</si>
  <si>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</si>
  <si>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</si>
  <si>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</si>
  <si>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</si>
  <si>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</si>
  <si>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</si>
  <si>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</si>
  <si>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</si>
  <si>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</si>
  <si>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</si>
  <si>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</si>
  <si>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</si>
  <si>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</si>
  <si>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</si>
  <si>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</si>
  <si>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Zeshan </t>
  </si>
  <si>
    <t xml:space="preserve">Sheri Mart </t>
  </si>
  <si>
    <t>Address: Gulshan Colony</t>
  </si>
  <si>
    <t>HR Mart</t>
  </si>
  <si>
    <t>Baber Store</t>
  </si>
  <si>
    <t>Bilal Store</t>
  </si>
  <si>
    <t>Al Makkah Store</t>
  </si>
  <si>
    <t>Shamza Store</t>
  </si>
  <si>
    <t>Daim Store</t>
  </si>
  <si>
    <t>Khan Store</t>
  </si>
  <si>
    <t>A1 Store</t>
  </si>
  <si>
    <t>Best Store</t>
  </si>
  <si>
    <t>Mian Bakery</t>
  </si>
  <si>
    <t>Hadi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</si>
</sst>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30" workbookViewId="0">
      <selection activeCell="Q40" sqref="Q4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513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46273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 xml:space="preserve">Sheri Mart </v>
      </c>
      <c r="T3" s="301">
        <f>+'1'!P35</f>
        <v>566.26289570974575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HR Mart</v>
      </c>
      <c r="T4" s="301">
        <f>+'2'!P35</f>
        <v>566.26289570974575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Baber Store</v>
      </c>
      <c r="T5" s="301">
        <f>+'3'!P35</f>
        <v>566.26289570974575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Bilal Store</v>
      </c>
      <c r="T6" s="301">
        <f>+'4'!P35</f>
        <v>566.26289570974575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167.88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1857.1725000000001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11.268913347457627</v>
      </c>
      <c r="P7" s="310">
        <f>M7+N7+O7</f>
        <v>2265.051582838983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Al Makkah Store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Shamza Store</v>
      </c>
      <c r="T8" s="301">
        <f>+'6'!P35</f>
        <v>1176.0793444067797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Daim Store</v>
      </c>
      <c r="T9" s="301">
        <f>+'7'!P35</f>
        <v>417.29447837288137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</v>
      </c>
      <c r="I10" s="236">
        <f t="shared" si="0"/>
        <v>1452.8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116.22399999999999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50.848000000000006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1285.7280000000001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274.57627118644069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7.8015213559322039</v>
      </c>
      <c r="P10" s="311">
        <f t="shared" si="2"/>
        <v>1568.1057925423729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Khan Store</v>
      </c>
      <c r="T10" s="301">
        <f>+'8'!P35</f>
        <v>417.29447837288137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15</v>
      </c>
      <c r="I11" s="236">
        <f t="shared" si="0"/>
        <v>1089.5999999999999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87.168000000000006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38.136000000000003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964.29599999999994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205.93220338983053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5.8511410169491533</v>
      </c>
      <c r="P11" s="311">
        <f t="shared" si="2"/>
        <v>1176.0793444067797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A1 Store</v>
      </c>
      <c r="T11" s="301">
        <f>+'9'!P35</f>
        <v>417.29447837288137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</v>
      </c>
      <c r="I12" s="236">
        <f t="shared" si="0"/>
        <v>1452.8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116.22399999999999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50.848000000000006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1285.7280000000001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274.57627118644069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7.8015213559322039</v>
      </c>
      <c r="P12" s="311">
        <f t="shared" si="2"/>
        <v>1568.1057925423729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5</v>
      </c>
      <c r="R12" s="314">
        <v>10</v>
      </c>
      <c r="S12" s="300" t="str">
        <f>+'10'!A6:A6</f>
        <v>Best Store</v>
      </c>
      <c r="T12" s="301">
        <f>+'10'!P35</f>
        <v>417.29447837288137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120</v>
      </c>
      <c r="I13" s="236">
        <f t="shared" si="0"/>
        <v>4707.6000000000004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235.38000000000005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164.76600000000002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240.08760000000001</v>
      </c>
      <c r="M13" s="230">
        <f t="shared" si="1"/>
        <v>4067.3664000000003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915.25423728813507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24.913103186440679</v>
      </c>
      <c r="P13" s="311">
        <f t="shared" si="2"/>
        <v>5007.533740474576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80</v>
      </c>
      <c r="R13" s="314">
        <v>11</v>
      </c>
      <c r="S13" s="300" t="str">
        <f>+'11'!A6:A6</f>
        <v>Mian Bakery</v>
      </c>
      <c r="T13" s="301">
        <f>+'11'!P35</f>
        <v>3338.355826983051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Hadi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5.375</v>
      </c>
      <c r="H16" s="113">
        <f t="shared" ref="H16:M16" si="3">SUM(H7:H15)</f>
        <v>215</v>
      </c>
      <c r="I16" s="114">
        <f t="shared" si="3"/>
        <v>10801.3</v>
      </c>
      <c r="J16" s="274">
        <f>SUM(J7:J15)</f>
        <v>722.87599999999998</v>
      </c>
      <c r="K16" s="275">
        <f t="shared" si="3"/>
        <v>378.04550000000006</v>
      </c>
      <c r="L16" s="276">
        <f t="shared" si="3"/>
        <v>240.08760000000001</v>
      </c>
      <c r="M16" s="232">
        <f t="shared" si="3"/>
        <v>9460.2909</v>
      </c>
      <c r="N16" s="233">
        <f>SUM(N7:N15)</f>
        <v>2066.9491525423723</v>
      </c>
      <c r="O16" s="101">
        <f>SUM(O7:O15)</f>
        <v>57.636200262711867</v>
      </c>
      <c r="P16" s="113">
        <f>SUM(P7:P15)</f>
        <v>11584.876252805085</v>
      </c>
      <c r="Q16" s="128">
        <f>SUM(Q7:Q15)</f>
        <v>85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10801.3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722.87599999999998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618.13310000000001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9460.2909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2066.9491525423723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11527.240052542373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57.636200262711867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11584.876252805085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11584.876252805087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310">
        <f>M16+N16+O16</f>
        <v>566.26289570974575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524.625</v>
      </c>
      <c r="J25" s="274">
        <f>SUM(J16:J24)</f>
        <v>41.97</v>
      </c>
      <c r="K25" s="275">
        <f t="shared" si="10"/>
        <v>18.361875000000001</v>
      </c>
      <c r="L25" s="276">
        <f t="shared" si="10"/>
        <v>0</v>
      </c>
      <c r="M25" s="232">
        <f t="shared" si="10"/>
        <v>464.29312500000003</v>
      </c>
      <c r="N25" s="233">
        <f>SUM(N16:N24)</f>
        <v>99.152542372881314</v>
      </c>
      <c r="O25" s="101">
        <f>SUM(O16:O24)</f>
        <v>2.8172283368644067</v>
      </c>
      <c r="P25" s="113">
        <f>SUM(P16:P24)</f>
        <v>566.26289570974575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524.625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41.97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18.361875000000001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464.29312499999997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563.4456673728813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3" t="s">
        <v>88</v>
      </c>
      <c r="O35" s="374"/>
      <c r="P35" s="297">
        <f>+P33+P34</f>
        <v>566.26289570974575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310">
        <f>M16+N16+O16</f>
        <v>566.26289570974575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113">
        <f>SUM(P16:P24)</f>
        <v>566.26289570974575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524.625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41.97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18.361875000000001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464.29312499999997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563.4456673728813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3" t="s">
        <v>88</v>
      </c>
      <c r="O35" s="374"/>
      <c r="P35" s="297">
        <f>+P33+P34</f>
        <v>566.26289570974575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310">
        <f>M16+N16+O16</f>
        <v>566.26289570974575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113">
        <f>SUM(P16:P24)</f>
        <v>566.26289570974575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524.625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41.97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18.361875000000001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464.29312499999997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563.4456673728813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3" t="s">
        <v>88</v>
      </c>
      <c r="O35" s="374"/>
      <c r="P35" s="297">
        <f>+P33+P34</f>
        <v>566.26289570974575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310">
        <f>M16+N16+O16</f>
        <v>566.26289570974575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113">
        <f>SUM(P16:P24)</f>
        <v>566.26289570974575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524.625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41.97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18.361875000000001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464.29312499999997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563.4456673728813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3" t="s">
        <v>88</v>
      </c>
      <c r="O35" s="374"/>
      <c r="P35" s="297">
        <f>+P33+P34</f>
        <v>566.26289570974575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2905.6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232.44799999999998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101.696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2571.4560000000001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3120.6085423728814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3" t="s">
        <v>88</v>
      </c>
      <c r="O35" s="374"/>
      <c r="P35" s="297">
        <f>+P33+P34</f>
        <v>3136.2115850847458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14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'1'!N4:P5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311">
        <f t="shared" si="5"/>
        <v>392.02644813559323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311">
        <f t="shared" si="5"/>
        <v>392.02644813559323</v>
      </c>
      <c r="Q20" s="156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311">
        <f t="shared" si="5"/>
        <v>392.02644813559323</v>
      </c>
      <c r="Q21" s="156">
        <v>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15</v>
      </c>
      <c r="I25" s="114">
        <f t="shared" si="7"/>
        <v>1089.5999999999999</v>
      </c>
      <c r="J25" s="274">
        <f>SUM(J16:J24)</f>
        <v>87.168000000000006</v>
      </c>
      <c r="K25" s="275">
        <f t="shared" si="7"/>
        <v>38.136000000000003</v>
      </c>
      <c r="L25" s="276">
        <f t="shared" si="7"/>
        <v>0</v>
      </c>
      <c r="M25" s="232">
        <f t="shared" si="7"/>
        <v>964.29600000000005</v>
      </c>
      <c r="N25" s="233">
        <f>SUM(N16:N24)</f>
        <v>205.93220338983053</v>
      </c>
      <c r="O25" s="101">
        <f>SUM(O16:O24)</f>
        <v>5.8511410169491533</v>
      </c>
      <c r="P25" s="113">
        <f>SUM(P16:P24)</f>
        <v>1176.0793444067797</v>
      </c>
      <c r="Q25" s="128">
        <f>SUM(Q16:Q24)</f>
        <v>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1089.5999999999999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87.168000000000006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38.136000000000003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964.29599999999994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205.93220338983053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1170.2282033898305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5.8511410169491525</v>
      </c>
    </row>
    <row r="35" spans="2:16" ht="15.75" customHeight="1" thickBot="1" x14ac:dyDescent="0.4">
      <c r="N35" s="373" t="s">
        <v>88</v>
      </c>
      <c r="O35" s="374"/>
      <c r="P35" s="297">
        <f>+P33+P34</f>
        <v>1176.0793444067797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392.30000000000007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19.615000000000006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33.737800000000007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338.94720000000007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415.21838644067799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3" t="s">
        <v>88</v>
      </c>
      <c r="O35" s="374"/>
      <c r="P35" s="297">
        <f>+P33+P34</f>
        <v>417.29447837288137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392.30000000000007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19.615000000000006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33.737800000000007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338.94720000000007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415.21838644067799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3" t="s">
        <v>88</v>
      </c>
      <c r="O35" s="374"/>
      <c r="P35" s="297">
        <f>+P33+P34</f>
        <v>417.29447837288137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392.30000000000007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19.615000000000006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33.737800000000007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338.94720000000007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415.21838644067799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3" t="s">
        <v>88</v>
      </c>
      <c r="O35" s="374"/>
      <c r="P35" s="297">
        <f>+P33+P34</f>
        <v>417.29447837288137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392.30000000000007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19.615000000000006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33.737800000000007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338.94720000000007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415.21838644067799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3" t="s">
        <v>88</v>
      </c>
      <c r="O35" s="374"/>
      <c r="P35" s="297">
        <f>+P33+P34</f>
        <v>417.29447837288137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311">
        <f t="shared" si="5"/>
        <v>3338.355826983051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3138.4000000000005</v>
      </c>
      <c r="J25" s="274">
        <f>SUM(J16:J24)</f>
        <v>156.92000000000004</v>
      </c>
      <c r="K25" s="275">
        <f t="shared" si="7"/>
        <v>109.84400000000002</v>
      </c>
      <c r="L25" s="276">
        <f t="shared" si="7"/>
        <v>160.05840000000001</v>
      </c>
      <c r="M25" s="232">
        <f t="shared" si="7"/>
        <v>2711.5776000000005</v>
      </c>
      <c r="N25" s="233">
        <f>SUM(N16:N24)</f>
        <v>610.16949152542338</v>
      </c>
      <c r="O25" s="101">
        <f>SUM(O16:O24)</f>
        <v>16.60873545762712</v>
      </c>
      <c r="P25" s="113">
        <f>SUM(P16:P24)</f>
        <v>3338.355826983051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3138.4000000000005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156.92000000000004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269.90240000000006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2711.5776000000005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610.16949152542338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3321.7470915254239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16.60873545762712</v>
      </c>
    </row>
    <row r="35" spans="2:16" ht="15.75" customHeight="1" thickBot="1" x14ac:dyDescent="0.4">
      <c r="N35" s="373" t="s">
        <v>88</v>
      </c>
      <c r="O35" s="374"/>
      <c r="P35" s="297">
        <f>+P33+P34</f>
        <v>3338.355826983051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80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 xml:space="preserve">Zeshan 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46274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46273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2026-09-08T11:04:17Z</dcterms:modified>
</cp:coreProperties>
</file>