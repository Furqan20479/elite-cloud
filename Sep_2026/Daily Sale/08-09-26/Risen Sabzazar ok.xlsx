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B4CBB88-D046-41B5-9C4B-A6F1781B46D5}" xr6:coauthVersionLast="47" xr6:coauthVersionMax="47" xr10:uidLastSave="{00000000-0000-0000-0000-000000000000}"/>
  <bookViews>
    <workbookView xWindow="-110" yWindow="-110" windowWidth="19420" windowHeight="10420" tabRatio="872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<sst xmlns="http://schemas.openxmlformats.org/spreadsheetml/2006/main" count="3950" uniqueCount="520">
  <si>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</si>
  <si>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</si>
  <si>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</si>
  <si>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</si>
  <si>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</si>
  <si>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</si>
  <si>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</si>
  <si>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</si>
  <si>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</si>
  <si>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</si>
  <si>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</si>
  <si>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</si>
  <si>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</si>
  <si>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</si>
  <si>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</si>
  <si>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</si>
  <si>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</si>
  <si>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</si>
  <si>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</si>
  <si>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</si>
  <si>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</si>
  <si>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</si>
  <si>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</si>
  <si>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</si>
  <si>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</si>
  <si>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</si>
  <si>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</si>
  <si>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</si>
  <si>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</si>
  <si>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</si>
  <si>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</si>
  <si>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</si>
  <si>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</si>
  <si>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</si>
  <si>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</si>
  <si>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</si>
  <si>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</si>
  <si>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</si>
  <si>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</si>
  <si>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</si>
  <si>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</si>
  <si>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</si>
  <si>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</si>
  <si>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</si>
  <si>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</si>
  <si>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</si>
  <si>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</si>
  <si>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</si>
  <si>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</si>
  <si>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</si>
  <si>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</si>
  <si>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</si>
  <si>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</si>
  <si>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</si>
  <si>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</si>
  <si>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</si>
  <si>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</si>
  <si>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</si>
  <si>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</si>
  <si>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</si>
  <si>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</si>
  <si>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</si>
  <si>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</si>
  <si>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</si>
  <si>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</si>
  <si>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</si>
  <si>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</si>
  <si>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</si>
  <si>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</si>
  <si>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</si>
  <si>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</si>
  <si>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</si>
  <si>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</si>
  <si>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</si>
  <si>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</si>
  <si>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</si>
  <si>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</si>
  <si>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</si>
  <si>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</si>
  <si>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</si>
  <si>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</si>
  <si>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</si>
  <si>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</si>
  <si>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</si>
  <si>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</si>
  <si>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</si>
  <si>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</si>
  <si>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</si>
  <si>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</si>
  <si>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</si>
  <si>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</si>
  <si>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</si>
  <si>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</si>
  <si>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</si>
  <si>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</si>
  <si>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</si>
  <si>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</si>
  <si>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</si>
  <si>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</si>
  <si>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</si>
  <si>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</si>
  <si>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</si>
  <si>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</si>
  <si>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</si>
  <si>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</si>
  <si>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</si>
  <si>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</si>
  <si>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</si>
  <si>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</si>
  <si>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</si>
  <si>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</si>
  <si>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</si>
  <si>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</si>
  <si>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</si>
  <si>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</si>
  <si>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</si>
  <si>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</si>
  <si>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</si>
  <si>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</si>
  <si>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</si>
  <si>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</si>
  <si>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</si>
  <si>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</si>
  <si>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</si>
  <si>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</si>
  <si>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</si>
  <si>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</si>
  <si>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</si>
  <si>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</si>
  <si>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</si>
  <si>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</si>
  <si>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</si>
  <si>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</si>
  <si>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</si>
  <si>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</si>
  <si>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</si>
  <si>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</si>
  <si>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</si>
  <si>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</si>
  <si>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</si>
  <si>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</si>
  <si>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</si>
  <si>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</si>
  <si>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</si>
  <si>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</si>
  <si>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</si>
  <si>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</si>
  <si>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</si>
  <si>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</si>
  <si>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</si>
  <si>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</si>
  <si>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</si>
  <si>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</si>
  <si>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</si>
  <si>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</si>
  <si>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</si>
  <si>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</si>
  <si>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</si>
  <si>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</si>
  <si>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</si>
  <si>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</si>
  <si>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</si>
  <si>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</si>
  <si>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</si>
  <si>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</si>
  <si>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</si>
  <si>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</si>
  <si>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</si>
  <si>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</si>
  <si>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</si>
  <si>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</si>
  <si>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</si>
  <si>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</si>
  <si>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</si>
  <si>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</si>
  <si>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</si>
  <si>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</si>
  <si>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</si>
  <si>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</si>
  <si>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</si>
  <si>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</si>
  <si>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</si>
  <si>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</si>
  <si>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</si>
  <si>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</si>
  <si>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</si>
  <si>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</si>
  <si>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</si>
  <si>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</si>
  <si>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</si>
  <si>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</si>
  <si>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</si>
  <si>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</si>
  <si>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</si>
  <si>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</si>
  <si>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</si>
  <si>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</si>
  <si>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</si>
  <si>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</si>
  <si>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</si>
  <si>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</si>
  <si>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</si>
  <si>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</si>
  <si>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</si>
  <si>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</si>
  <si>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</si>
  <si>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</si>
  <si>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</si>
  <si>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</si>
  <si>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</si>
  <si>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</si>
  <si>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</si>
  <si>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</si>
  <si>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</si>
  <si>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</si>
  <si>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</si>
  <si>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</si>
  <si>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</si>
  <si>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</si>
  <si>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</si>
  <si>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</si>
  <si>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</si>
  <si>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</si>
  <si>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</si>
  <si>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</si>
  <si>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</si>
  <si>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</si>
  <si>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</si>
  <si>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</si>
  <si>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</si>
  <si>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</si>
  <si>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</si>
  <si>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</si>
  <si>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</si>
  <si>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</si>
  <si>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</si>
  <si>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</si>
  <si>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</si>
  <si>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</si>
  <si>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</si>
  <si>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</si>
  <si>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</si>
  <si>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</si>
  <si>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</si>
  <si>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</si>
  <si>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</si>
  <si>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</si>
  <si>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</si>
  <si>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</si>
  <si>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</si>
  <si>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</si>
  <si>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</si>
  <si>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</si>
  <si>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</si>
  <si>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</si>
  <si>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</si>
  <si>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</si>
  <si>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</si>
  <si>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</si>
  <si>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</si>
  <si>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</si>
  <si>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</si>
  <si>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</si>
  <si>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</si>
  <si>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</si>
  <si>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</si>
  <si>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</si>
  <si>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</si>
  <si>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</si>
  <si>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</si>
  <si>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</si>
  <si>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</si>
  <si>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</si>
  <si>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</si>
  <si>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</si>
  <si>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</si>
  <si>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</si>
  <si>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</si>
  <si>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</si>
  <si>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</si>
  <si>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</si>
  <si>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</si>
  <si>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</si>
  <si>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</si>
  <si>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</si>
  <si>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</si>
  <si>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</si>
  <si>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</si>
  <si>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</si>
  <si>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</si>
  <si>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</si>
  <si>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</si>
  <si>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</si>
  <si>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</si>
  <si>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</si>
  <si>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</si>
  <si>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</si>
  <si>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</si>
  <si>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</si>
  <si>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</si>
  <si>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</si>
  <si>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</si>
  <si>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</si>
  <si>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</si>
  <si>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</si>
  <si>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</si>
  <si>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</si>
  <si>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</si>
  <si>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</si>
  <si>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</si>
  <si>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</si>
  <si>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</si>
  <si>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</si>
  <si>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</si>
  <si>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</si>
  <si>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</si>
  <si>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</si>
  <si>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</si>
  <si>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</si>
  <si>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</si>
  <si>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</si>
  <si>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</si>
  <si>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</si>
  <si>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</si>
  <si>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</si>
  <si>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</si>
  <si>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</si>
  <si>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</si>
  <si>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</si>
  <si>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</si>
  <si>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</si>
  <si>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</si>
  <si>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</si>
  <si>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</si>
  <si>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</si>
  <si>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</si>
  <si>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</si>
  <si>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</si>
  <si>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</si>
  <si>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</si>
  <si>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</si>
  <si>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</si>
  <si>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</si>
  <si>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</si>
  <si>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</si>
  <si>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</si>
  <si>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</si>
  <si>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</si>
  <si>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</si>
  <si>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</si>
  <si>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</si>
  <si>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</si>
  <si>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</si>
  <si>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</si>
  <si>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</si>
  <si>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</si>
  <si>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</si>
  <si>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</si>
  <si>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</si>
  <si>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</si>
  <si>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</si>
  <si>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</si>
  <si>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</si>
  <si>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</si>
  <si>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</si>
  <si>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</si>
  <si>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</si>
  <si>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</si>
  <si>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</si>
  <si>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</si>
  <si>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</si>
  <si>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</si>
  <si>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</si>
  <si>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</si>
  <si>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</si>
  <si>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</si>
  <si>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</si>
  <si>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</si>
  <si>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</si>
  <si>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</si>
  <si>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</si>
  <si>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</si>
  <si>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</si>
  <si>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</si>
  <si>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</si>
  <si>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</si>
  <si>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</si>
  <si>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</si>
  <si>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</si>
  <si>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</si>
  <si>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</si>
  <si>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</si>
  <si>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</si>
  <si>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</si>
  <si>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</si>
  <si>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</si>
  <si>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</si>
  <si>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</si>
  <si>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</si>
  <si>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</si>
  <si>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</si>
  <si>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</si>
  <si>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</si>
  <si>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</si>
  <si>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</si>
  <si>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</si>
  <si>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</si>
  <si>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</si>
  <si>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</si>
  <si>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</si>
  <si>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</si>
  <si>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</si>
  <si>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</si>
  <si>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</si>
  <si>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</si>
  <si>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</si>
  <si>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</si>
  <si>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</si>
  <si>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</si>
  <si>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</si>
  <si>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</si>
  <si>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</si>
  <si>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</si>
  <si>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</si>
  <si>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</si>
  <si>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</si>
  <si>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</si>
  <si>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</si>
  <si>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</si>
  <si>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</si>
  <si>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</si>
  <si>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</si>
  <si>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</si>
  <si>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</si>
  <si>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</si>
  <si>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</si>
  <si>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</si>
  <si>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</si>
  <si>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</si>
  <si>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</si>
  <si>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</si>
  <si>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</si>
  <si>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</si>
  <si>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</si>
  <si>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</si>
  <si>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</si>
  <si>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</si>
  <si>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</si>
  <si>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</si>
  <si>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</si>
  <si>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</si>
  <si>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</si>
  <si>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</si>
  <si>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</si>
  <si>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</si>
  <si>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</si>
  <si>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</si>
  <si>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</si>
  <si>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</si>
  <si>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</si>
  <si>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</si>
  <si>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</si>
  <si>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</si>
  <si>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</si>
  <si>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</si>
  <si>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</si>
  <si>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</si>
  <si>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</si>
  <si>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</si>
  <si>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</si>
  <si>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</si>
  <si>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</si>
  <si>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</si>
  <si>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</si>
  <si>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</si>
  <si>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</si>
  <si>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</si>
  <si>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</si>
  <si>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</si>
  <si>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</si>
  <si>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</si>
  <si>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</si>
  <si>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</si>
  <si>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</si>
  <si>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</si>
  <si>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</si>
  <si>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</si>
  <si>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</si>
  <si>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</si>
  <si>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</si>
  <si>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</si>
  <si>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</si>
  <si>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</si>
  <si>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</si>
  <si>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</si>
  <si>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</si>
  <si>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</si>
  <si>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</si>
  <si>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</si>
  <si>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</si>
  <si>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</si>
  <si>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</si>
  <si>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</si>
  <si>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</si>
  <si>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</si>
  <si>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</si>
  <si>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</si>
  <si>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</si>
  <si>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</si>
  <si>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</si>
  <si>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</si>
  <si>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</si>
  <si>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</si>
  <si>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NTN #: 9725069-2</t>
  </si>
  <si>
    <t>Invoice No # :1566516</t>
  </si>
  <si>
    <t xml:space="preserve">_Rafaqat Sons </t>
  </si>
  <si>
    <t>Rafaqat Sons</t>
  </si>
  <si>
    <t>Address: Sabzazar</t>
  </si>
  <si>
    <t>Number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</si>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</sst>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516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46284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 xml:space="preserve">_Rafaqat Sons </v>
      </c>
      <c r="T3" s="301">
        <f>+'1'!P35</f>
        <v>26320.071561864403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_Rafaqat Sons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_Rafaqat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_Rafaqat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587.58000000000004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3462.5250000000001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21.278726694915253</v>
      </c>
      <c r="P7" s="310">
        <f>M7+N7+O7</f>
        <v>4277.0240656779661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_Rafaqat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_Rafaqat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587.58000000000004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3462.5250000000001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21.278726694915253</v>
      </c>
      <c r="P9" s="311">
        <f t="shared" si="2"/>
        <v>4277.0240656779661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_Rafaqat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813.5680000000001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4794.24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29.462725423728813</v>
      </c>
      <c r="P10" s="311">
        <f t="shared" si="2"/>
        <v>5922.0078101694908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_Rafaqat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813.5680000000001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4794.24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29.462725423728813</v>
      </c>
      <c r="P11" s="311">
        <f t="shared" si="2"/>
        <v>5922.0078101694908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_Rafaqat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4794.24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29.462725423728813</v>
      </c>
      <c r="P12" s="311">
        <f t="shared" si="2"/>
        <v>5922.0078101694908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_Rafaqat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_Rafaqat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_Rafaqat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_Rafaqat Sons 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10</v>
      </c>
      <c r="H16" s="113">
        <f t="shared" ref="H16:M16" si="3">SUM(H7:H15)</f>
        <v>400</v>
      </c>
      <c r="I16" s="114">
        <f t="shared" si="3"/>
        <v>25827.600000000002</v>
      </c>
      <c r="J16" s="274">
        <f>SUM(J7:J15)</f>
        <v>3615.8640000000005</v>
      </c>
      <c r="K16" s="275">
        <f t="shared" si="3"/>
        <v>903.96600000000012</v>
      </c>
      <c r="L16" s="276">
        <f t="shared" si="3"/>
        <v>0</v>
      </c>
      <c r="M16" s="232">
        <f t="shared" si="3"/>
        <v>21307.769999999997</v>
      </c>
      <c r="N16" s="233">
        <f>SUM(N7:N15)</f>
        <v>4881.3559322033889</v>
      </c>
      <c r="O16" s="101">
        <f>SUM(O7:O15)</f>
        <v>130.94562966101694</v>
      </c>
      <c r="P16" s="113">
        <f>SUM(P7:P15)</f>
        <v>26320.071561864403</v>
      </c>
      <c r="Q16" s="128">
        <f>SUM(Q7:Q15)</f>
        <v>0</v>
      </c>
      <c r="R16" s="314">
        <v>14</v>
      </c>
      <c r="S16" s="300" t="str">
        <f>+'14'!A6:A6</f>
        <v xml:space="preserve">_Rafaqat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_Rafaqat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_Rafaqat Sons 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25827.600000000002</v>
      </c>
      <c r="R19" s="299">
        <v>17</v>
      </c>
      <c r="S19" s="300" t="str">
        <f>+'17'!A6:A6</f>
        <v xml:space="preserve">_Rafaqat Sons 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3615.8640000000005</v>
      </c>
      <c r="R20" s="299">
        <v>18</v>
      </c>
      <c r="S20" s="300" t="str">
        <f>+'18'!A6:A6</f>
        <v xml:space="preserve">_Rafaqat Sons 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903.96600000000012</v>
      </c>
      <c r="R21" s="299">
        <v>19</v>
      </c>
      <c r="S21" s="300" t="str">
        <f>+'19'!A6:A6</f>
        <v xml:space="preserve">_Rafaqat Sons 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21307.77</v>
      </c>
      <c r="R22" s="299">
        <v>20</v>
      </c>
      <c r="S22" s="300" t="str">
        <f>+'20'!A6:A6</f>
        <v xml:space="preserve">_Rafaqat Sons 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4881.3559322033889</v>
      </c>
      <c r="R23" s="299">
        <v>21</v>
      </c>
      <c r="S23" s="300" t="str">
        <f>+'21'!A6:A6</f>
        <v xml:space="preserve">_Rafaqat Sons 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26189.125932203387</v>
      </c>
      <c r="R24" s="299">
        <v>22</v>
      </c>
      <c r="S24" s="300" t="str">
        <f>+'22'!A6:A6</f>
        <v xml:space="preserve">_Rafaqat Sons 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130.94562966101694</v>
      </c>
      <c r="R25" s="299">
        <v>23</v>
      </c>
      <c r="S25" s="300" t="str">
        <f>+'23'!A6:A6</f>
        <v xml:space="preserve">_Rafaqat Sons 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26320.071561864403</v>
      </c>
      <c r="R26" s="299">
        <v>24</v>
      </c>
      <c r="S26" s="300" t="str">
        <f>+'24'!A6:A6</f>
        <v xml:space="preserve">_Rafaqat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 xml:space="preserve">_Rafaqat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_Rafaqat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_Rafaqat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_Rafaqat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_Rafaqat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_Rafaqat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26320.071561864403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A14" sqref="A14:B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7.2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500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A13" t="s">
        <v>518</v>
      </c>
      <c r="B13" t="s">
        <v>519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319">
        <v>3.5000000000000003E-2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311">
        <f t="shared" si="5"/>
        <v>5922.0078101694908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400</v>
      </c>
      <c r="I25" s="114">
        <f t="shared" ref="I25:M25" si="10">SUM(I16:I24)</f>
        <v>25827.600000000002</v>
      </c>
      <c r="J25" s="274">
        <f>SUM(J16:J24)</f>
        <v>3615.8640000000005</v>
      </c>
      <c r="K25" s="275">
        <f t="shared" si="10"/>
        <v>903.96600000000012</v>
      </c>
      <c r="L25" s="276">
        <f t="shared" si="10"/>
        <v>0</v>
      </c>
      <c r="M25" s="232">
        <f t="shared" si="10"/>
        <v>21307.769999999997</v>
      </c>
      <c r="N25" s="233">
        <f>SUM(N16:N24)</f>
        <v>4881.3559322033889</v>
      </c>
      <c r="O25" s="101">
        <f>SUM(O16:O24)</f>
        <v>130.94562966101694</v>
      </c>
      <c r="P25" s="113">
        <f>SUM(P16:P24)</f>
        <v>26320.071561864403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25827.600000000002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3615.8640000000005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903.96600000000012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21307.77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4881.3559322033889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26189.125932203387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130.94562966101694</v>
      </c>
    </row>
    <row r="35" spans="2:16" ht="15.75" customHeight="1" thickBot="1" x14ac:dyDescent="0.4">
      <c r="N35" s="344" t="s">
        <v>88</v>
      </c>
      <c r="O35" s="345"/>
      <c r="P35" s="297">
        <f>+P33+P34</f>
        <v>26320.071561864403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5" workbookViewId="0">
      <selection activeCell="B13" sqref="B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502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A13" t="s">
        <v>518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46285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46284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2026-09-19T06:26:56Z</dcterms:modified>
</cp:coreProperties>
</file>