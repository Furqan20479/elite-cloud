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12519E1-B932-4DE9-B4AA-5F4C7BA1F827}" xr6:coauthVersionLast="47" xr6:coauthVersionMax="47" xr10:uidLastSave="{00000000-0000-0000-0000-000000000000}"/>
  <bookViews>
    <workbookView xWindow="-110" yWindow="-110" windowWidth="19420" windowHeight="10420" tabRatio="948" firstSheet="3" activeTab="17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52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44" l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<sst xmlns="http://schemas.openxmlformats.org/spreadsheetml/2006/main" count="3948" uniqueCount="531">
  <si>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</si>
  <si>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</si>
  <si>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</si>
  <si>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</si>
  <si>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</si>
  <si>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</si>
  <si>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</si>
  <si>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</si>
  <si>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</si>
  <si>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</si>
  <si>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</si>
  <si>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</si>
  <si>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</si>
  <si>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</si>
  <si>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</si>
  <si>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</si>
  <si>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</si>
  <si>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</si>
  <si>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</si>
  <si>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</si>
  <si>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</si>
  <si>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</si>
  <si>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</si>
  <si>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</si>
  <si>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</si>
  <si>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</si>
  <si>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</si>
  <si>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</si>
  <si>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</si>
  <si>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</si>
  <si>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</si>
  <si>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</si>
  <si>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</si>
  <si>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</si>
  <si>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</si>
  <si>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</si>
  <si>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</si>
  <si>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</si>
  <si>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</si>
  <si>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</si>
  <si>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</si>
  <si>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</si>
  <si>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</si>
  <si>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</si>
  <si>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</si>
  <si>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</si>
  <si>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</si>
  <si>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</si>
  <si>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</si>
  <si>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</si>
  <si>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</si>
  <si>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</si>
  <si>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</si>
  <si>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</si>
  <si>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</si>
  <si>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</si>
  <si>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</si>
  <si>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</si>
  <si>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</si>
  <si>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</si>
  <si>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</si>
  <si>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</si>
  <si>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</si>
  <si>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</si>
  <si>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</si>
  <si>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</si>
  <si>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</si>
  <si>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</si>
  <si>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</si>
  <si>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</si>
  <si>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</si>
  <si>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</si>
  <si>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</si>
  <si>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</si>
  <si>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</si>
  <si>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</si>
  <si>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</si>
  <si>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</si>
  <si>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</si>
  <si>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</si>
  <si>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</si>
  <si>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</si>
  <si>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</si>
  <si>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</si>
  <si>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</si>
  <si>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</si>
  <si>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</si>
  <si>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</si>
  <si>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</si>
  <si>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</si>
  <si>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</si>
  <si>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</si>
  <si>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</si>
  <si>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</si>
  <si>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</si>
  <si>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</si>
  <si>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</si>
  <si>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</si>
  <si>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</si>
  <si>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</si>
  <si>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</si>
  <si>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</si>
  <si>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</si>
  <si>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</si>
  <si>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</si>
  <si>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</si>
  <si>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</si>
  <si>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</si>
  <si>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</si>
  <si>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</si>
  <si>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</si>
  <si>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</si>
  <si>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</si>
  <si>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</si>
  <si>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</si>
  <si>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</si>
  <si>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</si>
  <si>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</si>
  <si>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</si>
  <si>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</si>
  <si>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</si>
  <si>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</si>
  <si>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</si>
  <si>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</si>
  <si>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</si>
  <si>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</si>
  <si>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</si>
  <si>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</si>
  <si>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</si>
  <si>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</si>
  <si>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</si>
  <si>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</si>
  <si>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</si>
  <si>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</si>
  <si>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</si>
  <si>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</si>
  <si>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</si>
  <si>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</si>
  <si>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</si>
  <si>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</si>
  <si>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</si>
  <si>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</si>
  <si>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</si>
  <si>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</si>
  <si>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</si>
  <si>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</si>
  <si>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</si>
  <si>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</si>
  <si>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</si>
  <si>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</si>
  <si>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</si>
  <si>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</si>
  <si>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</si>
  <si>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</si>
  <si>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</si>
  <si>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</si>
  <si>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</si>
  <si>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</si>
  <si>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</si>
  <si>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</si>
  <si>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</si>
  <si>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</si>
  <si>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</si>
  <si>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</si>
  <si>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</si>
  <si>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</si>
  <si>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</si>
  <si>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</si>
  <si>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</si>
  <si>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</si>
  <si>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</si>
  <si>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</si>
  <si>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</si>
  <si>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</si>
  <si>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</si>
  <si>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</si>
  <si>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</si>
  <si>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</si>
  <si>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</si>
  <si>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</si>
  <si>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</si>
  <si>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</si>
  <si>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</si>
  <si>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</si>
  <si>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</si>
  <si>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</si>
  <si>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</si>
  <si>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</si>
  <si>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</si>
  <si>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</si>
  <si>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</si>
  <si>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</si>
  <si>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</si>
  <si>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</si>
  <si>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</si>
  <si>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</si>
  <si>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</si>
  <si>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</si>
  <si>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</si>
  <si>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</si>
  <si>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</si>
  <si>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</si>
  <si>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</si>
  <si>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</si>
  <si>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</si>
  <si>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</si>
  <si>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</si>
  <si>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</si>
  <si>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</si>
  <si>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</si>
  <si>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</si>
  <si>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</si>
  <si>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</si>
  <si>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</si>
  <si>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</si>
  <si>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</si>
  <si>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</si>
  <si>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</si>
  <si>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</si>
  <si>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</si>
  <si>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</si>
  <si>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</si>
  <si>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</si>
  <si>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</si>
  <si>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</si>
  <si>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</si>
  <si>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</si>
  <si>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</si>
  <si>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</si>
  <si>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</si>
  <si>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</si>
  <si>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</si>
  <si>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</si>
  <si>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</si>
  <si>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</si>
  <si>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</si>
  <si>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</si>
  <si>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</si>
  <si>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</si>
  <si>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</si>
  <si>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</si>
  <si>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</si>
  <si>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</si>
  <si>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</si>
  <si>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</si>
  <si>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</si>
  <si>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</si>
  <si>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</si>
  <si>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</si>
  <si>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</si>
  <si>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</si>
  <si>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</si>
  <si>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</si>
  <si>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</si>
  <si>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</si>
  <si>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</si>
  <si>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</si>
  <si>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</si>
  <si>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</si>
  <si>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</si>
  <si>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</si>
  <si>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</si>
  <si>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</si>
  <si>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</si>
  <si>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</si>
  <si>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</si>
  <si>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</si>
  <si>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</si>
  <si>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</si>
  <si>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</si>
  <si>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</si>
  <si>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</si>
  <si>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</si>
  <si>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</si>
  <si>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</si>
  <si>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</si>
  <si>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</si>
  <si>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</si>
  <si>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</si>
  <si>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</si>
  <si>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</si>
  <si>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</si>
  <si>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</si>
  <si>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</si>
  <si>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</si>
  <si>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</si>
  <si>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</si>
  <si>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</si>
  <si>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</si>
  <si>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</si>
  <si>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</si>
  <si>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</si>
  <si>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</si>
  <si>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</si>
  <si>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</si>
  <si>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</si>
  <si>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</si>
  <si>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</si>
  <si>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</si>
  <si>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</si>
  <si>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</si>
  <si>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</si>
  <si>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</si>
  <si>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</si>
  <si>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</si>
  <si>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</si>
  <si>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</si>
  <si>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</si>
  <si>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</si>
  <si>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</si>
  <si>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</si>
  <si>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</si>
  <si>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</si>
  <si>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</si>
  <si>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</si>
  <si>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</si>
  <si>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</si>
  <si>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</si>
  <si>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</si>
  <si>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</si>
  <si>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</si>
  <si>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</si>
  <si>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</si>
  <si>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</si>
  <si>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</si>
  <si>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</si>
  <si>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</si>
  <si>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</si>
  <si>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</si>
  <si>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</si>
  <si>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</si>
  <si>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</si>
  <si>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</si>
  <si>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</si>
  <si>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</si>
  <si>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</si>
  <si>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</si>
  <si>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</si>
  <si>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</si>
  <si>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</si>
  <si>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</si>
  <si>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</si>
  <si>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</si>
  <si>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</si>
  <si>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</si>
  <si>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</si>
  <si>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</si>
  <si>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</si>
  <si>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</si>
  <si>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</si>
  <si>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</si>
  <si>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</si>
  <si>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</si>
  <si>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</si>
  <si>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</si>
  <si>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</si>
  <si>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</si>
  <si>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</si>
  <si>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</si>
  <si>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</si>
  <si>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</si>
  <si>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</si>
  <si>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</si>
  <si>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</si>
  <si>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</si>
  <si>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</si>
  <si>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</si>
  <si>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</si>
  <si>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</si>
  <si>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</si>
  <si>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</si>
  <si>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</si>
  <si>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</si>
  <si>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</si>
  <si>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</si>
  <si>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</si>
  <si>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</si>
  <si>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</si>
  <si>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</si>
  <si>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</si>
  <si>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</si>
  <si>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</si>
  <si>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</si>
  <si>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</si>
  <si>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</si>
  <si>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</si>
  <si>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</si>
  <si>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</si>
  <si>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</si>
  <si>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</si>
  <si>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</si>
  <si>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</si>
  <si>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</si>
  <si>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</si>
  <si>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</si>
  <si>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</si>
  <si>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</si>
  <si>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</si>
  <si>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</si>
  <si>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</si>
  <si>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</si>
  <si>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</si>
  <si>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</si>
  <si>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</si>
  <si>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</si>
  <si>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</si>
  <si>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</si>
  <si>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</si>
  <si>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</si>
  <si>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</si>
  <si>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</si>
  <si>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</si>
  <si>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</si>
  <si>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</si>
  <si>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</si>
  <si>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</si>
  <si>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</si>
  <si>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</si>
  <si>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</si>
  <si>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</si>
  <si>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</si>
  <si>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</si>
  <si>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</si>
  <si>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</si>
  <si>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</si>
  <si>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</si>
  <si>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</si>
  <si>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</si>
  <si>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</si>
  <si>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</si>
  <si>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</si>
  <si>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</si>
  <si>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</si>
  <si>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</si>
  <si>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</si>
  <si>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</si>
  <si>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</si>
  <si>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</si>
  <si>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</si>
  <si>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</si>
  <si>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</si>
  <si>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</si>
  <si>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</si>
  <si>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</si>
  <si>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</si>
  <si>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</si>
  <si>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</si>
  <si>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</si>
  <si>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</si>
  <si>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</si>
  <si>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</si>
  <si>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</si>
  <si>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</si>
  <si>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</si>
  <si>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</si>
  <si>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</si>
  <si>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</si>
  <si>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</si>
  <si>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</si>
  <si>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</si>
  <si>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</si>
  <si>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</si>
  <si>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</si>
  <si>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</si>
  <si>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</si>
  <si>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</si>
  <si>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</si>
  <si>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</si>
  <si>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</si>
  <si>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</si>
  <si>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</si>
  <si>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</si>
  <si>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</si>
  <si>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</si>
  <si>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</si>
  <si>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</si>
  <si>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</si>
  <si>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</si>
  <si>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</si>
  <si>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</si>
  <si>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</si>
  <si>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</si>
  <si>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</si>
  <si>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</si>
  <si>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</si>
  <si>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</si>
  <si>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</si>
  <si>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</si>
  <si>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</si>
  <si>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</si>
  <si>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</si>
  <si>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</si>
  <si>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</si>
  <si>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</si>
  <si>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</si>
  <si>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</si>
  <si>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</si>
  <si>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</si>
  <si>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</si>
  <si>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</si>
  <si>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</si>
  <si>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</si>
  <si>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</si>
  <si>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</si>
  <si>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</si>
  <si>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</si>
  <si>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</si>
  <si>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</si>
  <si>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</si>
  <si>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</si>
  <si>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</si>
  <si>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</si>
  <si>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</si>
  <si>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</si>
  <si>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Umair</t>
  </si>
  <si>
    <t>SK Super Store</t>
  </si>
  <si>
    <t>Address: Qanchi Bazar</t>
  </si>
  <si>
    <t>Khan GS</t>
  </si>
  <si>
    <t xml:space="preserve">Haji Chirag Deen </t>
  </si>
  <si>
    <t>Noman GS</t>
  </si>
  <si>
    <t>Fayaz Kareyana Store</t>
  </si>
  <si>
    <t xml:space="preserve">MA Mart </t>
  </si>
  <si>
    <t>Address: Abid Market</t>
  </si>
  <si>
    <t>Baba Freed Store</t>
  </si>
  <si>
    <t xml:space="preserve">Bismillah Cash &amp; Carry </t>
  </si>
  <si>
    <t xml:space="preserve">Main Bakery </t>
  </si>
  <si>
    <t>Iftakhar GS</t>
  </si>
  <si>
    <t>Main GS</t>
  </si>
  <si>
    <t>Tayyab Gs</t>
  </si>
  <si>
    <t xml:space="preserve">Abdul Ghafoor </t>
  </si>
  <si>
    <t xml:space="preserve">Address: Abid Market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</si>
</sst>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opLeftCell="A7" workbookViewId="0">
      <selection activeCell="S15" activeCellId="8" sqref="S3:S5 S7 S8 S10 S11 S12 S13 S14 S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514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46273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SK Super Store</v>
      </c>
      <c r="T3" s="301">
        <f>+'1'!P35</f>
        <v>834.58895674576274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Khan GS</v>
      </c>
      <c r="T4" s="301">
        <f>+'2'!P35</f>
        <v>3080.473126779661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Haji Chirag Deen </v>
      </c>
      <c r="T5" s="301">
        <f>+'3'!P35</f>
        <v>1180.2688488991523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Noman GS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</v>
      </c>
      <c r="I7" s="235">
        <f>(G7*D7)*F7+H7*F7</f>
        <v>314.77499999999998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25.181999999999999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11.017125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278.575875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59.491525423728788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1.6903370021186439</v>
      </c>
      <c r="P7" s="310">
        <f>M7+N7+O7</f>
        <v>339.75773742584744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12</v>
      </c>
      <c r="R7" s="314">
        <v>5</v>
      </c>
      <c r="S7" s="300" t="str">
        <f>+'5'!A6:A6</f>
        <v>Fayaz Kareyana Store</v>
      </c>
      <c r="T7" s="301">
        <f>+'5'!P35</f>
        <v>1669.1779134915255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</v>
      </c>
      <c r="I8" s="236">
        <f t="shared" ref="I8:I14" si="0">(G8*D8)*F8+H8*F8</f>
        <v>314.77499999999998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25.181999999999999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11.017125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278.575875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59.491525423728788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1.6903370021186439</v>
      </c>
      <c r="P8" s="311">
        <f t="shared" ref="P8:P15" si="2">M8+N8+O8</f>
        <v>339.75773742584744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MA Mart </v>
      </c>
      <c r="T8" s="301">
        <f>+'6'!P35</f>
        <v>1669.1779134915255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6</v>
      </c>
      <c r="R9" s="314">
        <v>7</v>
      </c>
      <c r="S9" s="300" t="str">
        <f>+'7'!A6:A6</f>
        <v>Baba Freed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21</v>
      </c>
      <c r="I10" s="236">
        <f t="shared" si="0"/>
        <v>1525.44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122.0352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53.390400000000007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1350.0144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288.30508474576277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8.1915974237288136</v>
      </c>
      <c r="P10" s="311">
        <f t="shared" si="2"/>
        <v>1646.5110821694916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Bismillah Cash &amp; Carry </v>
      </c>
      <c r="T10" s="301">
        <f>+'8'!P35</f>
        <v>1471.9384858576273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27</v>
      </c>
      <c r="I11" s="236">
        <f t="shared" si="0"/>
        <v>1961.28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156.9024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68.644800000000004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1735.7328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370.67796610169495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10.532053830508474</v>
      </c>
      <c r="P11" s="311">
        <f t="shared" si="2"/>
        <v>2116.9428199322037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Main Bakery </v>
      </c>
      <c r="T11" s="301">
        <f>+'9'!P35</f>
        <v>1669.1779134915255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</v>
      </c>
      <c r="I12" s="236">
        <f t="shared" si="0"/>
        <v>1162.24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92.979200000000006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40.678400000000003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1028.5824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219.66101694915255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6.2412170847457631</v>
      </c>
      <c r="P12" s="311">
        <f t="shared" si="2"/>
        <v>1254.4846340338984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Iftakhar GS</v>
      </c>
      <c r="T12" s="301">
        <f>+'10'!P35</f>
        <v>1669.1779134915255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320</v>
      </c>
      <c r="I13" s="236">
        <f t="shared" si="0"/>
        <v>12553.600000000002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627.68000000000018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439.37600000000015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640.23360000000002</v>
      </c>
      <c r="M13" s="230">
        <f t="shared" si="1"/>
        <v>10846.310400000002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2440.6779661016935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66.434941830508478</v>
      </c>
      <c r="P13" s="311">
        <f t="shared" si="2"/>
        <v>13353.423307932204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32</v>
      </c>
      <c r="R13" s="314">
        <v>11</v>
      </c>
      <c r="S13" s="300" t="str">
        <f>+'11'!A6:A6</f>
        <v>Main GS</v>
      </c>
      <c r="T13" s="301">
        <f>+'11'!P35</f>
        <v>4805.3894985762709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Tayyab Gs</v>
      </c>
      <c r="T14" s="301">
        <f>+'12'!P35</f>
        <v>500.75337404745761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Abdul Ghafoor </v>
      </c>
      <c r="T15" s="301">
        <f>+'13'!P35</f>
        <v>500.75337404745761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9.9</v>
      </c>
      <c r="H16" s="113">
        <f t="shared" ref="H16:M16" si="3">SUM(H7:H15)</f>
        <v>396</v>
      </c>
      <c r="I16" s="114">
        <f t="shared" si="3"/>
        <v>17832.11</v>
      </c>
      <c r="J16" s="274">
        <f>SUM(J7:J15)</f>
        <v>1049.9608000000003</v>
      </c>
      <c r="K16" s="275">
        <f t="shared" si="3"/>
        <v>624.12385000000017</v>
      </c>
      <c r="L16" s="276">
        <f t="shared" si="3"/>
        <v>640.23360000000002</v>
      </c>
      <c r="M16" s="232">
        <f t="shared" si="3"/>
        <v>15517.791750000002</v>
      </c>
      <c r="N16" s="233">
        <f>SUM(N7:N15)</f>
        <v>3438.3050847457616</v>
      </c>
      <c r="O16" s="101">
        <f>SUM(O7:O15)</f>
        <v>94.780484173728809</v>
      </c>
      <c r="P16" s="113">
        <f>SUM(P7:P15)</f>
        <v>19050.877318919491</v>
      </c>
      <c r="Q16" s="128">
        <f>SUM(Q7:Q15)</f>
        <v>50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17832.11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1049.9608000000003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1264.3574500000002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15517.79175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3438.3050847457616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18956.09683474576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94.780484173728809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19050.877318919487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19050.877318919491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20</v>
      </c>
      <c r="I25" s="114">
        <f t="shared" ref="I25:M25" si="10">SUM(I16:I24)</f>
        <v>784.60000000000014</v>
      </c>
      <c r="J25" s="274">
        <f>SUM(J16:J24)</f>
        <v>39.230000000000011</v>
      </c>
      <c r="K25" s="275">
        <f t="shared" si="10"/>
        <v>27.461000000000006</v>
      </c>
      <c r="L25" s="276">
        <f t="shared" si="10"/>
        <v>40.014600000000002</v>
      </c>
      <c r="M25" s="232">
        <f t="shared" si="10"/>
        <v>677.89440000000013</v>
      </c>
      <c r="N25" s="233">
        <f>SUM(N16:N24)</f>
        <v>152.54237288135585</v>
      </c>
      <c r="O25" s="101">
        <f>SUM(O16:O24)</f>
        <v>4.1521838644067799</v>
      </c>
      <c r="P25" s="113">
        <f>SUM(P16:P24)</f>
        <v>834.58895674576274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784.60000000000014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39.230000000000011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67.475600000000014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677.89440000000013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830.43677288135598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44" t="s">
        <v>88</v>
      </c>
      <c r="O35" s="345"/>
      <c r="P35" s="297">
        <f>+P33+P34</f>
        <v>834.58895674576274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58</v>
      </c>
      <c r="I25" s="114">
        <f t="shared" si="7"/>
        <v>2876.7200000000003</v>
      </c>
      <c r="J25" s="274">
        <f>SUM(J16:J24)</f>
        <v>183.06160000000006</v>
      </c>
      <c r="K25" s="275">
        <f t="shared" si="7"/>
        <v>100.68520000000001</v>
      </c>
      <c r="L25" s="276">
        <f t="shared" si="7"/>
        <v>80.029200000000003</v>
      </c>
      <c r="M25" s="232">
        <f t="shared" si="7"/>
        <v>2512.9440000000004</v>
      </c>
      <c r="N25" s="233">
        <f>SUM(N16:N24)</f>
        <v>552.20338983050829</v>
      </c>
      <c r="O25" s="101">
        <f>SUM(O16:O24)</f>
        <v>15.325736949152542</v>
      </c>
      <c r="P25" s="113">
        <f>SUM(P16:P24)</f>
        <v>3080.473126779661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2876.7200000000003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183.06160000000006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180.71440000000001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2512.9440000000004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552.20338983050829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3065.1473898305085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15.325736949152542</v>
      </c>
    </row>
    <row r="35" spans="2:16" ht="15.75" customHeight="1" thickBot="1" x14ac:dyDescent="0.4">
      <c r="N35" s="344" t="s">
        <v>88</v>
      </c>
      <c r="O35" s="345"/>
      <c r="P35" s="297">
        <f>+P33+P34</f>
        <v>3080.473126779661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9" workbookViewId="0">
      <selection activeCell="B26" sqref="B26:B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8.7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310">
        <f>M16+N16+O16</f>
        <v>339.75773742584744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>
        <v>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24</v>
      </c>
      <c r="I25" s="114">
        <f t="shared" si="7"/>
        <v>1100.31</v>
      </c>
      <c r="J25" s="274">
        <f>SUM(J16:J24)</f>
        <v>73.902000000000001</v>
      </c>
      <c r="K25" s="275">
        <f t="shared" si="7"/>
        <v>38.510850000000005</v>
      </c>
      <c r="L25" s="276">
        <f t="shared" si="7"/>
        <v>24.008760000000002</v>
      </c>
      <c r="M25" s="232">
        <f t="shared" si="7"/>
        <v>963.88839000000007</v>
      </c>
      <c r="N25" s="233">
        <f>SUM(N16:N24)</f>
        <v>210.50847457627108</v>
      </c>
      <c r="O25" s="101">
        <f>SUM(O16:O24)</f>
        <v>5.8719843228813549</v>
      </c>
      <c r="P25" s="113">
        <f>SUM(P16:P24)</f>
        <v>1180.2688488991525</v>
      </c>
      <c r="Q25" s="128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1100.31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73.902000000000001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62.519610000000007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963.88838999999984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210.50847457627108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1174.3968645762709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5.8719843228813549</v>
      </c>
    </row>
    <row r="35" spans="2:16" ht="15.75" customHeight="1" thickBot="1" x14ac:dyDescent="0.4">
      <c r="N35" s="344" t="s">
        <v>88</v>
      </c>
      <c r="O35" s="345"/>
      <c r="P35" s="297">
        <f>+P33+P34</f>
        <v>1180.2688488991523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activeCell="H22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12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20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32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1569.2000000000003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78.460000000000022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134.95120000000003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1355.7888000000003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1660.873545762712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4" t="s">
        <v>88</v>
      </c>
      <c r="O35" s="345"/>
      <c r="P35" s="297">
        <f>+P33+P34</f>
        <v>1669.1779134915255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'1'!N4:P5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1569.2000000000003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78.460000000000022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134.95120000000003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1355.7888000000003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1660.873545762712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4" t="s">
        <v>88</v>
      </c>
      <c r="O35" s="345"/>
      <c r="P35" s="297">
        <f>+P33+P34</f>
        <v>1669.1779134915255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activeCell="G23" sqref="G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523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activeCell="F23" sqref="F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524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311">
        <f t="shared" si="5"/>
        <v>1001.5067480949152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30</v>
      </c>
      <c r="I25" s="114">
        <f t="shared" si="7"/>
        <v>1377.3600000000001</v>
      </c>
      <c r="J25" s="274">
        <f>SUM(J16:J24)</f>
        <v>81.943200000000019</v>
      </c>
      <c r="K25" s="275">
        <f t="shared" si="7"/>
        <v>48.207600000000014</v>
      </c>
      <c r="L25" s="276">
        <f t="shared" si="7"/>
        <v>48.017520000000005</v>
      </c>
      <c r="M25" s="232">
        <f t="shared" si="7"/>
        <v>1199.1916800000001</v>
      </c>
      <c r="N25" s="233">
        <f>SUM(N16:N24)</f>
        <v>265.42372881355925</v>
      </c>
      <c r="O25" s="101">
        <f>SUM(O16:O24)</f>
        <v>7.3230770440677961</v>
      </c>
      <c r="P25" s="113">
        <f>SUM(P16:P24)</f>
        <v>1471.938485857627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1377.3600000000001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81.943200000000019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96.225120000000018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1199.1916800000001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265.42372881355925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1464.6154088135595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7.3230770440677979</v>
      </c>
    </row>
    <row r="35" spans="2:16" ht="15.75" customHeight="1" thickBot="1" x14ac:dyDescent="0.4">
      <c r="N35" s="344" t="s">
        <v>88</v>
      </c>
      <c r="O35" s="345"/>
      <c r="P35" s="297">
        <f>+P33+P34</f>
        <v>1471.9384858576273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525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1569.2000000000003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78.460000000000022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134.95120000000003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1355.7888000000003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1660.873545762712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4" t="s">
        <v>88</v>
      </c>
      <c r="O35" s="345"/>
      <c r="P35" s="297">
        <f>+P33+P34</f>
        <v>1669.1779134915255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526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1569.2000000000003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78.460000000000022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134.95120000000003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1355.7888000000003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1660.873545762712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4" t="s">
        <v>88</v>
      </c>
      <c r="O35" s="345"/>
      <c r="P35" s="297">
        <f>+P33+P34</f>
        <v>1669.1779134915255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527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4474.8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310.90800000000002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236.64720000000003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3927.2447999999999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4781.4820881355927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44" t="s">
        <v>88</v>
      </c>
      <c r="O35" s="345"/>
      <c r="P35" s="297">
        <f>+P33+P34</f>
        <v>4805.3894985762709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528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470.76000000000005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23.538000000000004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40.485360000000007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406.73664000000002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498.26206372881353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4" t="s">
        <v>88</v>
      </c>
      <c r="O35" s="345"/>
      <c r="P35" s="297">
        <f>+P33+P34</f>
        <v>500.75337404745761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529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530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470.76000000000005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23.538000000000004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40.485360000000007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406.73664000000002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498.26206372881353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4" t="s">
        <v>88</v>
      </c>
      <c r="O35" s="345"/>
      <c r="P35" s="297">
        <f>+P33+P34</f>
        <v>500.75337404745761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abSelected="1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46283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46282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2026-09-17T09:50:40Z</dcterms:modified>
</cp:coreProperties>
</file>