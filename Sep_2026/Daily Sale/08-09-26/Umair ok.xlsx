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F350FB7-466B-4D16-B34A-FD36357EF04C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2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44" l="1"/>
  <c r="N4" i="72"/>
  <c r="N5" i="72" s="1"/>
  <c r="N4" i="71"/>
  <c r="N5" i="71" s="1"/>
  <c r="N4" i="54"/>
  <c r="N5" i="54" s="1"/>
  <c r="N4" i="66"/>
  <c r="N5" i="66" s="1"/>
  <c r="N4" i="49"/>
  <c r="N5" i="49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20" i="46"/>
  <c r="O20" i="46" s="1"/>
  <c r="P20" i="46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<sst xmlns="http://schemas.openxmlformats.org/spreadsheetml/2006/main" count="3948" uniqueCount="531">
  <si>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</si>
  <si>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</si>
  <si>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</si>
  <si>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</si>
  <si>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</si>
  <si>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</si>
  <si>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</si>
  <si>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</si>
  <si>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</si>
  <si>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</si>
  <si>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</si>
  <si>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</si>
  <si>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</si>
  <si>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</si>
  <si>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</si>
  <si>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</si>
  <si>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</si>
  <si>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</si>
  <si>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</si>
  <si>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</si>
  <si>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</si>
  <si>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</si>
  <si>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</si>
  <si>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</si>
  <si>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</si>
  <si>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</si>
  <si>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</si>
  <si>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</si>
  <si>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</si>
  <si>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</si>
  <si>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</si>
  <si>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</si>
  <si>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</si>
  <si>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</si>
  <si>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</si>
  <si>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</si>
  <si>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</si>
  <si>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</si>
  <si>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</si>
  <si>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</si>
  <si>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</si>
  <si>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</si>
  <si>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</si>
  <si>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</si>
  <si>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</si>
  <si>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</si>
  <si>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</si>
  <si>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</si>
  <si>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</si>
  <si>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</si>
  <si>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</si>
  <si>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</si>
  <si>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</si>
  <si>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</si>
  <si>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</si>
  <si>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</si>
  <si>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</si>
  <si>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</si>
  <si>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</si>
  <si>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</si>
  <si>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</si>
  <si>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</si>
  <si>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</si>
  <si>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</si>
  <si>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</si>
  <si>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</si>
  <si>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</si>
  <si>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</si>
  <si>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</si>
  <si>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</si>
  <si>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</si>
  <si>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</si>
  <si>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</si>
  <si>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</si>
  <si>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</si>
  <si>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</si>
  <si>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</si>
  <si>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</si>
  <si>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</si>
  <si>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</si>
  <si>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</si>
  <si>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</si>
  <si>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</si>
  <si>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</si>
  <si>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</si>
  <si>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</si>
  <si>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</si>
  <si>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</si>
  <si>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</si>
  <si>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</si>
  <si>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</si>
  <si>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</si>
  <si>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</si>
  <si>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</si>
  <si>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</si>
  <si>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</si>
  <si>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</si>
  <si>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</si>
  <si>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</si>
  <si>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</si>
  <si>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</si>
  <si>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</si>
  <si>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</si>
  <si>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</si>
  <si>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</si>
  <si>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</si>
  <si>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</si>
  <si>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</si>
  <si>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</si>
  <si>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</si>
  <si>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</si>
  <si>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</si>
  <si>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</si>
  <si>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</si>
  <si>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</si>
  <si>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</si>
  <si>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</si>
  <si>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</si>
  <si>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</si>
  <si>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</si>
  <si>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</si>
  <si>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</si>
  <si>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</si>
  <si>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</si>
  <si>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</si>
  <si>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</si>
  <si>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</si>
  <si>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</si>
  <si>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</si>
  <si>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</si>
  <si>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</si>
  <si>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</si>
  <si>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</si>
  <si>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</si>
  <si>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</si>
  <si>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</si>
  <si>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</si>
  <si>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</si>
  <si>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</si>
  <si>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</si>
  <si>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</si>
  <si>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</si>
  <si>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</si>
  <si>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</si>
  <si>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</si>
  <si>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</si>
  <si>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</si>
  <si>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</si>
  <si>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</si>
  <si>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</si>
  <si>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</si>
  <si>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</si>
  <si>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</si>
  <si>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</si>
  <si>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</si>
  <si>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</si>
  <si>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</si>
  <si>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</si>
  <si>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</si>
  <si>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</si>
  <si>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</si>
  <si>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</si>
  <si>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</si>
  <si>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</si>
  <si>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</si>
  <si>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</si>
  <si>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</si>
  <si>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</si>
  <si>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</si>
  <si>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</si>
  <si>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</si>
  <si>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</si>
  <si>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</si>
  <si>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</si>
  <si>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</si>
  <si>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</si>
  <si>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</si>
  <si>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</si>
  <si>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</si>
  <si>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</si>
  <si>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</si>
  <si>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</si>
  <si>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</si>
  <si>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</si>
  <si>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</si>
  <si>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</si>
  <si>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</si>
  <si>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</si>
  <si>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</si>
  <si>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</si>
  <si>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</si>
  <si>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</si>
  <si>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</si>
  <si>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</si>
  <si>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</si>
  <si>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</si>
  <si>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</si>
  <si>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</si>
  <si>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</si>
  <si>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</si>
  <si>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</si>
  <si>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</si>
  <si>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</si>
  <si>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</si>
  <si>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</si>
  <si>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</si>
  <si>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</si>
  <si>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</si>
  <si>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</si>
  <si>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</si>
  <si>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</si>
  <si>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</si>
  <si>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</si>
  <si>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</si>
  <si>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</si>
  <si>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</si>
  <si>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</si>
  <si>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</si>
  <si>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</si>
  <si>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</si>
  <si>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</si>
  <si>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</si>
  <si>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</si>
  <si>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</si>
  <si>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</si>
  <si>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</si>
  <si>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</si>
  <si>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</si>
  <si>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</si>
  <si>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</si>
  <si>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</si>
  <si>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</si>
  <si>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</si>
  <si>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</si>
  <si>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</si>
  <si>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</si>
  <si>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</si>
  <si>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</si>
  <si>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</si>
  <si>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</si>
  <si>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</si>
  <si>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</si>
  <si>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</si>
  <si>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</si>
  <si>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</si>
  <si>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</si>
  <si>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</si>
  <si>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</si>
  <si>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</si>
  <si>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</si>
  <si>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</si>
  <si>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</si>
  <si>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</si>
  <si>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</si>
  <si>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</si>
  <si>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</si>
  <si>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</si>
  <si>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</si>
  <si>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</si>
  <si>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</si>
  <si>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</si>
  <si>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</si>
  <si>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</si>
  <si>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</si>
  <si>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</si>
  <si>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</si>
  <si>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</si>
  <si>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</si>
  <si>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</si>
  <si>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</si>
  <si>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</si>
  <si>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</si>
  <si>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</si>
  <si>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</si>
  <si>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</si>
  <si>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</si>
  <si>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</si>
  <si>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</si>
  <si>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</si>
  <si>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</si>
  <si>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</si>
  <si>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</si>
  <si>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</si>
  <si>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</si>
  <si>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</si>
  <si>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</si>
  <si>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</si>
  <si>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</si>
  <si>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</si>
  <si>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</si>
  <si>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</si>
  <si>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</si>
  <si>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</si>
  <si>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</si>
  <si>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</si>
  <si>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</si>
  <si>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</si>
  <si>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</si>
  <si>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</si>
  <si>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</si>
  <si>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</si>
  <si>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</si>
  <si>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</si>
  <si>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</si>
  <si>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</si>
  <si>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</si>
  <si>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</si>
  <si>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</si>
  <si>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</si>
  <si>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</si>
  <si>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</si>
  <si>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</si>
  <si>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</si>
  <si>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</si>
  <si>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</si>
  <si>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</si>
  <si>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</si>
  <si>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</si>
  <si>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</si>
  <si>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</si>
  <si>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</si>
  <si>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</si>
  <si>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</si>
  <si>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</si>
  <si>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</si>
  <si>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</si>
  <si>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</si>
  <si>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</si>
  <si>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</si>
  <si>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</si>
  <si>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</si>
  <si>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</si>
  <si>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</si>
  <si>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</si>
  <si>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</si>
  <si>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</si>
  <si>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</si>
  <si>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</si>
  <si>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</si>
  <si>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</si>
  <si>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</si>
  <si>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</si>
  <si>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</si>
  <si>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</si>
  <si>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</si>
  <si>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</si>
  <si>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</si>
  <si>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</si>
  <si>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</si>
  <si>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</si>
  <si>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</si>
  <si>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</si>
  <si>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</si>
  <si>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</si>
  <si>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</si>
  <si>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</si>
  <si>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</si>
  <si>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</si>
  <si>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</si>
  <si>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</si>
  <si>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</si>
  <si>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</si>
  <si>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</si>
  <si>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</si>
  <si>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</si>
  <si>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</si>
  <si>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</si>
  <si>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</si>
  <si>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</si>
  <si>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</si>
  <si>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</si>
  <si>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</si>
  <si>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</si>
  <si>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</si>
  <si>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</si>
  <si>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</si>
  <si>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</si>
  <si>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</si>
  <si>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</si>
  <si>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</si>
  <si>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</si>
  <si>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</si>
  <si>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</si>
  <si>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</si>
  <si>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</si>
  <si>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</si>
  <si>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</si>
  <si>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</si>
  <si>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</si>
  <si>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</si>
  <si>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</si>
  <si>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</si>
  <si>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</si>
  <si>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</si>
  <si>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</si>
  <si>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</si>
  <si>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</si>
  <si>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</si>
  <si>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</si>
  <si>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</si>
  <si>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</si>
  <si>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</si>
  <si>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</si>
  <si>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</si>
  <si>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</si>
  <si>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</si>
  <si>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</si>
  <si>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</si>
  <si>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</si>
  <si>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</si>
  <si>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</si>
  <si>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</si>
  <si>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</si>
  <si>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</si>
  <si>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</si>
  <si>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</si>
  <si>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</si>
  <si>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</si>
  <si>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</si>
  <si>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</si>
  <si>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</si>
  <si>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</si>
  <si>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</si>
  <si>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</si>
  <si>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</si>
  <si>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</si>
  <si>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</si>
  <si>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</si>
  <si>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</si>
  <si>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</si>
  <si>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</si>
  <si>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</si>
  <si>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</si>
  <si>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</si>
  <si>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</si>
  <si>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</si>
  <si>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</si>
  <si>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</si>
  <si>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</si>
  <si>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</si>
  <si>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</si>
  <si>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</si>
  <si>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</si>
  <si>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</si>
  <si>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</si>
  <si>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</si>
  <si>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</si>
  <si>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</si>
  <si>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</si>
  <si>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</si>
  <si>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</si>
  <si>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</si>
  <si>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</si>
  <si>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</si>
  <si>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</si>
  <si>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</si>
  <si>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</si>
  <si>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</si>
  <si>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</si>
  <si>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</si>
  <si>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</si>
  <si>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</si>
  <si>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</si>
  <si>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</si>
  <si>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</si>
  <si>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</si>
  <si>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</si>
  <si>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</si>
  <si>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</si>
  <si>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</si>
  <si>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</si>
  <si>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</si>
  <si>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</si>
  <si>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</si>
  <si>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</si>
  <si>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</si>
  <si>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</si>
  <si>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</si>
  <si>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</si>
  <si>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</si>
  <si>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</si>
  <si>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</si>
  <si>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</si>
  <si>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</si>
  <si>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</si>
  <si>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</si>
  <si>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</si>
  <si>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</si>
  <si>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</si>
  <si>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</si>
  <si>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</si>
  <si>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</si>
  <si>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</si>
  <si>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</si>
  <si>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</si>
  <si>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</si>
  <si>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</si>
  <si>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</si>
  <si>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</si>
  <si>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</si>
  <si>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</si>
  <si>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</si>
  <si>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</si>
  <si>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</si>
  <si>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</si>
  <si>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</si>
  <si>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</si>
  <si>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</si>
  <si>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</si>
  <si>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</si>
  <si>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</si>
  <si>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</si>
  <si>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</si>
  <si>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</si>
  <si>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Umair</t>
  </si>
  <si>
    <t>SK Super Store</t>
  </si>
  <si>
    <t>Address: Qanchi Bazar</t>
  </si>
  <si>
    <t>Khan GS</t>
  </si>
  <si>
    <t xml:space="preserve">Haji Chirag Deen </t>
  </si>
  <si>
    <t>Noman GS</t>
  </si>
  <si>
    <t>Fayaz Kareyana Store</t>
  </si>
  <si>
    <t xml:space="preserve">MA Mart </t>
  </si>
  <si>
    <t>Address: Abid Market</t>
  </si>
  <si>
    <t>Baba Freed Store</t>
  </si>
  <si>
    <t xml:space="preserve">Bismillah Cash &amp; Carry </t>
  </si>
  <si>
    <t xml:space="preserve">Main Bakery </t>
  </si>
  <si>
    <t>Iftakhar GS</t>
  </si>
  <si>
    <t>Main GS</t>
  </si>
  <si>
    <t>Tayyab Gs</t>
  </si>
  <si>
    <t xml:space="preserve">Abdul Ghafoor </t>
  </si>
  <si>
    <t xml:space="preserve">Address: Abid Market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</si>
</sst>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2" t="s">
        <v>91</v>
      </c>
      <c r="B2" s="392"/>
      <c r="C2" s="392"/>
      <c r="E2" s="384" t="s">
        <v>498</v>
      </c>
      <c r="F2" s="385"/>
      <c r="G2" s="385"/>
      <c r="H2" s="382" t="s">
        <v>514</v>
      </c>
      <c r="I2" s="382"/>
      <c r="J2" s="383"/>
      <c r="R2" s="379" t="s">
        <v>497</v>
      </c>
      <c r="S2" s="380"/>
      <c r="T2" s="381"/>
    </row>
    <row r="3" spans="1:20 16377:16378" ht="21.75" customHeight="1" thickBot="1" x14ac:dyDescent="0.4">
      <c r="A3" s="393" t="s">
        <v>92</v>
      </c>
      <c r="B3" s="393"/>
      <c r="C3" s="393"/>
      <c r="E3" s="388" t="s">
        <v>508</v>
      </c>
      <c r="F3" s="389"/>
      <c r="G3" s="389"/>
      <c r="H3" s="386">
        <v>46273</v>
      </c>
      <c r="I3" s="386"/>
      <c r="J3" s="387"/>
      <c r="K3" s="394" t="s">
        <v>43</v>
      </c>
      <c r="L3" s="394"/>
      <c r="M3" s="394"/>
      <c r="N3" s="393"/>
      <c r="O3" s="393"/>
      <c r="P3" s="393"/>
      <c r="R3" s="299">
        <v>1</v>
      </c>
      <c r="S3" s="300" t="str">
        <f>+'1'!A6:A6</f>
        <v>SK Super Store</v>
      </c>
      <c r="T3" s="301">
        <f>+'1'!P35</f>
        <v>834.58895674576274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>Khan GS</v>
      </c>
      <c r="T4" s="301">
        <f>+'2'!P35</f>
        <v>3080.473126779661</v>
      </c>
      <c r="XEX4" t="s">
        <v>105</v>
      </c>
    </row>
    <row r="5" spans="1:20 16377:16378" ht="21.75" customHeight="1" thickBot="1" x14ac:dyDescent="0.4">
      <c r="A5" s="344" t="s">
        <v>51</v>
      </c>
      <c r="B5" s="345"/>
      <c r="C5" s="348" t="s">
        <v>90</v>
      </c>
      <c r="D5" s="115" t="s">
        <v>52</v>
      </c>
      <c r="E5" s="350" t="s">
        <v>58</v>
      </c>
      <c r="F5" s="351"/>
      <c r="G5" s="352" t="s">
        <v>54</v>
      </c>
      <c r="H5" s="353"/>
      <c r="I5" s="354" t="s">
        <v>77</v>
      </c>
      <c r="J5" s="391" t="s">
        <v>55</v>
      </c>
      <c r="K5" s="352"/>
      <c r="L5" s="353"/>
      <c r="M5" s="345" t="s">
        <v>84</v>
      </c>
      <c r="N5" s="390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Haji Chirag Deen </v>
      </c>
      <c r="T5" s="301">
        <f>+'3'!P35</f>
        <v>1180.2688488991523</v>
      </c>
      <c r="XEX5" t="s">
        <v>106</v>
      </c>
    </row>
    <row r="6" spans="1:20 16377:16378" ht="21.75" customHeight="1" thickBot="1" x14ac:dyDescent="0.4">
      <c r="A6" s="346"/>
      <c r="B6" s="347"/>
      <c r="C6" s="349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5"/>
      <c r="J6" s="143" t="s">
        <v>59</v>
      </c>
      <c r="K6" s="144" t="s">
        <v>39</v>
      </c>
      <c r="L6" s="145" t="s">
        <v>493</v>
      </c>
      <c r="M6" s="347"/>
      <c r="N6" s="355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Noman GS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</v>
      </c>
      <c r="I7" s="235">
        <f>(G7*D7)*F7+H7*F7</f>
        <v>314.77499999999998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25.181999999999999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11.017125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278.575875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59.491525423728788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1.6903370021186439</v>
      </c>
      <c r="P7" s="310">
        <f>M7+N7+O7</f>
        <v>339.75773742584744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12</v>
      </c>
      <c r="R7" s="314">
        <v>5</v>
      </c>
      <c r="S7" s="300" t="str">
        <f>+'5'!A6:A6</f>
        <v>Fayaz Kareyana Store</v>
      </c>
      <c r="T7" s="301">
        <f>+'5'!P35</f>
        <v>1669.1779134915255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</v>
      </c>
      <c r="I8" s="236">
        <f t="shared" ref="I8:I14" si="0">(G8*D8)*F8+H8*F8</f>
        <v>314.77499999999998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25.181999999999999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11.017125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278.575875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59.491525423728788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1.6903370021186439</v>
      </c>
      <c r="P8" s="311">
        <f t="shared" ref="P8:P15" si="2">M8+N8+O8</f>
        <v>339.75773742584744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MA Mart </v>
      </c>
      <c r="T8" s="301">
        <f>+'6'!P35</f>
        <v>1669.1779134915255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6</v>
      </c>
      <c r="R9" s="314">
        <v>7</v>
      </c>
      <c r="S9" s="300" t="str">
        <f>+'7'!A6:A6</f>
        <v>Baba Freed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21</v>
      </c>
      <c r="I10" s="236">
        <f t="shared" si="0"/>
        <v>1525.44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122.0352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53.390400000000007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1350.0144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288.30508474576277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8.1915974237288136</v>
      </c>
      <c r="P10" s="311">
        <f t="shared" si="2"/>
        <v>1646.5110821694916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Bismillah Cash &amp; Carry </v>
      </c>
      <c r="T10" s="301">
        <f>+'8'!P35</f>
        <v>1471.9384858576273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27</v>
      </c>
      <c r="I11" s="236">
        <f t="shared" si="0"/>
        <v>1961.28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156.9024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68.644800000000004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1735.7328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370.67796610169495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10.532053830508474</v>
      </c>
      <c r="P11" s="311">
        <f t="shared" si="2"/>
        <v>2116.9428199322037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Main Bakery </v>
      </c>
      <c r="T11" s="301">
        <f>+'9'!P35</f>
        <v>1669.1779134915255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</v>
      </c>
      <c r="I12" s="236">
        <f t="shared" si="0"/>
        <v>1162.24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92.979200000000006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40.678400000000003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1028.5824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219.66101694915255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6.2412170847457631</v>
      </c>
      <c r="P12" s="311">
        <f t="shared" si="2"/>
        <v>1254.4846340338984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Iftakhar GS</v>
      </c>
      <c r="T12" s="301">
        <f>+'10'!P35</f>
        <v>1669.1779134915255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320</v>
      </c>
      <c r="I13" s="236">
        <f t="shared" si="0"/>
        <v>12553.600000000002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627.68000000000018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439.37600000000015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640.23360000000002</v>
      </c>
      <c r="M13" s="230">
        <f t="shared" si="1"/>
        <v>10846.310400000002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2440.6779661016935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66.434941830508478</v>
      </c>
      <c r="P13" s="311">
        <f t="shared" si="2"/>
        <v>13353.423307932204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32</v>
      </c>
      <c r="R13" s="314">
        <v>11</v>
      </c>
      <c r="S13" s="300" t="str">
        <f>+'11'!A6:A6</f>
        <v>Main GS</v>
      </c>
      <c r="T13" s="301">
        <f>+'11'!P35</f>
        <v>4805.3894985762709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Tayyab Gs</v>
      </c>
      <c r="T14" s="301">
        <f>+'12'!P35</f>
        <v>500.75337404745761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Abdul Ghafoor </v>
      </c>
      <c r="T15" s="301">
        <f>+'13'!P35</f>
        <v>500.75337404745761</v>
      </c>
    </row>
    <row r="16" spans="1:20 16377:16378" ht="21.75" customHeight="1" thickBot="1" x14ac:dyDescent="0.4">
      <c r="A16" s="395">
        <f>COUNT(A7:A15)</f>
        <v>0</v>
      </c>
      <c r="B16" s="356"/>
      <c r="C16" s="356" t="s">
        <v>40</v>
      </c>
      <c r="D16" s="356"/>
      <c r="E16" s="356"/>
      <c r="F16" s="357"/>
      <c r="G16" s="117">
        <f>H16/40</f>
        <v>9.9</v>
      </c>
      <c r="H16" s="113">
        <f t="shared" ref="H16:M16" si="3">SUM(H7:H15)</f>
        <v>396</v>
      </c>
      <c r="I16" s="114">
        <f t="shared" si="3"/>
        <v>17832.11</v>
      </c>
      <c r="J16" s="274">
        <f>SUM(J7:J15)</f>
        <v>1049.9608000000003</v>
      </c>
      <c r="K16" s="275">
        <f t="shared" si="3"/>
        <v>624.12385000000017</v>
      </c>
      <c r="L16" s="276">
        <f t="shared" si="3"/>
        <v>640.23360000000002</v>
      </c>
      <c r="M16" s="232">
        <f t="shared" si="3"/>
        <v>15517.791750000002</v>
      </c>
      <c r="N16" s="233">
        <f>SUM(N7:N15)</f>
        <v>3438.3050847457616</v>
      </c>
      <c r="O16" s="101">
        <f>SUM(O7:O15)</f>
        <v>94.780484173728809</v>
      </c>
      <c r="P16" s="113">
        <f>SUM(P7:P15)</f>
        <v>19050.877318919491</v>
      </c>
      <c r="Q16" s="128">
        <f>SUM(Q7:Q15)</f>
        <v>50</v>
      </c>
      <c r="R16" s="314">
        <v>14</v>
      </c>
      <c r="S16" s="318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8" t="s">
        <v>64</v>
      </c>
      <c r="C19" s="359"/>
      <c r="D19" s="359"/>
      <c r="E19" s="359"/>
      <c r="F19" s="359"/>
      <c r="G19" s="359"/>
      <c r="H19" s="359"/>
      <c r="I19" s="359"/>
      <c r="J19" s="359"/>
      <c r="K19" s="359"/>
      <c r="L19" s="360"/>
      <c r="N19" s="367" t="s">
        <v>60</v>
      </c>
      <c r="O19" s="368"/>
      <c r="P19" s="139">
        <f>I16</f>
        <v>17832.11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1"/>
      <c r="C20" s="362"/>
      <c r="D20" s="362"/>
      <c r="E20" s="362"/>
      <c r="F20" s="362"/>
      <c r="G20" s="362"/>
      <c r="H20" s="362"/>
      <c r="I20" s="362"/>
      <c r="J20" s="362"/>
      <c r="K20" s="362"/>
      <c r="L20" s="363"/>
      <c r="N20" s="369" t="s">
        <v>85</v>
      </c>
      <c r="O20" s="370"/>
      <c r="P20" s="140">
        <f>+J16</f>
        <v>1049.9608000000003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3"/>
      <c r="N21" s="369" t="s">
        <v>86</v>
      </c>
      <c r="O21" s="370"/>
      <c r="P21" s="140">
        <f>+K16+L16</f>
        <v>1264.3574500000002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1"/>
      <c r="C22" s="362"/>
      <c r="D22" s="362"/>
      <c r="E22" s="362"/>
      <c r="F22" s="362"/>
      <c r="G22" s="362"/>
      <c r="H22" s="362"/>
      <c r="I22" s="362"/>
      <c r="J22" s="362"/>
      <c r="K22" s="362"/>
      <c r="L22" s="363"/>
      <c r="M22" s="131"/>
      <c r="N22" s="369" t="s">
        <v>87</v>
      </c>
      <c r="O22" s="370"/>
      <c r="P22" s="140">
        <f>P19-P20-P21</f>
        <v>15517.79175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1"/>
      <c r="C23" s="362"/>
      <c r="D23" s="362"/>
      <c r="E23" s="362"/>
      <c r="F23" s="362"/>
      <c r="G23" s="362"/>
      <c r="H23" s="362"/>
      <c r="I23" s="362"/>
      <c r="J23" s="362"/>
      <c r="K23" s="362"/>
      <c r="L23" s="363"/>
      <c r="M23" s="131"/>
      <c r="N23" s="136" t="s">
        <v>61</v>
      </c>
      <c r="O23" s="133">
        <v>0.18</v>
      </c>
      <c r="P23" s="140">
        <f>+N16</f>
        <v>3438.3050847457616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1"/>
      <c r="C24" s="362"/>
      <c r="D24" s="362"/>
      <c r="E24" s="362"/>
      <c r="F24" s="362"/>
      <c r="G24" s="362"/>
      <c r="H24" s="362"/>
      <c r="I24" s="362"/>
      <c r="J24" s="362"/>
      <c r="K24" s="362"/>
      <c r="L24" s="363"/>
      <c r="M24" s="131"/>
      <c r="N24" s="371" t="s">
        <v>76</v>
      </c>
      <c r="O24" s="372"/>
      <c r="P24" s="140">
        <f>P22+P23</f>
        <v>18956.09683474576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4"/>
      <c r="C25" s="365"/>
      <c r="D25" s="365"/>
      <c r="E25" s="365"/>
      <c r="F25" s="365"/>
      <c r="G25" s="365"/>
      <c r="H25" s="365"/>
      <c r="I25" s="365"/>
      <c r="J25" s="365"/>
      <c r="K25" s="365"/>
      <c r="L25" s="366"/>
      <c r="M25" s="99"/>
      <c r="N25" s="138" t="s">
        <v>83</v>
      </c>
      <c r="O25" s="137" t="e">
        <f>IF(#REF!="Filer",0.5%,2.5%)</f>
        <v>#REF!</v>
      </c>
      <c r="P25" s="140">
        <f>+O16</f>
        <v>94.780484173728809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3" t="s">
        <v>88</v>
      </c>
      <c r="O26" s="374"/>
      <c r="P26" s="297">
        <f>+P24+P25</f>
        <v>19050.877318919487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5"/>
      <c r="D27" s="375"/>
      <c r="E27" s="375"/>
      <c r="F27" s="375"/>
      <c r="G27" s="375"/>
      <c r="H27" s="375"/>
      <c r="I27" s="376"/>
      <c r="J27" s="377"/>
      <c r="K27" s="378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19050.877318919491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Summary!H3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311">
        <f t="shared" si="5"/>
        <v>834.58895674576274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" si="8">SUM(G16:G24)</f>
        <v>0</v>
      </c>
      <c r="H25" s="113">
        <f t="shared" ref="H25" si="9">SUM(H16:H24)</f>
        <v>20</v>
      </c>
      <c r="I25" s="114">
        <f t="shared" ref="I25:M25" si="10">SUM(I16:I24)</f>
        <v>784.60000000000014</v>
      </c>
      <c r="J25" s="274">
        <f>SUM(J16:J24)</f>
        <v>39.230000000000011</v>
      </c>
      <c r="K25" s="275">
        <f t="shared" si="10"/>
        <v>27.461000000000006</v>
      </c>
      <c r="L25" s="276">
        <f t="shared" si="10"/>
        <v>40.014600000000002</v>
      </c>
      <c r="M25" s="232">
        <f t="shared" si="10"/>
        <v>677.89440000000013</v>
      </c>
      <c r="N25" s="233">
        <f>SUM(N16:N24)</f>
        <v>152.54237288135585</v>
      </c>
      <c r="O25" s="101">
        <f>SUM(O16:O24)</f>
        <v>4.1521838644067799</v>
      </c>
      <c r="P25" s="113">
        <f>SUM(P16:P24)</f>
        <v>834.58895674576274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784.60000000000014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39.230000000000011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67.475600000000014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677.89440000000013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152.54237288135585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830.43677288135598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4.1521838644067799</v>
      </c>
    </row>
    <row r="35" spans="2:16" ht="15.75" customHeight="1" thickBot="1" x14ac:dyDescent="0.4">
      <c r="N35" s="373" t="s">
        <v>88</v>
      </c>
      <c r="O35" s="374"/>
      <c r="P35" s="297">
        <f>+P33+P34</f>
        <v>834.58895674576274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311">
        <f t="shared" si="5"/>
        <v>470.43173776271186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311">
        <f t="shared" si="5"/>
        <v>470.43173776271186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58</v>
      </c>
      <c r="I25" s="114">
        <f t="shared" si="7"/>
        <v>2876.7200000000003</v>
      </c>
      <c r="J25" s="274">
        <f>SUM(J16:J24)</f>
        <v>183.06160000000006</v>
      </c>
      <c r="K25" s="275">
        <f t="shared" si="7"/>
        <v>100.68520000000001</v>
      </c>
      <c r="L25" s="276">
        <f t="shared" si="7"/>
        <v>80.029200000000003</v>
      </c>
      <c r="M25" s="232">
        <f t="shared" si="7"/>
        <v>2512.9440000000004</v>
      </c>
      <c r="N25" s="233">
        <f>SUM(N16:N24)</f>
        <v>552.20338983050829</v>
      </c>
      <c r="O25" s="101">
        <f>SUM(O16:O24)</f>
        <v>15.325736949152542</v>
      </c>
      <c r="P25" s="113">
        <f>SUM(P16:P24)</f>
        <v>3080.473126779661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2876.7200000000003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183.06160000000006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180.71440000000001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2512.9440000000004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552.20338983050829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3065.1473898305085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15.325736949152542</v>
      </c>
    </row>
    <row r="35" spans="2:16" ht="15.75" customHeight="1" thickBot="1" x14ac:dyDescent="0.4">
      <c r="N35" s="373" t="s">
        <v>88</v>
      </c>
      <c r="O35" s="374"/>
      <c r="P35" s="297">
        <f>+P33+P34</f>
        <v>3080.473126779661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9" workbookViewId="0">
      <selection activeCell="B26" sqref="B26:B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310">
        <f>M16+N16+O16</f>
        <v>339.75773742584744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311">
        <f t="shared" ref="P17:P24" si="5">M17+N17+O17</f>
        <v>339.75773742584744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>
        <v>6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24</v>
      </c>
      <c r="I25" s="114">
        <f t="shared" si="7"/>
        <v>1100.31</v>
      </c>
      <c r="J25" s="274">
        <f>SUM(J16:J24)</f>
        <v>73.902000000000001</v>
      </c>
      <c r="K25" s="275">
        <f t="shared" si="7"/>
        <v>38.510850000000005</v>
      </c>
      <c r="L25" s="276">
        <f t="shared" si="7"/>
        <v>24.008760000000002</v>
      </c>
      <c r="M25" s="232">
        <f t="shared" si="7"/>
        <v>963.88839000000007</v>
      </c>
      <c r="N25" s="233">
        <f>SUM(N16:N24)</f>
        <v>210.50847457627108</v>
      </c>
      <c r="O25" s="101">
        <f>SUM(O16:O24)</f>
        <v>5.8719843228813549</v>
      </c>
      <c r="P25" s="113">
        <f>SUM(P16:P24)</f>
        <v>1180.2688488991525</v>
      </c>
      <c r="Q25" s="128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1100.31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73.902000000000001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62.519610000000007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963.88838999999984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210.50847457627108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1174.3968645762709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5.8719843228813549</v>
      </c>
    </row>
    <row r="35" spans="2:16" ht="15.75" customHeight="1" thickBot="1" x14ac:dyDescent="0.4">
      <c r="N35" s="373" t="s">
        <v>88</v>
      </c>
      <c r="O35" s="374"/>
      <c r="P35" s="297">
        <f>+P33+P34</f>
        <v>1180.2688488991523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activeCell="H22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32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'1'!N4:P5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522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G2" sqref="G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1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311">
        <f t="shared" si="5"/>
        <v>470.43173776271186</v>
      </c>
      <c r="Q20" s="156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311">
        <f t="shared" si="5"/>
        <v>1001.5067480949152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30</v>
      </c>
      <c r="I25" s="114">
        <f t="shared" si="7"/>
        <v>1377.3600000000001</v>
      </c>
      <c r="J25" s="274">
        <f>SUM(J16:J24)</f>
        <v>81.943200000000019</v>
      </c>
      <c r="K25" s="275">
        <f t="shared" si="7"/>
        <v>48.207600000000014</v>
      </c>
      <c r="L25" s="276">
        <f t="shared" si="7"/>
        <v>48.017520000000005</v>
      </c>
      <c r="M25" s="232">
        <f t="shared" si="7"/>
        <v>1199.1916800000001</v>
      </c>
      <c r="N25" s="233">
        <f>SUM(N16:N24)</f>
        <v>265.42372881355925</v>
      </c>
      <c r="O25" s="101">
        <f>SUM(O16:O24)</f>
        <v>7.3230770440677961</v>
      </c>
      <c r="P25" s="113">
        <f>SUM(P16:P24)</f>
        <v>1471.938485857627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1377.3600000000001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81.943200000000019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96.225120000000018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1199.1916800000001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265.42372881355925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1464.6154088135595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7.3230770440677979</v>
      </c>
    </row>
    <row r="35" spans="2:16" ht="15.75" customHeight="1" thickBot="1" x14ac:dyDescent="0.4">
      <c r="N35" s="373" t="s">
        <v>88</v>
      </c>
      <c r="O35" s="374"/>
      <c r="P35" s="297">
        <f>+P33+P34</f>
        <v>1471.9384858576273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113">
        <f>SUM(P16:P24)</f>
        <v>1669.1779134915255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1569.2000000000003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78.460000000000022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134.95120000000003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1355.7888000000003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1660.873545762712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73" t="s">
        <v>88</v>
      </c>
      <c r="O35" s="374"/>
      <c r="P35" s="297">
        <f>+P33+P34</f>
        <v>1669.1779134915255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311">
        <f t="shared" si="5"/>
        <v>1176.0793444067797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311">
        <f t="shared" si="5"/>
        <v>1176.0793444067797</v>
      </c>
      <c r="Q20" s="156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311">
        <f t="shared" si="5"/>
        <v>784.05289627118646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311">
        <f t="shared" si="5"/>
        <v>1669.1779134915255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113">
        <f>SUM(P16:P24)</f>
        <v>4805.3894985762709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4474.8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310.90800000000002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236.64720000000003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3927.2447999999999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4781.4820881355927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73" t="s">
        <v>88</v>
      </c>
      <c r="O35" s="374"/>
      <c r="P35" s="297">
        <f>+P33+P34</f>
        <v>4805.3894985762709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470.76000000000005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23.538000000000004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40.485360000000007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406.73664000000002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498.26206372881353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3" t="s">
        <v>88</v>
      </c>
      <c r="O35" s="374"/>
      <c r="P35" s="297">
        <f>+P33+P34</f>
        <v>500.75337404745761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530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470.76000000000005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23.538000000000004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40.485360000000007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406.73664000000002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498.26206372881353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3" t="s">
        <v>88</v>
      </c>
      <c r="O35" s="374"/>
      <c r="P35" s="297">
        <f>+P33+P34</f>
        <v>500.75337404745761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516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2" t="s">
        <v>91</v>
      </c>
      <c r="B2" s="392"/>
      <c r="C2" s="392"/>
    </row>
    <row r="3" spans="1:22 16383:16384" ht="15" customHeight="1" x14ac:dyDescent="0.35">
      <c r="A3" s="393" t="s">
        <v>92</v>
      </c>
      <c r="B3" s="393"/>
      <c r="C3" s="393"/>
      <c r="F3" s="85"/>
      <c r="G3" s="1"/>
      <c r="K3" s="394" t="s">
        <v>43</v>
      </c>
      <c r="L3" s="394"/>
      <c r="M3" s="394"/>
      <c r="N3" s="393"/>
      <c r="O3" s="393"/>
      <c r="P3" s="39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3" t="s">
        <v>499</v>
      </c>
      <c r="B4" s="393"/>
      <c r="C4" s="393"/>
      <c r="F4" s="85"/>
      <c r="G4" s="1"/>
      <c r="K4" s="394" t="s">
        <v>44</v>
      </c>
      <c r="L4" s="394"/>
      <c r="M4" s="394"/>
      <c r="N4" s="397">
        <f>'1'!N4:P4</f>
        <v>46273</v>
      </c>
      <c r="O4" s="397"/>
      <c r="P4" s="397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94" t="s">
        <v>45</v>
      </c>
      <c r="L5" s="394"/>
      <c r="M5" s="394"/>
      <c r="N5" s="397">
        <f>N4-1</f>
        <v>46272</v>
      </c>
      <c r="O5" s="393"/>
      <c r="P5" s="393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94" t="s">
        <v>69</v>
      </c>
      <c r="L6" s="394"/>
      <c r="M6" s="394"/>
      <c r="N6" s="396" t="str">
        <f>Summary!H2</f>
        <v>Umair</v>
      </c>
      <c r="O6" s="396"/>
      <c r="P6" s="396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4" t="s">
        <v>73</v>
      </c>
      <c r="B7" s="394"/>
      <c r="C7" s="394"/>
      <c r="F7" s="85"/>
      <c r="G7" s="86"/>
      <c r="K7" s="394" t="s">
        <v>66</v>
      </c>
      <c r="L7" s="394"/>
      <c r="M7" s="394"/>
      <c r="N7" s="396" t="s">
        <v>505</v>
      </c>
      <c r="O7" s="396"/>
      <c r="P7" s="396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0" t="s">
        <v>513</v>
      </c>
      <c r="B8" s="400"/>
      <c r="C8" s="400"/>
      <c r="F8" s="85"/>
      <c r="G8" s="86"/>
      <c r="K8" s="394" t="s">
        <v>67</v>
      </c>
      <c r="L8" s="394"/>
      <c r="M8" s="394"/>
      <c r="N8" s="396" t="s">
        <v>505</v>
      </c>
      <c r="O8" s="396"/>
      <c r="P8" s="396"/>
      <c r="R8" s="85"/>
      <c r="S8" s="267"/>
    </row>
    <row r="9" spans="1:22 16383:16384" x14ac:dyDescent="0.35">
      <c r="A9" s="400" t="s">
        <v>96</v>
      </c>
      <c r="B9" s="400"/>
      <c r="C9" s="400"/>
      <c r="F9" s="85"/>
      <c r="G9" s="86"/>
      <c r="K9" s="394" t="s">
        <v>68</v>
      </c>
      <c r="L9" s="394"/>
      <c r="M9" s="394"/>
      <c r="N9" s="396" t="s">
        <v>104</v>
      </c>
      <c r="O9" s="396"/>
      <c r="P9" s="396"/>
      <c r="R9" s="85"/>
      <c r="S9" s="267"/>
      <c r="XFD9" t="s">
        <v>49</v>
      </c>
    </row>
    <row r="10" spans="1:22 16383:16384" x14ac:dyDescent="0.35">
      <c r="A10" s="400" t="s">
        <v>97</v>
      </c>
      <c r="B10" s="400"/>
      <c r="C10" s="400"/>
      <c r="F10" s="85"/>
      <c r="G10" s="1"/>
      <c r="K10" s="394" t="s">
        <v>46</v>
      </c>
      <c r="L10" s="394"/>
      <c r="M10" s="394"/>
      <c r="N10" s="393" t="s">
        <v>47</v>
      </c>
      <c r="O10" s="393"/>
      <c r="P10" s="39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4" t="s">
        <v>48</v>
      </c>
      <c r="L11" s="394"/>
      <c r="M11" s="394"/>
      <c r="N11" s="396" t="s">
        <v>49</v>
      </c>
      <c r="O11" s="396"/>
      <c r="P11" s="396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4" t="s">
        <v>50</v>
      </c>
      <c r="L12" s="394"/>
      <c r="M12" s="394"/>
      <c r="N12" s="393"/>
      <c r="O12" s="393"/>
      <c r="P12" s="39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4" t="s">
        <v>51</v>
      </c>
      <c r="B14" s="345"/>
      <c r="C14" s="348" t="s">
        <v>90</v>
      </c>
      <c r="D14" s="115" t="s">
        <v>52</v>
      </c>
      <c r="E14" s="350" t="s">
        <v>58</v>
      </c>
      <c r="F14" s="351"/>
      <c r="G14" s="352" t="s">
        <v>54</v>
      </c>
      <c r="H14" s="353"/>
      <c r="I14" s="354" t="s">
        <v>77</v>
      </c>
      <c r="J14" s="391" t="s">
        <v>55</v>
      </c>
      <c r="K14" s="352"/>
      <c r="L14" s="353"/>
      <c r="M14" s="345" t="s">
        <v>84</v>
      </c>
      <c r="N14" s="390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6"/>
      <c r="B15" s="347"/>
      <c r="C15" s="349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5"/>
      <c r="J15" s="143" t="s">
        <v>59</v>
      </c>
      <c r="K15" s="144" t="s">
        <v>39</v>
      </c>
      <c r="L15" s="145" t="s">
        <v>493</v>
      </c>
      <c r="M15" s="347"/>
      <c r="N15" s="355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59"/>
      <c r="L28" s="360"/>
      <c r="N28" s="367" t="s">
        <v>60</v>
      </c>
      <c r="O28" s="368"/>
      <c r="P28" s="139">
        <f>I25</f>
        <v>0</v>
      </c>
    </row>
    <row r="29" spans="1:22 16384:16384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2"/>
      <c r="L29" s="363"/>
      <c r="N29" s="369" t="s">
        <v>85</v>
      </c>
      <c r="O29" s="370"/>
      <c r="P29" s="140">
        <f>+J25</f>
        <v>0</v>
      </c>
    </row>
    <row r="30" spans="1:22 16384:16384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2"/>
      <c r="L30" s="363"/>
      <c r="N30" s="369" t="s">
        <v>86</v>
      </c>
      <c r="O30" s="370"/>
      <c r="P30" s="140">
        <f>+K25+L25</f>
        <v>0</v>
      </c>
    </row>
    <row r="31" spans="1:22 16384:16384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2"/>
      <c r="L31" s="363"/>
      <c r="M31" s="131"/>
      <c r="N31" s="369" t="s">
        <v>87</v>
      </c>
      <c r="O31" s="370"/>
      <c r="P31" s="140">
        <f>P28-P29-P30</f>
        <v>0</v>
      </c>
    </row>
    <row r="32" spans="1:22 16384:16384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2"/>
      <c r="L32" s="36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2"/>
      <c r="L33" s="363"/>
      <c r="M33" s="131"/>
      <c r="N33" s="371" t="s">
        <v>76</v>
      </c>
      <c r="O33" s="372"/>
      <c r="P33" s="140">
        <f>P31+P32</f>
        <v>0</v>
      </c>
    </row>
    <row r="34" spans="2:16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5"/>
      <c r="L34" s="36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3" t="s">
        <v>88</v>
      </c>
      <c r="O35" s="374"/>
      <c r="P35" s="297">
        <f>+P33+P34</f>
        <v>0</v>
      </c>
    </row>
    <row r="36" spans="2:16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377"/>
      <c r="K36" s="378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2" t="s">
        <v>91</v>
      </c>
      <c r="B2" s="392"/>
      <c r="C2" s="392"/>
    </row>
    <row r="3" spans="1:18 16382:16383" ht="15" customHeight="1" x14ac:dyDescent="0.35">
      <c r="A3" s="393" t="s">
        <v>92</v>
      </c>
      <c r="B3" s="393"/>
      <c r="C3" s="393"/>
      <c r="F3" s="85"/>
      <c r="G3" s="1"/>
      <c r="J3" s="394" t="s">
        <v>43</v>
      </c>
      <c r="K3" s="394"/>
      <c r="L3" s="394"/>
      <c r="M3" s="393"/>
      <c r="N3" s="393"/>
      <c r="O3" s="39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3" t="s">
        <v>65</v>
      </c>
      <c r="B4" s="393"/>
      <c r="C4" s="393"/>
      <c r="F4" s="85"/>
      <c r="G4" s="1"/>
      <c r="J4" s="394" t="s">
        <v>44</v>
      </c>
      <c r="K4" s="394"/>
      <c r="L4" s="394"/>
      <c r="M4" s="397">
        <f ca="1">TODAY()+1</f>
        <v>46274</v>
      </c>
      <c r="N4" s="397"/>
      <c r="O4" s="397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94" t="s">
        <v>45</v>
      </c>
      <c r="K5" s="394"/>
      <c r="L5" s="394"/>
      <c r="M5" s="397">
        <f ca="1">M4-1</f>
        <v>46273</v>
      </c>
      <c r="N5" s="393"/>
      <c r="O5" s="393"/>
      <c r="Q5" s="85"/>
      <c r="R5" s="1"/>
    </row>
    <row r="6" spans="1:18 16382:16383" ht="15" customHeight="1" x14ac:dyDescent="0.35">
      <c r="A6" s="394" t="s">
        <v>94</v>
      </c>
      <c r="B6" s="394"/>
      <c r="C6" s="394"/>
      <c r="F6" s="85"/>
      <c r="G6" s="86"/>
      <c r="J6" s="394" t="s">
        <v>69</v>
      </c>
      <c r="K6" s="394"/>
      <c r="L6" s="394"/>
      <c r="M6" s="396" t="s">
        <v>62</v>
      </c>
      <c r="N6" s="396"/>
      <c r="O6" s="396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4" t="s">
        <v>73</v>
      </c>
      <c r="B7" s="394"/>
      <c r="C7" s="394"/>
      <c r="F7" s="85"/>
      <c r="G7" s="86"/>
      <c r="J7" s="394" t="s">
        <v>66</v>
      </c>
      <c r="K7" s="394"/>
      <c r="L7" s="394"/>
      <c r="M7" s="396" t="s">
        <v>70</v>
      </c>
      <c r="N7" s="396"/>
      <c r="O7" s="396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0" t="s">
        <v>95</v>
      </c>
      <c r="B8" s="400"/>
      <c r="C8" s="400"/>
      <c r="F8" s="85"/>
      <c r="G8" s="86"/>
      <c r="J8" s="394" t="s">
        <v>67</v>
      </c>
      <c r="K8" s="394"/>
      <c r="L8" s="394"/>
      <c r="M8" s="396" t="s">
        <v>71</v>
      </c>
      <c r="N8" s="396"/>
      <c r="O8" s="396"/>
      <c r="Q8" s="85"/>
      <c r="R8" s="86"/>
    </row>
    <row r="9" spans="1:18 16382:16383" x14ac:dyDescent="0.35">
      <c r="A9" s="400" t="s">
        <v>96</v>
      </c>
      <c r="B9" s="400"/>
      <c r="C9" s="400"/>
      <c r="F9" s="85"/>
      <c r="G9" s="86"/>
      <c r="J9" s="394" t="s">
        <v>68</v>
      </c>
      <c r="K9" s="394"/>
      <c r="L9" s="394"/>
      <c r="M9" s="396" t="s">
        <v>104</v>
      </c>
      <c r="N9" s="396"/>
      <c r="O9" s="396"/>
      <c r="Q9" s="85"/>
      <c r="R9" s="86"/>
      <c r="XFC9" t="s">
        <v>49</v>
      </c>
    </row>
    <row r="10" spans="1:18 16382:16383" x14ac:dyDescent="0.35">
      <c r="A10" s="400" t="s">
        <v>97</v>
      </c>
      <c r="B10" s="400"/>
      <c r="C10" s="400"/>
      <c r="F10" s="85"/>
      <c r="G10" s="1"/>
      <c r="J10" s="394" t="s">
        <v>46</v>
      </c>
      <c r="K10" s="394"/>
      <c r="L10" s="394"/>
      <c r="M10" s="393" t="s">
        <v>47</v>
      </c>
      <c r="N10" s="393"/>
      <c r="O10" s="39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4" t="s">
        <v>48</v>
      </c>
      <c r="K11" s="394"/>
      <c r="L11" s="394"/>
      <c r="M11" s="393" t="s">
        <v>49</v>
      </c>
      <c r="N11" s="393"/>
      <c r="O11" s="39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4" t="s">
        <v>50</v>
      </c>
      <c r="K12" s="394"/>
      <c r="L12" s="394"/>
      <c r="M12" s="393"/>
      <c r="N12" s="393"/>
      <c r="O12" s="39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4" t="s">
        <v>51</v>
      </c>
      <c r="B14" s="345"/>
      <c r="C14" s="348" t="s">
        <v>90</v>
      </c>
      <c r="D14" s="88" t="s">
        <v>52</v>
      </c>
      <c r="E14" s="95" t="s">
        <v>74</v>
      </c>
      <c r="F14" s="115" t="s">
        <v>53</v>
      </c>
      <c r="G14" s="391" t="s">
        <v>54</v>
      </c>
      <c r="H14" s="353"/>
      <c r="I14" s="354" t="s">
        <v>77</v>
      </c>
      <c r="J14" s="352" t="s">
        <v>55</v>
      </c>
      <c r="K14" s="353"/>
      <c r="L14" s="35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6"/>
      <c r="B15" s="347"/>
      <c r="C15" s="349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5"/>
      <c r="J15" s="144" t="s">
        <v>39</v>
      </c>
      <c r="K15" s="145" t="s">
        <v>59</v>
      </c>
      <c r="L15" s="35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5">
        <f>COUNT(A16:A24)</f>
        <v>0</v>
      </c>
      <c r="B25" s="356"/>
      <c r="C25" s="356" t="s">
        <v>40</v>
      </c>
      <c r="D25" s="356"/>
      <c r="E25" s="356"/>
      <c r="F25" s="35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8" t="s">
        <v>64</v>
      </c>
      <c r="C28" s="359"/>
      <c r="D28" s="359"/>
      <c r="E28" s="359"/>
      <c r="F28" s="359"/>
      <c r="G28" s="359"/>
      <c r="H28" s="359"/>
      <c r="I28" s="359"/>
      <c r="J28" s="359"/>
      <c r="K28" s="360"/>
      <c r="M28" s="367" t="s">
        <v>60</v>
      </c>
      <c r="N28" s="368"/>
      <c r="O28" s="139">
        <f>I25</f>
        <v>1452.8</v>
      </c>
    </row>
    <row r="29" spans="1:18 16383:16383" ht="15" customHeight="1" x14ac:dyDescent="0.35">
      <c r="B29" s="361"/>
      <c r="C29" s="362"/>
      <c r="D29" s="362"/>
      <c r="E29" s="362"/>
      <c r="F29" s="362"/>
      <c r="G29" s="362"/>
      <c r="H29" s="362"/>
      <c r="I29" s="362"/>
      <c r="J29" s="362"/>
      <c r="K29" s="363"/>
      <c r="M29" s="369" t="s">
        <v>85</v>
      </c>
      <c r="N29" s="370"/>
      <c r="O29" s="140">
        <f>K25</f>
        <v>0</v>
      </c>
    </row>
    <row r="30" spans="1:18 16383:16383" ht="15" customHeight="1" x14ac:dyDescent="0.35">
      <c r="B30" s="361"/>
      <c r="C30" s="362"/>
      <c r="D30" s="362"/>
      <c r="E30" s="362"/>
      <c r="F30" s="362"/>
      <c r="G30" s="362"/>
      <c r="H30" s="362"/>
      <c r="I30" s="362"/>
      <c r="J30" s="362"/>
      <c r="K30" s="363"/>
      <c r="M30" s="369" t="s">
        <v>86</v>
      </c>
      <c r="N30" s="370"/>
      <c r="O30" s="140">
        <f>J25</f>
        <v>50.848000000000006</v>
      </c>
    </row>
    <row r="31" spans="1:18 16383:16383" ht="15" customHeight="1" x14ac:dyDescent="0.35">
      <c r="B31" s="361"/>
      <c r="C31" s="362"/>
      <c r="D31" s="362"/>
      <c r="E31" s="362"/>
      <c r="F31" s="362"/>
      <c r="G31" s="362"/>
      <c r="H31" s="362"/>
      <c r="I31" s="362"/>
      <c r="J31" s="362"/>
      <c r="K31" s="363"/>
      <c r="L31" s="131"/>
      <c r="M31" s="369" t="s">
        <v>87</v>
      </c>
      <c r="N31" s="370"/>
      <c r="O31" s="140">
        <f>O28-O29-O30</f>
        <v>1401.952</v>
      </c>
    </row>
    <row r="32" spans="1:18 16383:16383" ht="15" customHeight="1" x14ac:dyDescent="0.35">
      <c r="B32" s="361"/>
      <c r="C32" s="362"/>
      <c r="D32" s="362"/>
      <c r="E32" s="362"/>
      <c r="F32" s="362"/>
      <c r="G32" s="362"/>
      <c r="H32" s="362"/>
      <c r="I32" s="362"/>
      <c r="J32" s="362"/>
      <c r="K32" s="36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1"/>
      <c r="C33" s="362"/>
      <c r="D33" s="362"/>
      <c r="E33" s="362"/>
      <c r="F33" s="362"/>
      <c r="G33" s="362"/>
      <c r="H33" s="362"/>
      <c r="I33" s="362"/>
      <c r="J33" s="362"/>
      <c r="K33" s="363"/>
      <c r="L33" s="131"/>
      <c r="M33" s="371" t="s">
        <v>76</v>
      </c>
      <c r="N33" s="372"/>
      <c r="O33" s="140">
        <f>O31+O32</f>
        <v>1710.3814400000001</v>
      </c>
    </row>
    <row r="34" spans="2:15" ht="15" customHeight="1" thickBot="1" x14ac:dyDescent="0.4">
      <c r="B34" s="364"/>
      <c r="C34" s="365"/>
      <c r="D34" s="365"/>
      <c r="E34" s="365"/>
      <c r="F34" s="365"/>
      <c r="G34" s="365"/>
      <c r="H34" s="365"/>
      <c r="I34" s="365"/>
      <c r="J34" s="365"/>
      <c r="K34" s="36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3" t="s">
        <v>88</v>
      </c>
      <c r="N35" s="374"/>
      <c r="O35" s="141">
        <f>O28-O29+O31+O34</f>
        <v>2897.511536</v>
      </c>
    </row>
    <row r="36" spans="2:15" ht="15" thickBot="1" x14ac:dyDescent="0.4">
      <c r="B36" s="121" t="s">
        <v>63</v>
      </c>
      <c r="C36" s="375"/>
      <c r="D36" s="375"/>
      <c r="E36" s="375"/>
      <c r="F36" s="375"/>
      <c r="G36" s="375"/>
      <c r="H36" s="375"/>
      <c r="I36" s="376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4" t="s">
        <v>439</v>
      </c>
      <c r="E1" s="336" t="s">
        <v>58</v>
      </c>
      <c r="F1" s="336"/>
      <c r="G1" s="337" t="s">
        <v>440</v>
      </c>
      <c r="H1" s="337"/>
      <c r="I1" s="405" t="s">
        <v>441</v>
      </c>
      <c r="J1" s="405"/>
      <c r="K1" s="405" t="s">
        <v>442</v>
      </c>
      <c r="L1" s="405"/>
      <c r="M1" s="401" t="s">
        <v>484</v>
      </c>
      <c r="N1" s="402"/>
      <c r="O1" s="403"/>
    </row>
    <row r="2" spans="3:24" ht="29" x14ac:dyDescent="0.35">
      <c r="C2" s="336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8" t="s">
        <v>58</v>
      </c>
      <c r="F7" s="408"/>
      <c r="G7" s="409" t="s">
        <v>440</v>
      </c>
      <c r="H7" s="337"/>
      <c r="I7" s="338" t="s">
        <v>441</v>
      </c>
      <c r="J7" s="339"/>
      <c r="K7" s="338" t="s">
        <v>442</v>
      </c>
      <c r="L7" s="339"/>
      <c r="M7" s="401" t="s">
        <v>484</v>
      </c>
      <c r="N7" s="402"/>
      <c r="O7" s="403"/>
      <c r="P7" s="256" t="s">
        <v>475</v>
      </c>
      <c r="Q7" s="242" t="s">
        <v>473</v>
      </c>
      <c r="R7" s="404" t="s">
        <v>475</v>
      </c>
      <c r="S7" s="404" t="s">
        <v>485</v>
      </c>
      <c r="T7" s="410" t="s">
        <v>486</v>
      </c>
      <c r="U7" s="410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9"/>
      <c r="U8" s="40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1" t="s">
        <v>484</v>
      </c>
      <c r="N13" s="402"/>
      <c r="O13" s="403"/>
      <c r="P13" s="256" t="s">
        <v>475</v>
      </c>
      <c r="Q13" s="242" t="s">
        <v>473</v>
      </c>
      <c r="R13" s="404" t="s">
        <v>475</v>
      </c>
      <c r="S13" s="404" t="s">
        <v>485</v>
      </c>
      <c r="T13" s="410" t="s">
        <v>486</v>
      </c>
      <c r="U13" s="410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9"/>
      <c r="U14" s="40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1" t="s">
        <v>484</v>
      </c>
      <c r="N20" s="402"/>
      <c r="O20" s="403"/>
      <c r="P20" s="256" t="s">
        <v>475</v>
      </c>
      <c r="Q20" s="242" t="s">
        <v>473</v>
      </c>
      <c r="R20" s="404" t="s">
        <v>475</v>
      </c>
      <c r="S20" s="404" t="s">
        <v>485</v>
      </c>
      <c r="T20" s="410" t="s">
        <v>486</v>
      </c>
      <c r="U20" s="410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9"/>
      <c r="U21" s="40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1" t="s">
        <v>484</v>
      </c>
      <c r="N27" s="402"/>
      <c r="O27" s="403"/>
      <c r="P27" s="256" t="s">
        <v>475</v>
      </c>
      <c r="Q27" s="242" t="s">
        <v>473</v>
      </c>
      <c r="R27" s="404" t="s">
        <v>475</v>
      </c>
      <c r="S27" s="404" t="s">
        <v>485</v>
      </c>
      <c r="T27" s="410" t="s">
        <v>486</v>
      </c>
      <c r="U27" s="410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9"/>
      <c r="U28" s="40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4" t="s">
        <v>439</v>
      </c>
      <c r="D1" s="336" t="s">
        <v>58</v>
      </c>
      <c r="E1" s="336"/>
      <c r="F1" s="337" t="s">
        <v>440</v>
      </c>
      <c r="G1" s="337"/>
      <c r="H1" s="405" t="s">
        <v>441</v>
      </c>
      <c r="I1" s="405"/>
      <c r="J1" s="405" t="s">
        <v>442</v>
      </c>
      <c r="K1" s="405"/>
      <c r="L1" s="401" t="s">
        <v>484</v>
      </c>
      <c r="M1" s="402"/>
      <c r="N1" s="403"/>
    </row>
    <row r="2" spans="2:17" ht="29" x14ac:dyDescent="0.35">
      <c r="B2" s="336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2026-09-08T11:09:58Z</dcterms:modified>
</cp:coreProperties>
</file>