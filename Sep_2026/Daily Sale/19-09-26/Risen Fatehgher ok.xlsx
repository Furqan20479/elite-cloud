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312804A-8055-45F2-B190-C143CEE55E1F}" xr6:coauthVersionLast="47" xr6:coauthVersionMax="47" xr10:uidLastSave="{00000000-0000-0000-0000-000000000000}"/>
  <bookViews>
    <workbookView xWindow="-110" yWindow="-110" windowWidth="19420" windowHeight="10420" tabRatio="872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C11" i="43" s="1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1" i="43"/>
  <c r="O21" i="43" s="1"/>
  <c r="P21" i="43" s="1"/>
  <c r="M16" i="43"/>
  <c r="J7" i="62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<sst xmlns="http://schemas.openxmlformats.org/spreadsheetml/2006/main" count="3948" uniqueCount="526">
  <si>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</si>
  <si>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</si>
  <si>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</si>
  <si>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</si>
  <si>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</si>
  <si>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</si>
  <si>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</si>
  <si>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</si>
  <si>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</si>
  <si>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</si>
  <si>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</si>
  <si>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</si>
  <si>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</si>
  <si>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</si>
  <si>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</si>
  <si>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</si>
  <si>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</si>
  <si>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</si>
  <si>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</si>
  <si>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</si>
  <si>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</si>
  <si>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</si>
  <si>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</si>
  <si>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</si>
  <si>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</si>
  <si>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</si>
  <si>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</si>
  <si>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</si>
  <si>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</si>
  <si>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</si>
  <si>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</si>
  <si>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</si>
  <si>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</si>
  <si>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</si>
  <si>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</si>
  <si>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</si>
  <si>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</si>
  <si>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</si>
  <si>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</si>
  <si>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</si>
  <si>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</si>
  <si>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</si>
  <si>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</si>
  <si>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</si>
  <si>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</si>
  <si>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</si>
  <si>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</si>
  <si>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</si>
  <si>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</si>
  <si>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</si>
  <si>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</si>
  <si>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</si>
  <si>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</si>
  <si>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</si>
  <si>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</si>
  <si>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</si>
  <si>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</si>
  <si>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</si>
  <si>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</si>
  <si>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</si>
  <si>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</si>
  <si>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</si>
  <si>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</si>
  <si>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</si>
  <si>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</si>
  <si>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</si>
  <si>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</si>
  <si>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</si>
  <si>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</si>
  <si>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</si>
  <si>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</si>
  <si>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</si>
  <si>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</si>
  <si>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</si>
  <si>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</si>
  <si>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</si>
  <si>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</si>
  <si>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</si>
  <si>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</si>
  <si>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</si>
  <si>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</si>
  <si>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</si>
  <si>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</si>
  <si>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</si>
  <si>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</si>
  <si>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</si>
  <si>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</si>
  <si>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</si>
  <si>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</si>
  <si>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</si>
  <si>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</si>
  <si>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</si>
  <si>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</si>
  <si>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</si>
  <si>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</si>
  <si>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</si>
  <si>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</si>
  <si>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</si>
  <si>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</si>
  <si>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</si>
  <si>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</si>
  <si>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</si>
  <si>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</si>
  <si>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</si>
  <si>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</si>
  <si>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</si>
  <si>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</si>
  <si>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</si>
  <si>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</si>
  <si>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</si>
  <si>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</si>
  <si>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</si>
  <si>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</si>
  <si>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</si>
  <si>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</si>
  <si>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</si>
  <si>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</si>
  <si>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</si>
  <si>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</si>
  <si>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</si>
  <si>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</si>
  <si>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</si>
  <si>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</si>
  <si>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</si>
  <si>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</si>
  <si>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</si>
  <si>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</si>
  <si>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</si>
  <si>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</si>
  <si>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</si>
  <si>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</si>
  <si>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</si>
  <si>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</si>
  <si>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</si>
  <si>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</si>
  <si>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</si>
  <si>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</si>
  <si>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</si>
  <si>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</si>
  <si>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</si>
  <si>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</si>
  <si>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</si>
  <si>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</si>
  <si>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</si>
  <si>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</si>
  <si>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</si>
  <si>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</si>
  <si>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</si>
  <si>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</si>
  <si>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</si>
  <si>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</si>
  <si>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</si>
  <si>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</si>
  <si>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</si>
  <si>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</si>
  <si>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</si>
  <si>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</si>
  <si>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</si>
  <si>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</si>
  <si>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</si>
  <si>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</si>
  <si>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</si>
  <si>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</si>
  <si>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</si>
  <si>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</si>
  <si>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</si>
  <si>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</si>
  <si>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</si>
  <si>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</si>
  <si>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</si>
  <si>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</si>
  <si>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</si>
  <si>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</si>
  <si>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</si>
  <si>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</si>
  <si>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</si>
  <si>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</si>
  <si>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</si>
  <si>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</si>
  <si>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</si>
  <si>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</si>
  <si>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</si>
  <si>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</si>
  <si>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</si>
  <si>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</si>
  <si>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</si>
  <si>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</si>
  <si>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</si>
  <si>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</si>
  <si>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</si>
  <si>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</si>
  <si>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</si>
  <si>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</si>
  <si>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</si>
  <si>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</si>
  <si>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</si>
  <si>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</si>
  <si>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</si>
  <si>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</si>
  <si>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</si>
  <si>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</si>
  <si>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</si>
  <si>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</si>
  <si>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</si>
  <si>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</si>
  <si>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</si>
  <si>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</si>
  <si>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</si>
  <si>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</si>
  <si>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</si>
  <si>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</si>
  <si>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</si>
  <si>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</si>
  <si>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</si>
  <si>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</si>
  <si>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</si>
  <si>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</si>
  <si>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</si>
  <si>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</si>
  <si>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</si>
  <si>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</si>
  <si>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</si>
  <si>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</si>
  <si>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</si>
  <si>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</si>
  <si>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</si>
  <si>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</si>
  <si>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</si>
  <si>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</si>
  <si>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</si>
  <si>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</si>
  <si>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</si>
  <si>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</si>
  <si>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</si>
  <si>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</si>
  <si>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</si>
  <si>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</si>
  <si>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</si>
  <si>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</si>
  <si>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</si>
  <si>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</si>
  <si>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</si>
  <si>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</si>
  <si>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</si>
  <si>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</si>
  <si>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</si>
  <si>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</si>
  <si>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</si>
  <si>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</si>
  <si>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</si>
  <si>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</si>
  <si>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</si>
  <si>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</si>
  <si>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</si>
  <si>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</si>
  <si>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</si>
  <si>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</si>
  <si>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</si>
  <si>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</si>
  <si>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</si>
  <si>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</si>
  <si>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</si>
  <si>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</si>
  <si>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</si>
  <si>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</si>
  <si>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</si>
  <si>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</si>
  <si>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</si>
  <si>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</si>
  <si>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</si>
  <si>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</si>
  <si>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</si>
  <si>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</si>
  <si>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</si>
  <si>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</si>
  <si>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</si>
  <si>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</si>
  <si>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</si>
  <si>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</si>
  <si>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</si>
  <si>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</si>
  <si>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</si>
  <si>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</si>
  <si>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</si>
  <si>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</si>
  <si>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</si>
  <si>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</si>
  <si>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</si>
  <si>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</si>
  <si>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</si>
  <si>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</si>
  <si>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</si>
  <si>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</si>
  <si>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</si>
  <si>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</si>
  <si>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</si>
  <si>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</si>
  <si>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</si>
  <si>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</si>
  <si>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</si>
  <si>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</si>
  <si>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</si>
  <si>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</si>
  <si>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</si>
  <si>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</si>
  <si>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</si>
  <si>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</si>
  <si>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</si>
  <si>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</si>
  <si>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</si>
  <si>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</si>
  <si>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</si>
  <si>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</si>
  <si>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</si>
  <si>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</si>
  <si>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</si>
  <si>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</si>
  <si>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</si>
  <si>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</si>
  <si>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</si>
  <si>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</si>
  <si>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</si>
  <si>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</si>
  <si>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</si>
  <si>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</si>
  <si>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</si>
  <si>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</si>
  <si>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</si>
  <si>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</si>
  <si>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</si>
  <si>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</si>
  <si>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</si>
  <si>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</si>
  <si>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</si>
  <si>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</si>
  <si>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</si>
  <si>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</si>
  <si>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</si>
  <si>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</si>
  <si>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</si>
  <si>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</si>
  <si>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</si>
  <si>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</si>
  <si>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</si>
  <si>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</si>
  <si>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</si>
  <si>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</si>
  <si>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</si>
  <si>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</si>
  <si>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</si>
  <si>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</si>
  <si>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</si>
  <si>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</si>
  <si>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</si>
  <si>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</si>
  <si>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</si>
  <si>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</si>
  <si>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</si>
  <si>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</si>
  <si>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</si>
  <si>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</si>
  <si>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</si>
  <si>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</si>
  <si>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</si>
  <si>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</si>
  <si>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</si>
  <si>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</si>
  <si>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</si>
  <si>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</si>
  <si>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</si>
  <si>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</si>
  <si>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</si>
  <si>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</si>
  <si>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</si>
  <si>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</si>
  <si>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</si>
  <si>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</si>
  <si>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</si>
  <si>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</si>
  <si>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</si>
  <si>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</si>
  <si>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</si>
  <si>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</si>
  <si>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</si>
  <si>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</si>
  <si>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</si>
  <si>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</si>
  <si>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</si>
  <si>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</si>
  <si>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</si>
  <si>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</si>
  <si>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</si>
  <si>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</si>
  <si>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</si>
  <si>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</si>
  <si>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</si>
  <si>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</si>
  <si>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</si>
  <si>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</si>
  <si>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</si>
  <si>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</si>
  <si>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</si>
  <si>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</si>
  <si>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</si>
  <si>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</si>
  <si>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</si>
  <si>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</si>
  <si>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</si>
  <si>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</si>
  <si>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</si>
  <si>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</si>
  <si>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</si>
  <si>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</si>
  <si>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</si>
  <si>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</si>
  <si>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</si>
  <si>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</si>
  <si>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</si>
  <si>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</si>
  <si>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</si>
  <si>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</si>
  <si>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</si>
  <si>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</si>
  <si>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</si>
  <si>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</si>
  <si>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</si>
  <si>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</si>
  <si>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</si>
  <si>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</si>
  <si>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</si>
  <si>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</si>
  <si>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</si>
  <si>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</si>
  <si>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</si>
  <si>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</si>
  <si>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</si>
  <si>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</si>
  <si>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</si>
  <si>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</si>
  <si>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</si>
  <si>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</si>
  <si>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</si>
  <si>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</si>
  <si>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</si>
  <si>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</si>
  <si>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</si>
  <si>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</si>
  <si>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</si>
  <si>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</si>
  <si>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</si>
  <si>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</si>
  <si>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</si>
  <si>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</si>
  <si>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</si>
  <si>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</si>
  <si>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</si>
  <si>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</si>
  <si>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</si>
  <si>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</si>
  <si>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</si>
  <si>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</si>
  <si>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</si>
  <si>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</si>
  <si>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</si>
  <si>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</si>
  <si>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</si>
  <si>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</si>
  <si>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</si>
  <si>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</si>
  <si>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</si>
  <si>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</si>
  <si>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</si>
  <si>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</si>
  <si>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</si>
  <si>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</si>
  <si>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</si>
  <si>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</si>
  <si>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</si>
  <si>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</si>
  <si>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</si>
  <si>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</si>
  <si>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</si>
  <si>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</si>
  <si>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</si>
  <si>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</si>
  <si>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</si>
  <si>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</si>
  <si>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</si>
  <si>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</si>
  <si>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</si>
  <si>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</si>
  <si>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</si>
  <si>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</si>
  <si>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</si>
  <si>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</si>
  <si>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</si>
  <si>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</si>
  <si>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</si>
  <si>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</si>
  <si>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</si>
  <si>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</si>
  <si>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</si>
  <si>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</si>
  <si>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</si>
  <si>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</si>
  <si>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</si>
  <si>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</si>
  <si>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</si>
  <si>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</si>
  <si>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</si>
  <si>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</si>
  <si>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</si>
  <si>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</si>
  <si>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</si>
  <si>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</si>
  <si>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NTN #: 8822959-7</t>
  </si>
  <si>
    <t>M &amp; M Traders</t>
  </si>
  <si>
    <t xml:space="preserve">SB Traders </t>
  </si>
  <si>
    <t>NTN #: 4655329-3</t>
  </si>
  <si>
    <t>Invoice No # :00012</t>
  </si>
  <si>
    <t xml:space="preserve">Rafaqat Sons </t>
  </si>
  <si>
    <t>NTN #: 9725069-2</t>
  </si>
  <si>
    <t>Invoice No # : 00013</t>
  </si>
  <si>
    <t>Address: Shadbagh</t>
  </si>
  <si>
    <t>Address: Sabzazar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</si>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</sst>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J8" sqref="J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514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46286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 xml:space="preserve">SB Traders </v>
      </c>
      <c r="T3" s="301">
        <f>+'1'!P35</f>
        <v>13982.527653177965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Rafaqat Sons </v>
      </c>
      <c r="T4" s="301">
        <f>+'2'!P35</f>
        <v>17437.059846610166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 &amp; M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 &amp; M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 &amp; M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881.37000000000012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5193.7875000000004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31.918090042372881</v>
      </c>
      <c r="P8" s="311">
        <f t="shared" ref="P8:P15" si="2">M8+N8+O8</f>
        <v>6415.5360985169482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 &amp; M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 &amp; M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311">
        <f t="shared" si="2"/>
        <v>2961.0039050847454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 &amp; M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813.5680000000001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4794.24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29.462725423728813</v>
      </c>
      <c r="P11" s="311">
        <f t="shared" si="2"/>
        <v>5922.0078101694908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 &amp; M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160</v>
      </c>
      <c r="I12" s="236">
        <f t="shared" si="0"/>
        <v>11622.4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1627.1360000000002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406.78400000000005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9588.48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2196.6101694915255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58.925450847457626</v>
      </c>
      <c r="P12" s="311">
        <f t="shared" si="2"/>
        <v>11844.015620338982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 &amp; M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 &amp; M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 &amp; M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 &amp; M Traders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12</v>
      </c>
      <c r="H16" s="113">
        <f t="shared" ref="H16:M16" si="3">SUM(H7:H15)</f>
        <v>480</v>
      </c>
      <c r="I16" s="114">
        <f t="shared" si="3"/>
        <v>30831.699999999997</v>
      </c>
      <c r="J16" s="274">
        <f>SUM(J7:J15)</f>
        <v>4316.438000000001</v>
      </c>
      <c r="K16" s="275">
        <f t="shared" si="3"/>
        <v>1079.1095000000003</v>
      </c>
      <c r="L16" s="276">
        <f t="shared" si="3"/>
        <v>0</v>
      </c>
      <c r="M16" s="232">
        <f t="shared" si="3"/>
        <v>25436.152499999997</v>
      </c>
      <c r="N16" s="233">
        <f>SUM(N7:N15)</f>
        <v>5827.1186440677957</v>
      </c>
      <c r="O16" s="101">
        <f>SUM(O7:O15)</f>
        <v>156.31635572033898</v>
      </c>
      <c r="P16" s="113">
        <f>SUM(P7:P15)</f>
        <v>31419.587499788129</v>
      </c>
      <c r="Q16" s="128">
        <f>SUM(Q7:Q15)</f>
        <v>0</v>
      </c>
      <c r="R16" s="314">
        <v>14</v>
      </c>
      <c r="S16" s="300" t="str">
        <f>+'14'!A6:A6</f>
        <v>M &amp; M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 &amp; M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 &amp; M Traders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30831.699999999997</v>
      </c>
      <c r="R19" s="299">
        <v>17</v>
      </c>
      <c r="S19" s="300" t="str">
        <f>+'17'!A6:A6</f>
        <v>M &amp; M Traders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4316.438000000001</v>
      </c>
      <c r="R20" s="299">
        <v>18</v>
      </c>
      <c r="S20" s="300" t="str">
        <f>+'18'!A6:A6</f>
        <v>M &amp; M Traders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1079.1095000000003</v>
      </c>
      <c r="R21" s="299">
        <v>19</v>
      </c>
      <c r="S21" s="300" t="str">
        <f>+'19'!A6:A6</f>
        <v>M &amp; M Traders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25436.152499999997</v>
      </c>
      <c r="R22" s="299">
        <v>20</v>
      </c>
      <c r="S22" s="300" t="str">
        <f>+'20'!A6:A6</f>
        <v>M &amp; M Traders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5827.1186440677957</v>
      </c>
      <c r="R23" s="299">
        <v>21</v>
      </c>
      <c r="S23" s="300" t="str">
        <f>+'21'!A6:A6</f>
        <v>M &amp; M Traders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31263.271144067792</v>
      </c>
      <c r="R24" s="299">
        <v>22</v>
      </c>
      <c r="S24" s="300" t="str">
        <f>+'22'!A6:A6</f>
        <v>M &amp; M Traders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156.31635572033898</v>
      </c>
      <c r="R25" s="299">
        <v>23</v>
      </c>
      <c r="S25" s="300" t="str">
        <f>+'23'!A6:A6</f>
        <v>M &amp; M Traders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31419.587499788133</v>
      </c>
      <c r="R26" s="299">
        <v>24</v>
      </c>
      <c r="S26" s="300" t="str">
        <f>+'24'!A6:A6</f>
        <v>M &amp; M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M &amp; M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 &amp; M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 &amp; M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 &amp; M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 &amp; M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 &amp; M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31419.587499788133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519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46284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46283</v>
      </c>
      <c r="O5" s="369"/>
      <c r="P5" s="369"/>
      <c r="R5" s="85"/>
      <c r="S5" s="266"/>
    </row>
    <row r="6" spans="1:22 16383:16384" ht="17.2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518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319">
        <v>3.5000000000000003E-2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13720.9</v>
      </c>
      <c r="J25" s="274">
        <f>SUM(J16:J24)</f>
        <v>1920.9260000000004</v>
      </c>
      <c r="K25" s="275">
        <f t="shared" si="10"/>
        <v>480.2315000000001</v>
      </c>
      <c r="L25" s="276">
        <f t="shared" si="10"/>
        <v>0</v>
      </c>
      <c r="M25" s="232">
        <f t="shared" si="10"/>
        <v>11319.7425</v>
      </c>
      <c r="N25" s="233">
        <f>SUM(N16:N24)</f>
        <v>2593.2203389830511</v>
      </c>
      <c r="O25" s="101">
        <f>SUM(O16:O24)</f>
        <v>69.564814194915243</v>
      </c>
      <c r="P25" s="113">
        <f>SUM(P16:P24)</f>
        <v>13982.527653177964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13720.9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1920.9260000000004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480.2315000000001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11319.742499999998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2593.2203389830511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13912.96283898305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69.564814194915257</v>
      </c>
    </row>
    <row r="35" spans="2:16" ht="15.75" customHeight="1" thickBot="1" x14ac:dyDescent="0.4">
      <c r="N35" s="344" t="s">
        <v>88</v>
      </c>
      <c r="O35" s="345"/>
      <c r="P35" s="297">
        <f>+P33+P34</f>
        <v>13982.527653177965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522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46284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46283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521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B13" t="s">
        <v>525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2395.5120000000002</v>
      </c>
      <c r="K25" s="275">
        <f t="shared" si="7"/>
        <v>598.87800000000004</v>
      </c>
      <c r="L25" s="276">
        <f t="shared" si="7"/>
        <v>0</v>
      </c>
      <c r="M25" s="232">
        <f t="shared" si="7"/>
        <v>14116.41</v>
      </c>
      <c r="N25" s="233">
        <f>SUM(N16:N24)</f>
        <v>3233.8983050847455</v>
      </c>
      <c r="O25" s="101">
        <f>SUM(O16:O24)</f>
        <v>86.751541525423733</v>
      </c>
      <c r="P25" s="113">
        <f>SUM(P16:P24)</f>
        <v>17437.059846610166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17110.8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2395.5120000000002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598.87800000000004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14116.409999999998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3233.8983050847455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17350.308305084742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86.751541525423704</v>
      </c>
    </row>
    <row r="35" spans="2:16" ht="15.75" customHeight="1" thickBot="1" x14ac:dyDescent="0.4">
      <c r="N35" s="344" t="s">
        <v>88</v>
      </c>
      <c r="O35" s="345"/>
      <c r="P35" s="297">
        <f>+P33+P34</f>
        <v>17437.059846610166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4"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46287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46286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2026-09-21T06:38:48Z</dcterms:modified>
</cp:coreProperties>
</file>