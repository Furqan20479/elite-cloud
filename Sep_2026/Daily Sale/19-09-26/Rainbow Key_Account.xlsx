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ACC021D-91B9-416C-8031-88A168D40952}" xr6:coauthVersionLast="47" xr6:coauthVersionMax="47" xr10:uidLastSave="{00000000-0000-0000-0000-000000000000}"/>
  <bookViews>
    <workbookView xWindow="-110" yWindow="-110" windowWidth="19420" windowHeight="10420" tabRatio="594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18" i="48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O16" i="48" s="1"/>
  <c r="P16" i="48" s="1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O16" i="44" s="1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<sst xmlns="http://schemas.openxmlformats.org/spreadsheetml/2006/main" count="3908" uniqueCount="522">
  <si>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</si>
  <si>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</si>
  <si>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</si>
  <si>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</si>
  <si>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</si>
  <si>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</si>
  <si>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</si>
  <si>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</si>
  <si>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</si>
  <si>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</si>
  <si>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</si>
  <si>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</si>
  <si>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</si>
  <si>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</si>
  <si>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</si>
  <si>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</si>
  <si>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</si>
  <si>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</si>
  <si>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</si>
  <si>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</si>
  <si>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</si>
  <si>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</si>
  <si>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</si>
  <si>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</si>
  <si>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</si>
  <si>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</si>
  <si>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</si>
  <si>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</si>
  <si>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</si>
  <si>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</si>
  <si>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</si>
  <si>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</si>
  <si>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</si>
  <si>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</si>
  <si>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</si>
  <si>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</si>
  <si>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</si>
  <si>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</si>
  <si>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</si>
  <si>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</si>
  <si>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</si>
  <si>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</si>
  <si>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</si>
  <si>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</si>
  <si>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</si>
  <si>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</si>
  <si>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</si>
  <si>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</si>
  <si>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</si>
  <si>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</si>
  <si>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</si>
  <si>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</si>
  <si>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</si>
  <si>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</si>
  <si>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</si>
  <si>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</si>
  <si>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</si>
  <si>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</si>
  <si>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</si>
  <si>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</si>
  <si>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</si>
  <si>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</si>
  <si>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</si>
  <si>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</si>
  <si>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</si>
  <si>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</si>
  <si>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</si>
  <si>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</si>
  <si>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</si>
  <si>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</si>
  <si>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</si>
  <si>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</si>
  <si>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</si>
  <si>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</si>
  <si>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</si>
  <si>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</si>
  <si>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</si>
  <si>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</si>
  <si>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</si>
  <si>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</si>
  <si>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</si>
  <si>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</si>
  <si>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</si>
  <si>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</si>
  <si>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</si>
  <si>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</si>
  <si>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</si>
  <si>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</si>
  <si>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</si>
  <si>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</si>
  <si>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</si>
  <si>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</si>
  <si>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</si>
  <si>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</si>
  <si>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</si>
  <si>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</si>
  <si>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</si>
  <si>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</si>
  <si>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</si>
  <si>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</si>
  <si>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</si>
  <si>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</si>
  <si>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</si>
  <si>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</si>
  <si>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</si>
  <si>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</si>
  <si>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</si>
  <si>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</si>
  <si>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</si>
  <si>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</si>
  <si>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</si>
  <si>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</si>
  <si>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</si>
  <si>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</si>
  <si>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</si>
  <si>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</si>
  <si>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</si>
  <si>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</si>
  <si>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</si>
  <si>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</si>
  <si>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</si>
  <si>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</si>
  <si>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</si>
  <si>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</si>
  <si>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</si>
  <si>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</si>
  <si>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</si>
  <si>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</si>
  <si>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</si>
  <si>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</si>
  <si>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</si>
  <si>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</si>
  <si>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</si>
  <si>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</si>
  <si>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</si>
  <si>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</si>
  <si>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</si>
  <si>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</si>
  <si>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</si>
  <si>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</si>
  <si>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</si>
  <si>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</si>
  <si>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</si>
  <si>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</si>
  <si>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</si>
  <si>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</si>
  <si>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</si>
  <si>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</si>
  <si>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</si>
  <si>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</si>
  <si>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</si>
  <si>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</si>
  <si>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</si>
  <si>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</si>
  <si>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</si>
  <si>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</si>
  <si>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</si>
  <si>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</si>
  <si>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</si>
  <si>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</si>
  <si>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</si>
  <si>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</si>
  <si>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</si>
  <si>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</si>
  <si>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</si>
  <si>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</si>
  <si>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</si>
  <si>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</si>
  <si>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</si>
  <si>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</si>
  <si>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</si>
  <si>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</si>
  <si>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</si>
  <si>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</si>
  <si>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</si>
  <si>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</si>
  <si>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</si>
  <si>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</si>
  <si>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</si>
  <si>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</si>
  <si>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</si>
  <si>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</si>
  <si>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</si>
  <si>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</si>
  <si>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</si>
  <si>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</si>
  <si>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</si>
  <si>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</si>
  <si>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</si>
  <si>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</si>
  <si>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</si>
  <si>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</si>
  <si>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</si>
  <si>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</si>
  <si>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</si>
  <si>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</si>
  <si>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</si>
  <si>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</si>
  <si>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</si>
  <si>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</si>
  <si>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</si>
  <si>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</si>
  <si>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</si>
  <si>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</si>
  <si>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</si>
  <si>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</si>
  <si>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</si>
  <si>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</si>
  <si>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</si>
  <si>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</si>
  <si>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</si>
  <si>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</si>
  <si>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</si>
  <si>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</si>
  <si>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</si>
  <si>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</si>
  <si>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</si>
  <si>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</si>
  <si>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</si>
  <si>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</si>
  <si>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</si>
  <si>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</si>
  <si>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</si>
  <si>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</si>
  <si>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</si>
  <si>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</si>
  <si>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</si>
  <si>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</si>
  <si>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</si>
  <si>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</si>
  <si>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</si>
  <si>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</si>
  <si>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</si>
  <si>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</si>
  <si>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</si>
  <si>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</si>
  <si>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</si>
  <si>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</si>
  <si>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</si>
  <si>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</si>
  <si>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</si>
  <si>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</si>
  <si>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</si>
  <si>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</si>
  <si>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</si>
  <si>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</si>
  <si>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</si>
  <si>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</si>
  <si>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</si>
  <si>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</si>
  <si>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</si>
  <si>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</si>
  <si>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</si>
  <si>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</si>
  <si>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</si>
  <si>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</si>
  <si>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</si>
  <si>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</si>
  <si>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</si>
  <si>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</si>
  <si>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</si>
  <si>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</si>
  <si>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</si>
  <si>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</si>
  <si>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</si>
  <si>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</si>
  <si>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</si>
  <si>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</si>
  <si>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</si>
  <si>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</si>
  <si>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</si>
  <si>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</si>
  <si>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</si>
  <si>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</si>
  <si>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</si>
  <si>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</si>
  <si>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</si>
  <si>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</si>
  <si>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</si>
  <si>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</si>
  <si>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</si>
  <si>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</si>
  <si>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</si>
  <si>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</si>
  <si>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</si>
  <si>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</si>
  <si>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</si>
  <si>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</si>
  <si>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</si>
  <si>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</si>
  <si>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</si>
  <si>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</si>
  <si>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</si>
  <si>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</si>
  <si>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</si>
  <si>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</si>
  <si>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</si>
  <si>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</si>
  <si>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</si>
  <si>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</si>
  <si>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</si>
  <si>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</si>
  <si>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</si>
  <si>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</si>
  <si>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</si>
  <si>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</si>
  <si>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</si>
  <si>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</si>
  <si>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</si>
  <si>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</si>
  <si>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</si>
  <si>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</si>
  <si>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</si>
  <si>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</si>
  <si>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</si>
  <si>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</si>
  <si>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</si>
  <si>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</si>
  <si>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</si>
  <si>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</si>
  <si>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</si>
  <si>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</si>
  <si>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</si>
  <si>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</si>
  <si>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</si>
  <si>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</si>
  <si>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</si>
  <si>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</si>
  <si>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</si>
  <si>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</si>
  <si>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</si>
  <si>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</si>
  <si>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</si>
  <si>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</si>
  <si>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</si>
  <si>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</si>
  <si>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</si>
  <si>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</si>
  <si>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</si>
  <si>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</si>
  <si>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</si>
  <si>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</si>
  <si>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</si>
  <si>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</si>
  <si>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</si>
  <si>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</si>
  <si>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</si>
  <si>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</si>
  <si>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</si>
  <si>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</si>
  <si>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</si>
  <si>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</si>
  <si>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</si>
  <si>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</si>
  <si>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</si>
  <si>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</si>
  <si>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</si>
  <si>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</si>
  <si>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</si>
  <si>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</si>
  <si>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</si>
  <si>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</si>
  <si>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</si>
  <si>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</si>
  <si>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</si>
  <si>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</si>
  <si>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</si>
  <si>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</si>
  <si>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</si>
  <si>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</si>
  <si>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</si>
  <si>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</si>
  <si>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</si>
  <si>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</si>
  <si>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</si>
  <si>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</si>
  <si>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</si>
  <si>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</si>
  <si>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</si>
  <si>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</si>
  <si>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</si>
  <si>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</si>
  <si>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</si>
  <si>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</si>
  <si>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</si>
  <si>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</si>
  <si>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</si>
  <si>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</si>
  <si>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</si>
  <si>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</si>
  <si>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</si>
  <si>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</si>
  <si>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</si>
  <si>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</si>
  <si>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</si>
  <si>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</si>
  <si>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</si>
  <si>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</si>
  <si>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</si>
  <si>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</si>
  <si>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</si>
  <si>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</si>
  <si>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</si>
  <si>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</si>
  <si>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</si>
  <si>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</si>
  <si>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</si>
  <si>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</si>
  <si>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</si>
  <si>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</si>
  <si>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</si>
  <si>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</si>
  <si>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</si>
  <si>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</si>
  <si>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</si>
  <si>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</si>
  <si>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</si>
  <si>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</si>
  <si>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</si>
  <si>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</si>
  <si>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</si>
  <si>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</si>
  <si>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</si>
  <si>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</si>
  <si>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</si>
  <si>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</si>
  <si>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</si>
  <si>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</si>
  <si>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</si>
  <si>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</si>
  <si>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</si>
  <si>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</si>
  <si>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</si>
  <si>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</si>
  <si>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</si>
  <si>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</si>
  <si>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</si>
  <si>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</si>
  <si>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</si>
  <si>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</si>
  <si>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</si>
  <si>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</si>
  <si>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</si>
  <si>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</si>
  <si>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</si>
  <si>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</si>
  <si>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</si>
  <si>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</si>
  <si>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</si>
  <si>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</si>
  <si>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</si>
  <si>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</si>
  <si>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</si>
  <si>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</si>
  <si>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</si>
  <si>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</si>
  <si>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</si>
  <si>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</si>
  <si>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</si>
  <si>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</si>
  <si>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</si>
  <si>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</si>
  <si>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</si>
  <si>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</si>
  <si>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</si>
  <si>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</si>
  <si>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</si>
  <si>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</si>
  <si>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</si>
  <si>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</si>
  <si>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</si>
  <si>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</si>
  <si>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</si>
  <si>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</si>
  <si>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</si>
  <si>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</si>
  <si>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</si>
  <si>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</si>
  <si>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</si>
  <si>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</si>
  <si>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</si>
  <si>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</si>
  <si>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</si>
  <si>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</si>
  <si>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</si>
  <si>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</si>
  <si>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</si>
  <si>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</si>
  <si>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</si>
  <si>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</si>
  <si>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</si>
  <si>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</si>
  <si>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</si>
  <si>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</si>
  <si>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</si>
  <si>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</si>
  <si>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</si>
  <si>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</si>
  <si>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</si>
  <si>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</si>
  <si>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</si>
  <si>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</si>
  <si>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</si>
  <si>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</si>
  <si>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</si>
  <si>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</si>
  <si>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</si>
  <si>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</si>
  <si>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</si>
  <si>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</si>
  <si>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:4512348</t>
  </si>
  <si>
    <t>Address: Barki Road</t>
  </si>
  <si>
    <t>NTN #: 8316307-2</t>
  </si>
  <si>
    <t>Invoice No # :00012</t>
  </si>
  <si>
    <t>Invoice No # :001242</t>
  </si>
  <si>
    <t>Invoice No # : 001245</t>
  </si>
  <si>
    <t xml:space="preserve">Address: Wapda Town </t>
  </si>
  <si>
    <t>Address:  Defence Road</t>
  </si>
  <si>
    <t xml:space="preserve">Address: Behria Town </t>
  </si>
  <si>
    <t xml:space="preserve">Address: Model Town </t>
  </si>
  <si>
    <t>Address:EME</t>
  </si>
  <si>
    <t>Invoice No # : 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</si>
</sst>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6" t="s">
        <v>497</v>
      </c>
      <c r="F2" s="344"/>
      <c r="G2" s="344"/>
      <c r="H2" s="344" t="s">
        <v>507</v>
      </c>
      <c r="I2" s="344"/>
      <c r="J2" s="345"/>
      <c r="R2" s="341" t="s">
        <v>506</v>
      </c>
      <c r="S2" s="342"/>
      <c r="T2" s="343"/>
    </row>
    <row r="3" spans="1:20 16377:16378" ht="21.75" customHeight="1" thickBot="1" x14ac:dyDescent="0.4">
      <c r="A3" s="359" t="s">
        <v>92</v>
      </c>
      <c r="B3" s="359"/>
      <c r="C3" s="359"/>
      <c r="E3" s="349" t="s">
        <v>498</v>
      </c>
      <c r="F3" s="350"/>
      <c r="G3" s="350"/>
      <c r="H3" s="347">
        <v>46273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Rainbow Cash &amp; Carry</v>
      </c>
      <c r="T3" s="301">
        <f>+'1'!P35</f>
        <v>63661.666871822032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62345.646711228816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15298.547813771187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12337.543908686441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53.196816737288131</v>
      </c>
      <c r="P7" s="118">
        <f>M7+N7+O7</f>
        <v>10692.560164194916</v>
      </c>
      <c r="Q7" s="142"/>
      <c r="R7" s="299">
        <v>5</v>
      </c>
      <c r="S7" s="300" t="str">
        <f>+'5'!A6:A6</f>
        <v>Rainbow Cash &amp; Carry</v>
      </c>
      <c r="T7" s="301">
        <f>+'5'!P35</f>
        <v>16121.039686016951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53.196816737288131</v>
      </c>
      <c r="P8" s="119">
        <f t="shared" ref="P8:P15" si="2">M8+N8+O8</f>
        <v>10692.560164194916</v>
      </c>
      <c r="R8" s="299">
        <v>6</v>
      </c>
      <c r="S8" s="300" t="str">
        <f>+'6'!A6:A6</f>
        <v>Rainbow Cash &amp; Carry</v>
      </c>
      <c r="T8" s="301">
        <f>+'6'!P35</f>
        <v>5099.5159379237284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600</v>
      </c>
      <c r="I9" s="236">
        <f t="shared" si="0"/>
        <v>31477.5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4406.8500000000004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1101.7125000000001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25968.9375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5949.1525423728781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159.59045021186438</v>
      </c>
      <c r="P9" s="119">
        <f t="shared" si="2"/>
        <v>32077.680492584743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3254.2720000000004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813.5680000000001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19176.96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117.85090169491525</v>
      </c>
      <c r="P10" s="119">
        <f t="shared" si="2"/>
        <v>23688.031240677963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360</v>
      </c>
      <c r="I11" s="236">
        <f t="shared" si="0"/>
        <v>26150.400000000001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3661.0560000000005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915.26400000000012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21574.080000000002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4942.3728813559328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132.58226440677964</v>
      </c>
      <c r="P11" s="119">
        <f t="shared" si="2"/>
        <v>26649.035145762715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960</v>
      </c>
      <c r="I12" s="236">
        <f t="shared" si="0"/>
        <v>69734.399999999994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9762.8159999999989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2440.7039999999997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57530.879999999997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13179.661016949154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353.5527050847457</v>
      </c>
      <c r="P12" s="119">
        <f t="shared" si="2"/>
        <v>71064.093722033896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2640</v>
      </c>
      <c r="I16" s="114">
        <f t="shared" si="3"/>
        <v>171592.1</v>
      </c>
      <c r="J16" s="274">
        <f>SUM(J7:J15)</f>
        <v>24022.894</v>
      </c>
      <c r="K16" s="275">
        <f t="shared" si="3"/>
        <v>6005.7235000000001</v>
      </c>
      <c r="L16" s="276">
        <f t="shared" si="3"/>
        <v>0</v>
      </c>
      <c r="M16" s="232">
        <f t="shared" si="3"/>
        <v>141563.48250000001</v>
      </c>
      <c r="N16" s="233">
        <f>SUM(N7:N15)</f>
        <v>32430.508474576269</v>
      </c>
      <c r="O16" s="101">
        <f>SUM(O7:O15)</f>
        <v>869.96995487288109</v>
      </c>
      <c r="P16" s="234">
        <f>SUM(P7:P15)</f>
        <v>174863.96092944912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171592.1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24022.894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6005.7235000000001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141563.48250000001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32430.508474576269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173993.99097457627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869.96995487288109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35" t="s">
        <v>88</v>
      </c>
      <c r="O26" s="336"/>
      <c r="P26" s="297">
        <f>+P24+P25</f>
        <v>174863.96092944915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7"/>
      <c r="D27" s="337"/>
      <c r="E27" s="337"/>
      <c r="F27" s="337"/>
      <c r="G27" s="337"/>
      <c r="H27" s="337"/>
      <c r="I27" s="338"/>
      <c r="J27" s="339"/>
      <c r="K27" s="340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174863.96092944912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46283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46282</v>
      </c>
      <c r="O5" s="359"/>
      <c r="P5" s="359"/>
      <c r="R5" s="85"/>
      <c r="S5" s="266"/>
    </row>
    <row r="6" spans="1:22 16383:16384" ht="17.2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512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516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119">
        <f t="shared" si="5"/>
        <v>8554.0481313559321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119">
        <f t="shared" si="5"/>
        <v>11844.015620338982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06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4067.8400000000006</v>
      </c>
      <c r="K21" s="128">
        <f t="shared" si="1"/>
        <v>1016.9600000000002</v>
      </c>
      <c r="L21" s="119">
        <f t="shared" si="1"/>
        <v>0</v>
      </c>
      <c r="M21" s="230">
        <f t="shared" si="2"/>
        <v>23971.199999999997</v>
      </c>
      <c r="N21" s="277">
        <f t="shared" si="3"/>
        <v>5491.5254237288136</v>
      </c>
      <c r="O21" s="239">
        <f t="shared" si="4"/>
        <v>147.31362711864406</v>
      </c>
      <c r="P21" s="119">
        <f t="shared" si="5"/>
        <v>29610.039050847456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960</v>
      </c>
      <c r="I25" s="114">
        <f t="shared" ref="I25:M25" si="10">SUM(I16:I24)</f>
        <v>62470.5</v>
      </c>
      <c r="J25" s="274">
        <f>SUM(J16:J24)</f>
        <v>8745.8700000000008</v>
      </c>
      <c r="K25" s="275">
        <f t="shared" si="10"/>
        <v>2186.4675000000002</v>
      </c>
      <c r="L25" s="276">
        <f t="shared" si="10"/>
        <v>0</v>
      </c>
      <c r="M25" s="232">
        <f t="shared" si="10"/>
        <v>51538.162499999991</v>
      </c>
      <c r="N25" s="233">
        <f>SUM(N16:N24)</f>
        <v>11806.779661016948</v>
      </c>
      <c r="O25" s="101">
        <f>SUM(O16:O24)</f>
        <v>316.72471080508478</v>
      </c>
      <c r="P25" s="234">
        <f>SUM(P16:P24)</f>
        <v>63661.666871822032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62470.5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8745.8700000000008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2186.4675000000002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51538.162499999999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11806.779661016948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63344.942161016945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316.72471080508473</v>
      </c>
    </row>
    <row r="35" spans="2:16" ht="15.75" customHeight="1" thickBot="1" x14ac:dyDescent="0.4">
      <c r="N35" s="335" t="s">
        <v>88</v>
      </c>
      <c r="O35" s="336"/>
      <c r="P35" s="297">
        <f>+P33+P34</f>
        <v>63661.666871822032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514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46283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46282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517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0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119">
        <f t="shared" si="5"/>
        <v>14805.019525423728</v>
      </c>
      <c r="R20">
        <f>P20/21</f>
        <v>705.00092978208227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360</v>
      </c>
      <c r="I21" s="236">
        <f t="shared" si="0"/>
        <v>26150.400000000001</v>
      </c>
      <c r="J21" s="272">
        <f t="shared" si="1"/>
        <v>3661.0560000000005</v>
      </c>
      <c r="K21" s="128">
        <f t="shared" si="1"/>
        <v>915.26400000000012</v>
      </c>
      <c r="L21" s="119">
        <f t="shared" si="1"/>
        <v>0</v>
      </c>
      <c r="M21" s="230">
        <f t="shared" si="2"/>
        <v>21574.080000000002</v>
      </c>
      <c r="N21" s="277">
        <f t="shared" si="3"/>
        <v>4942.3728813559328</v>
      </c>
      <c r="O21" s="239">
        <f t="shared" si="4"/>
        <v>132.58226440677967</v>
      </c>
      <c r="P21" s="119">
        <f t="shared" si="5"/>
        <v>26649.035145762715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920</v>
      </c>
      <c r="I25" s="114">
        <f t="shared" si="7"/>
        <v>61179.1</v>
      </c>
      <c r="J25" s="274">
        <f>SUM(J16:J24)</f>
        <v>8565.0740000000005</v>
      </c>
      <c r="K25" s="275">
        <f t="shared" si="7"/>
        <v>2141.2685000000001</v>
      </c>
      <c r="L25" s="276">
        <f t="shared" si="7"/>
        <v>0</v>
      </c>
      <c r="M25" s="232">
        <f t="shared" si="7"/>
        <v>50472.7575</v>
      </c>
      <c r="N25" s="233">
        <f>SUM(N16:N24)</f>
        <v>11562.71186440678</v>
      </c>
      <c r="O25" s="101">
        <f>SUM(O16:O24)</f>
        <v>310.17734682203388</v>
      </c>
      <c r="P25" s="234">
        <f>SUM(P16:P24)</f>
        <v>62345.646711228808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61179.1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8565.0740000000005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2141.2685000000001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50472.7575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11562.71186440678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62035.469364406781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310.17734682203394</v>
      </c>
    </row>
    <row r="35" spans="2:16" ht="15.75" customHeight="1" thickBot="1" x14ac:dyDescent="0.4">
      <c r="N35" s="335" t="s">
        <v>88</v>
      </c>
      <c r="O35" s="336"/>
      <c r="P35" s="297">
        <f>+P33+P34</f>
        <v>62345.646711228816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515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46283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46282</v>
      </c>
      <c r="O5" s="359"/>
      <c r="P5" s="359"/>
      <c r="R5" s="85"/>
      <c r="S5" s="266"/>
    </row>
    <row r="6" spans="1:22 16383:16384" ht="18.7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518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2101.7220000000002</v>
      </c>
      <c r="K25" s="275">
        <f t="shared" si="7"/>
        <v>525.43050000000005</v>
      </c>
      <c r="L25" s="276">
        <f t="shared" si="7"/>
        <v>0</v>
      </c>
      <c r="M25" s="232">
        <f t="shared" si="7"/>
        <v>12385.147499999999</v>
      </c>
      <c r="N25" s="233">
        <f>SUM(N16:N24)</f>
        <v>2837.2881355932195</v>
      </c>
      <c r="O25" s="101">
        <f>SUM(O16:O24)</f>
        <v>76.112178177966101</v>
      </c>
      <c r="P25" s="234">
        <f>SUM(P16:P24)</f>
        <v>15298.547813771183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15012.300000000001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2101.7220000000002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525.43050000000005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12385.147500000001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15222.435635593221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35" t="s">
        <v>88</v>
      </c>
      <c r="O35" s="336"/>
      <c r="P35" s="297">
        <f>+P33+P34</f>
        <v>15298.547813771187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510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46272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42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Q18" s="142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42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142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Q21" s="142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1694.9380000000003</v>
      </c>
      <c r="K25" s="275">
        <f t="shared" si="7"/>
        <v>423.73450000000008</v>
      </c>
      <c r="L25" s="276">
        <f t="shared" si="7"/>
        <v>0</v>
      </c>
      <c r="M25" s="232">
        <f t="shared" si="7"/>
        <v>9988.0275000000001</v>
      </c>
      <c r="N25" s="233">
        <f>SUM(N16:N24)</f>
        <v>2288.1355932203383</v>
      </c>
      <c r="O25" s="101">
        <f>SUM(O16:O24)</f>
        <v>61.380815466101694</v>
      </c>
      <c r="P25" s="234">
        <f>SUM(P16:P24)</f>
        <v>12337.543908686439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9"/>
      <c r="S27" s="310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12106.7</v>
      </c>
      <c r="Q28" s="309"/>
      <c r="S28" s="310"/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1694.9380000000003</v>
      </c>
      <c r="Q29" s="309"/>
      <c r="S29" s="310"/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423.73450000000008</v>
      </c>
      <c r="Q30" s="309"/>
      <c r="S30" s="310"/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9988.0275000000001</v>
      </c>
      <c r="Q31" s="309"/>
      <c r="S31" s="310"/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2288.1355932203383</v>
      </c>
      <c r="Q32" s="309"/>
      <c r="S32" s="310"/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12276.163093220339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61.380815466101694</v>
      </c>
    </row>
    <row r="35" spans="2:16" ht="15.75" customHeight="1" thickBot="1" x14ac:dyDescent="0.4">
      <c r="N35" s="335" t="s">
        <v>88</v>
      </c>
      <c r="O35" s="336"/>
      <c r="P35" s="297">
        <f>+P33+P34</f>
        <v>12337.543908686441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19" workbookViewId="0">
      <selection activeCell="R35" sqref="R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521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46283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46282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511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240</v>
      </c>
      <c r="I25" s="114">
        <f t="shared" si="7"/>
        <v>15819.400000000001</v>
      </c>
      <c r="J25" s="274">
        <f>SUM(J16:J24)</f>
        <v>2214.7160000000003</v>
      </c>
      <c r="K25" s="275">
        <f t="shared" si="7"/>
        <v>553.67900000000009</v>
      </c>
      <c r="L25" s="276">
        <f t="shared" si="7"/>
        <v>0</v>
      </c>
      <c r="M25" s="232">
        <f t="shared" si="7"/>
        <v>13051.004999999999</v>
      </c>
      <c r="N25" s="233">
        <f>SUM(N16:N24)</f>
        <v>2989.8305084745762</v>
      </c>
      <c r="O25" s="101">
        <f>SUM(O16:O24)</f>
        <v>80.204177542372875</v>
      </c>
      <c r="P25" s="234">
        <f>SUM(P16:P24)</f>
        <v>16121.039686016948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15819.400000000001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2214.7160000000003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553.67900000000009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13051.005000000001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16040.835508474578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80.204177542372889</v>
      </c>
    </row>
    <row r="35" spans="2:16" ht="15.75" customHeight="1" thickBot="1" x14ac:dyDescent="0.4">
      <c r="N35" s="335" t="s">
        <v>88</v>
      </c>
      <c r="O35" s="336"/>
      <c r="P35" s="297">
        <f>+P33+P34</f>
        <v>16121.039686016951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D27" sqref="D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520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700.57400000000007</v>
      </c>
      <c r="K25" s="275">
        <f t="shared" si="7"/>
        <v>175.14350000000002</v>
      </c>
      <c r="L25" s="276">
        <f t="shared" si="7"/>
        <v>0</v>
      </c>
      <c r="M25" s="232">
        <f t="shared" si="7"/>
        <v>4128.3824999999997</v>
      </c>
      <c r="N25" s="233">
        <f>SUM(N16:N24)</f>
        <v>945.76271186440658</v>
      </c>
      <c r="O25" s="101">
        <f>SUM(O16:O24)</f>
        <v>25.370726059322031</v>
      </c>
      <c r="P25" s="234">
        <f>SUM(P16:P24)</f>
        <v>5099.5159379237284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5004.1000000000004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700.57400000000007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175.14350000000002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4128.3824999999997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5074.1452118644065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25.370726059322035</v>
      </c>
    </row>
    <row r="35" spans="2:16" ht="15.75" customHeight="1" thickBot="1" x14ac:dyDescent="0.4">
      <c r="N35" s="335" t="s">
        <v>88</v>
      </c>
      <c r="O35" s="336"/>
      <c r="P35" s="297">
        <f>+P33+P34</f>
        <v>5099.5159379237284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G10" sqref="G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8.7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46284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46283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5" t="s">
        <v>88</v>
      </c>
      <c r="N35" s="336"/>
      <c r="O35" s="141">
        <f>O28-O29+O31+O34</f>
        <v>2897.511536</v>
      </c>
    </row>
    <row r="36" spans="2:15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3" t="s">
        <v>439</v>
      </c>
      <c r="E1" s="327" t="s">
        <v>58</v>
      </c>
      <c r="F1" s="327"/>
      <c r="G1" s="328" t="s">
        <v>440</v>
      </c>
      <c r="H1" s="328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7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4" t="s">
        <v>58</v>
      </c>
      <c r="F7" s="394"/>
      <c r="G7" s="392" t="s">
        <v>440</v>
      </c>
      <c r="H7" s="328"/>
      <c r="I7" s="329" t="s">
        <v>441</v>
      </c>
      <c r="J7" s="330"/>
      <c r="K7" s="329" t="s">
        <v>442</v>
      </c>
      <c r="L7" s="330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3" t="s">
        <v>439</v>
      </c>
      <c r="D1" s="327" t="s">
        <v>58</v>
      </c>
      <c r="E1" s="327"/>
      <c r="F1" s="328" t="s">
        <v>440</v>
      </c>
      <c r="G1" s="328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7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2026-09-18T12:53:57Z</dcterms:modified>
</cp:coreProperties>
</file>