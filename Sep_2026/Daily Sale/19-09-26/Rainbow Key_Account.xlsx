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08BF2B5-CD13-43DB-BB8C-7F401B9448FD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M23" i="48" s="1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M23" i="56" s="1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2" i="51" l="1"/>
  <c r="M18" i="48"/>
  <c r="M23" i="59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R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O16" i="48" s="1"/>
  <c r="P16" i="48" s="1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R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O16" i="44" s="1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R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R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O22" i="16" l="1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<sst xmlns="http://schemas.openxmlformats.org/spreadsheetml/2006/main" count="3908" uniqueCount="522">
  <si>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</si>
  <si>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</si>
  <si>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</si>
  <si>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</si>
  <si>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</si>
  <si>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</si>
  <si>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</si>
  <si>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</si>
  <si>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</si>
  <si>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</si>
  <si>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</si>
  <si>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</si>
  <si>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</si>
  <si>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</si>
  <si>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</si>
  <si>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</si>
  <si>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</si>
  <si>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</si>
  <si>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</si>
  <si>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</si>
  <si>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</si>
  <si>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</si>
  <si>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</si>
  <si>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</si>
  <si>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</si>
  <si>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</si>
  <si>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</si>
  <si>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</si>
  <si>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</si>
  <si>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</si>
  <si>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</si>
  <si>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</si>
  <si>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</si>
  <si>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</si>
  <si>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</si>
  <si>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</si>
  <si>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</si>
  <si>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</si>
  <si>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</si>
  <si>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</si>
  <si>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</si>
  <si>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</si>
  <si>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</si>
  <si>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</si>
  <si>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</si>
  <si>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</si>
  <si>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</si>
  <si>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</si>
  <si>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</si>
  <si>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</si>
  <si>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</si>
  <si>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</si>
  <si>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</si>
  <si>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</si>
  <si>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</si>
  <si>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</si>
  <si>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</si>
  <si>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</si>
  <si>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</si>
  <si>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</si>
  <si>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</si>
  <si>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</si>
  <si>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</si>
  <si>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</si>
  <si>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</si>
  <si>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</si>
  <si>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</si>
  <si>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</si>
  <si>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</si>
  <si>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</si>
  <si>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</si>
  <si>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</si>
  <si>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</si>
  <si>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</si>
  <si>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</si>
  <si>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</si>
  <si>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</si>
  <si>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</si>
  <si>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</si>
  <si>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</si>
  <si>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</si>
  <si>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</si>
  <si>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</si>
  <si>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</si>
  <si>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</si>
  <si>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</si>
  <si>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</si>
  <si>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</si>
  <si>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</si>
  <si>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</si>
  <si>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</si>
  <si>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</si>
  <si>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</si>
  <si>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</si>
  <si>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</si>
  <si>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</si>
  <si>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</si>
  <si>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</si>
  <si>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</si>
  <si>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</si>
  <si>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</si>
  <si>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</si>
  <si>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</si>
  <si>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</si>
  <si>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</si>
  <si>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</si>
  <si>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</si>
  <si>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</si>
  <si>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</si>
  <si>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</si>
  <si>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</si>
  <si>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</si>
  <si>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</si>
  <si>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</si>
  <si>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</si>
  <si>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</si>
  <si>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</si>
  <si>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</si>
  <si>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</si>
  <si>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</si>
  <si>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</si>
  <si>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</si>
  <si>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</si>
  <si>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</si>
  <si>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</si>
  <si>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</si>
  <si>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</si>
  <si>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</si>
  <si>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</si>
  <si>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</si>
  <si>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</si>
  <si>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</si>
  <si>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</si>
  <si>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</si>
  <si>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</si>
  <si>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</si>
  <si>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</si>
  <si>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</si>
  <si>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</si>
  <si>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</si>
  <si>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</si>
  <si>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</si>
  <si>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</si>
  <si>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</si>
  <si>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</si>
  <si>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</si>
  <si>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</si>
  <si>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</si>
  <si>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</si>
  <si>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</si>
  <si>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</si>
  <si>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</si>
  <si>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</si>
  <si>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</si>
  <si>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</si>
  <si>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</si>
  <si>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</si>
  <si>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</si>
  <si>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</si>
  <si>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</si>
  <si>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</si>
  <si>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</si>
  <si>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</si>
  <si>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</si>
  <si>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</si>
  <si>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</si>
  <si>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</si>
  <si>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</si>
  <si>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</si>
  <si>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</si>
  <si>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</si>
  <si>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</si>
  <si>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</si>
  <si>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</si>
  <si>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</si>
  <si>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</si>
  <si>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</si>
  <si>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</si>
  <si>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</si>
  <si>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</si>
  <si>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</si>
  <si>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</si>
  <si>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</si>
  <si>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</si>
  <si>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</si>
  <si>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</si>
  <si>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</si>
  <si>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</si>
  <si>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</si>
  <si>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</si>
  <si>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</si>
  <si>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</si>
  <si>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</si>
  <si>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</si>
  <si>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</si>
  <si>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</si>
  <si>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</si>
  <si>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</si>
  <si>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</si>
  <si>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</si>
  <si>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</si>
  <si>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</si>
  <si>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</si>
  <si>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</si>
  <si>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</si>
  <si>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</si>
  <si>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</si>
  <si>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</si>
  <si>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</si>
  <si>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</si>
  <si>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</si>
  <si>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</si>
  <si>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</si>
  <si>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</si>
  <si>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</si>
  <si>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</si>
  <si>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</si>
  <si>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</si>
  <si>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</si>
  <si>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</si>
  <si>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</si>
  <si>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</si>
  <si>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</si>
  <si>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</si>
  <si>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</si>
  <si>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</si>
  <si>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</si>
  <si>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</si>
  <si>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</si>
  <si>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</si>
  <si>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</si>
  <si>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</si>
  <si>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</si>
  <si>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</si>
  <si>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</si>
  <si>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</si>
  <si>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</si>
  <si>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</si>
  <si>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</si>
  <si>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</si>
  <si>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</si>
  <si>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</si>
  <si>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</si>
  <si>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</si>
  <si>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</si>
  <si>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</si>
  <si>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</si>
  <si>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</si>
  <si>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</si>
  <si>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</si>
  <si>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</si>
  <si>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</si>
  <si>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</si>
  <si>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</si>
  <si>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</si>
  <si>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</si>
  <si>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</si>
  <si>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</si>
  <si>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</si>
  <si>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</si>
  <si>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</si>
  <si>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</si>
  <si>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</si>
  <si>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</si>
  <si>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</si>
  <si>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</si>
  <si>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</si>
  <si>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</si>
  <si>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</si>
  <si>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</si>
  <si>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</si>
  <si>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</si>
  <si>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</si>
  <si>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</si>
  <si>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</si>
  <si>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</si>
  <si>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</si>
  <si>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</si>
  <si>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</si>
  <si>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</si>
  <si>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</si>
  <si>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</si>
  <si>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</si>
  <si>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</si>
  <si>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</si>
  <si>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</si>
  <si>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</si>
  <si>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</si>
  <si>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</si>
  <si>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</si>
  <si>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</si>
  <si>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</si>
  <si>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</si>
  <si>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</si>
  <si>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</si>
  <si>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</si>
  <si>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</si>
  <si>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</si>
  <si>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</si>
  <si>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</si>
  <si>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</si>
  <si>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</si>
  <si>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</si>
  <si>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</si>
  <si>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</si>
  <si>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</si>
  <si>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</si>
  <si>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</si>
  <si>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</si>
  <si>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</si>
  <si>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</si>
  <si>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</si>
  <si>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</si>
  <si>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</si>
  <si>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</si>
  <si>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</si>
  <si>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</si>
  <si>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</si>
  <si>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</si>
  <si>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</si>
  <si>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</si>
  <si>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</si>
  <si>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</si>
  <si>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</si>
  <si>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</si>
  <si>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</si>
  <si>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</si>
  <si>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</si>
  <si>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</si>
  <si>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</si>
  <si>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</si>
  <si>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</si>
  <si>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</si>
  <si>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</si>
  <si>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</si>
  <si>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</si>
  <si>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</si>
  <si>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</si>
  <si>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</si>
  <si>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</si>
  <si>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</si>
  <si>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</si>
  <si>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</si>
  <si>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</si>
  <si>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</si>
  <si>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</si>
  <si>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</si>
  <si>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</si>
  <si>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</si>
  <si>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</si>
  <si>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</si>
  <si>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</si>
  <si>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</si>
  <si>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</si>
  <si>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</si>
  <si>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</si>
  <si>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</si>
  <si>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</si>
  <si>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</si>
  <si>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</si>
  <si>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</si>
  <si>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</si>
  <si>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</si>
  <si>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</si>
  <si>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</si>
  <si>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</si>
  <si>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</si>
  <si>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</si>
  <si>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</si>
  <si>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</si>
  <si>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</si>
  <si>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</si>
  <si>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</si>
  <si>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</si>
  <si>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</si>
  <si>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</si>
  <si>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</si>
  <si>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</si>
  <si>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</si>
  <si>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</si>
  <si>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</si>
  <si>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</si>
  <si>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</si>
  <si>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</si>
  <si>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</si>
  <si>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</si>
  <si>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</si>
  <si>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</si>
  <si>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</si>
  <si>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</si>
  <si>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</si>
  <si>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</si>
  <si>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</si>
  <si>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</si>
  <si>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</si>
  <si>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</si>
  <si>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</si>
  <si>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</si>
  <si>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</si>
  <si>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</si>
  <si>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</si>
  <si>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</si>
  <si>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</si>
  <si>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</si>
  <si>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</si>
  <si>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</si>
  <si>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</si>
  <si>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</si>
  <si>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</si>
  <si>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</si>
  <si>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</si>
  <si>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</si>
  <si>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</si>
  <si>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</si>
  <si>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</si>
  <si>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</si>
  <si>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</si>
  <si>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</si>
  <si>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</si>
  <si>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</si>
  <si>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</si>
  <si>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</si>
  <si>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</si>
  <si>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</si>
  <si>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</si>
  <si>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</si>
  <si>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</si>
  <si>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</si>
  <si>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</si>
  <si>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</si>
  <si>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</si>
  <si>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</si>
  <si>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</si>
  <si>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</si>
  <si>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</si>
  <si>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</si>
  <si>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</si>
  <si>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</si>
  <si>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</si>
  <si>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</si>
  <si>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</si>
  <si>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</si>
  <si>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</si>
  <si>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</si>
  <si>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</si>
  <si>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</si>
  <si>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</si>
  <si>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</si>
  <si>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</si>
  <si>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</si>
  <si>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</si>
  <si>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</si>
  <si>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</si>
  <si>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</si>
  <si>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</si>
  <si>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</si>
  <si>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</si>
  <si>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</si>
  <si>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</si>
  <si>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</si>
  <si>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</si>
  <si>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</si>
  <si>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</si>
  <si>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</si>
  <si>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</si>
  <si>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</si>
  <si>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</si>
  <si>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</si>
  <si>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</si>
  <si>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</si>
  <si>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</si>
  <si>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</si>
  <si>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</si>
  <si>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</si>
  <si>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</si>
  <si>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</si>
  <si>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</si>
  <si>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</si>
  <si>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</si>
  <si>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</si>
  <si>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</si>
  <si>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</si>
  <si>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</si>
  <si>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</si>
  <si>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</si>
  <si>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</si>
  <si>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</si>
  <si>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</si>
  <si>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</si>
  <si>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</si>
  <si>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</si>
  <si>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</si>
  <si>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</si>
  <si>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</si>
  <si>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</si>
  <si>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</si>
  <si>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</si>
  <si>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</si>
  <si>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</si>
  <si>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</si>
  <si>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</si>
  <si>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</si>
  <si>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</si>
  <si>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</si>
  <si>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</si>
  <si>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</si>
  <si>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</si>
  <si>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</si>
  <si>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</si>
  <si>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</si>
  <si>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>Invoice No # :48915616</t>
  </si>
  <si>
    <t>Invoice No # :4512348</t>
  </si>
  <si>
    <t>Address: Barki Road</t>
  </si>
  <si>
    <t>NTN #: 8316307-2</t>
  </si>
  <si>
    <t>Invoice No # :00012</t>
  </si>
  <si>
    <t>Invoice No # :001242</t>
  </si>
  <si>
    <t>Invoice No # : 001245</t>
  </si>
  <si>
    <t xml:space="preserve">Address: Wapda Town </t>
  </si>
  <si>
    <t>Address:  Defence Road</t>
  </si>
  <si>
    <t xml:space="preserve">Address: Behria Town </t>
  </si>
  <si>
    <t xml:space="preserve">Address: Model Town </t>
  </si>
  <si>
    <t>Address:EME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</si>
</sst>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3" fillId="0" borderId="0" xfId="0" applyFont="1"/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3" t="s">
        <v>24</v>
      </c>
      <c r="B2" s="313"/>
      <c r="C2" s="313"/>
      <c r="D2" s="313"/>
      <c r="E2" s="313"/>
      <c r="F2" s="313"/>
      <c r="G2" s="313"/>
      <c r="H2" s="313"/>
    </row>
    <row r="3" spans="1:21" ht="18" thickBot="1" x14ac:dyDescent="0.35">
      <c r="A3" s="314" t="s">
        <v>15</v>
      </c>
      <c r="B3" s="314"/>
      <c r="C3" s="314"/>
      <c r="D3" s="314"/>
      <c r="E3" s="314"/>
      <c r="F3" s="314"/>
      <c r="G3" s="314"/>
      <c r="H3" s="31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5" t="s">
        <v>37</v>
      </c>
      <c r="P3" s="31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7" t="s">
        <v>25</v>
      </c>
      <c r="D4" s="31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1" t="s">
        <v>30</v>
      </c>
      <c r="H13" s="31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1" t="s">
        <v>30</v>
      </c>
      <c r="H26" s="31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1" t="s">
        <v>30</v>
      </c>
      <c r="H37" s="31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9"/>
      <c r="B3" s="319"/>
      <c r="C3" s="319"/>
      <c r="D3" s="319"/>
      <c r="E3" s="319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0"/>
      <c r="U3" s="320"/>
      <c r="V3" s="320"/>
      <c r="W3" s="320"/>
      <c r="X3" s="320"/>
      <c r="Y3" s="320"/>
    </row>
    <row r="4" spans="1:29" x14ac:dyDescent="0.35">
      <c r="A4" s="321" t="s">
        <v>436</v>
      </c>
      <c r="B4" s="165" t="s">
        <v>437</v>
      </c>
      <c r="C4" s="165"/>
      <c r="D4" s="323" t="s">
        <v>438</v>
      </c>
      <c r="E4" s="325" t="s">
        <v>439</v>
      </c>
      <c r="F4" s="327" t="s">
        <v>58</v>
      </c>
      <c r="G4" s="327"/>
      <c r="H4" s="328" t="s">
        <v>440</v>
      </c>
      <c r="I4" s="328"/>
      <c r="J4" s="329" t="s">
        <v>441</v>
      </c>
      <c r="K4" s="330"/>
      <c r="L4" s="329" t="s">
        <v>442</v>
      </c>
      <c r="M4" s="330"/>
      <c r="N4" s="331" t="s">
        <v>443</v>
      </c>
      <c r="O4" s="331"/>
      <c r="P4" s="329" t="s">
        <v>86</v>
      </c>
      <c r="Q4" s="330"/>
      <c r="R4" s="329" t="s">
        <v>444</v>
      </c>
      <c r="S4" s="330"/>
      <c r="T4" s="332" t="s">
        <v>445</v>
      </c>
      <c r="U4" s="332"/>
      <c r="V4" s="333" t="s">
        <v>446</v>
      </c>
      <c r="W4" s="334"/>
      <c r="X4" s="333" t="s">
        <v>447</v>
      </c>
      <c r="Y4" s="334"/>
    </row>
    <row r="5" spans="1:29" ht="26.25" customHeight="1" thickBot="1" x14ac:dyDescent="0.4">
      <c r="A5" s="322"/>
      <c r="B5" s="167" t="s">
        <v>448</v>
      </c>
      <c r="C5" s="167" t="s">
        <v>438</v>
      </c>
      <c r="D5" s="324"/>
      <c r="E5" s="32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tabSelected="1" workbookViewId="0">
      <selection activeCell="A3" sqref="A3:C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6" t="s">
        <v>497</v>
      </c>
      <c r="F2" s="344"/>
      <c r="G2" s="344"/>
      <c r="H2" s="344" t="s">
        <v>507</v>
      </c>
      <c r="I2" s="344"/>
      <c r="J2" s="345"/>
      <c r="R2" s="341" t="s">
        <v>506</v>
      </c>
      <c r="S2" s="342"/>
      <c r="T2" s="343"/>
    </row>
    <row r="3" spans="1:20 16377:16378" ht="21.75" customHeight="1" thickBot="1" x14ac:dyDescent="0.4">
      <c r="A3" s="359" t="s">
        <v>92</v>
      </c>
      <c r="B3" s="359"/>
      <c r="C3" s="359"/>
      <c r="E3" s="349" t="s">
        <v>498</v>
      </c>
      <c r="F3" s="350"/>
      <c r="G3" s="350"/>
      <c r="H3" s="347">
        <v>46273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>Rainbow Cash &amp; Carry</v>
      </c>
      <c r="T3" s="301">
        <f>+'1'!P35</f>
        <v>63661.666871822032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62345.646711228816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15298.547813771187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12337.543908686441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1468.95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293.79000000000002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8729.76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53.564054237288133</v>
      </c>
      <c r="P7" s="118">
        <f>M7+N7+O7</f>
        <v>10766.374901694913</v>
      </c>
      <c r="Q7" s="142"/>
      <c r="R7" s="299">
        <v>5</v>
      </c>
      <c r="S7" s="300" t="str">
        <f>+'5'!A6:A6</f>
        <v>Rainbow Cash &amp; Carry</v>
      </c>
      <c r="T7" s="301">
        <f>+'5'!P35</f>
        <v>16677.487081016952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200</v>
      </c>
      <c r="I8" s="236">
        <f t="shared" ref="I8:I14" si="0">(G8*D8)*F8+H8*F8</f>
        <v>10492.5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1468.95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367.23750000000001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8656.3125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1983.0508474576263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53.196816737288131</v>
      </c>
      <c r="P8" s="119">
        <f t="shared" ref="P8:P15" si="2">M8+N8+O8</f>
        <v>10692.560164194916</v>
      </c>
      <c r="R8" s="299">
        <v>6</v>
      </c>
      <c r="S8" s="300" t="str">
        <f>+'6'!A6:A6</f>
        <v>Rainbow Cash &amp; Carry</v>
      </c>
      <c r="T8" s="301">
        <f>+'6'!P35</f>
        <v>5099.5159379237284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600</v>
      </c>
      <c r="I9" s="236">
        <f t="shared" si="0"/>
        <v>31477.5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4406.8500000000004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1028.2650000000001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26042.384999999998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5949.1525423728781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159.95768771186439</v>
      </c>
      <c r="P9" s="119">
        <f t="shared" si="2"/>
        <v>32151.49523008474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320</v>
      </c>
      <c r="I10" s="236">
        <f t="shared" si="0"/>
        <v>23244.799999999999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3254.2720000000004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711.87200000000007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19278.655999999999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4393.2203389830511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118.35938169491524</v>
      </c>
      <c r="P10" s="119">
        <f t="shared" si="2"/>
        <v>23790.235720677963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360</v>
      </c>
      <c r="I11" s="236">
        <f t="shared" si="0"/>
        <v>26150.400000000001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3661.0560000000005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813.5680000000001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21675.776000000002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4942.3728813559328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133.09074440677966</v>
      </c>
      <c r="P11" s="119">
        <f t="shared" si="2"/>
        <v>26751.239625762712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960</v>
      </c>
      <c r="I12" s="236">
        <f t="shared" si="0"/>
        <v>69734.399999999994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9762.8159999999989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2237.3119999999999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57734.271999999997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13179.661016949154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354.56966508474574</v>
      </c>
      <c r="P12" s="119">
        <f t="shared" si="2"/>
        <v>71268.502682033897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 t="shared" ref="G16:M16" si="3">SUM(G7:G15)</f>
        <v>0</v>
      </c>
      <c r="H16" s="113">
        <f t="shared" si="3"/>
        <v>2640</v>
      </c>
      <c r="I16" s="114">
        <f t="shared" si="3"/>
        <v>171592.1</v>
      </c>
      <c r="J16" s="274">
        <f>SUM(J7:J15)</f>
        <v>24022.894</v>
      </c>
      <c r="K16" s="275">
        <f t="shared" si="3"/>
        <v>5452.0445</v>
      </c>
      <c r="L16" s="276">
        <f t="shared" si="3"/>
        <v>0</v>
      </c>
      <c r="M16" s="232">
        <f t="shared" si="3"/>
        <v>142117.16149999999</v>
      </c>
      <c r="N16" s="233">
        <f>SUM(N7:N15)</f>
        <v>32430.508474576269</v>
      </c>
      <c r="O16" s="101">
        <f>SUM(O7:O15)</f>
        <v>872.73834987288137</v>
      </c>
      <c r="P16" s="234">
        <f>SUM(P7:P15)</f>
        <v>175420.40832444915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171592.1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24022.894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5452.0445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142117.16150000002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32430.508474576269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174547.66997457627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872.73834987288137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35" t="s">
        <v>88</v>
      </c>
      <c r="O26" s="336"/>
      <c r="P26" s="297">
        <f>+P24+P25</f>
        <v>175420.40832444915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7"/>
      <c r="D27" s="337"/>
      <c r="E27" s="337"/>
      <c r="F27" s="337"/>
      <c r="G27" s="337"/>
      <c r="H27" s="337"/>
      <c r="I27" s="338"/>
      <c r="J27" s="339"/>
      <c r="K27" s="340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175420.40832444912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514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46283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46282</v>
      </c>
      <c r="O5" s="359"/>
      <c r="P5" s="359"/>
      <c r="R5" s="85"/>
      <c r="S5" s="266"/>
    </row>
    <row r="6" spans="1:22 16383:16384" ht="17.2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513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517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118">
        <f>M16+N16+O16</f>
        <v>4277.0240656779661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120</v>
      </c>
      <c r="I17" s="236">
        <f t="shared" ref="I17:I23" si="0">(G17*D17)*F17+H17*F17</f>
        <v>6295.5</v>
      </c>
      <c r="J17" s="272">
        <f t="shared" ref="J17:L24" si="1">$I17*S17</f>
        <v>881.37000000000012</v>
      </c>
      <c r="K17" s="128">
        <f>$I17*T17</f>
        <v>220.34250000000003</v>
      </c>
      <c r="L17" s="119">
        <f>$I17*U17</f>
        <v>0</v>
      </c>
      <c r="M17" s="230">
        <f t="shared" ref="M17:M24" si="2">I17-SUM(J17:L17)</f>
        <v>5193.7875000000004</v>
      </c>
      <c r="N17" s="277">
        <f t="shared" ref="N17:N24" si="3">+(G17*D17+H17)*V17</f>
        <v>1189.8305084745757</v>
      </c>
      <c r="O17" s="239">
        <f t="shared" ref="O17:O24" si="4">(N17+M17)*$O$15</f>
        <v>31.918090042372878</v>
      </c>
      <c r="P17" s="119">
        <f t="shared" ref="P17:P24" si="5">M17+N17+O17</f>
        <v>6415.5360985169482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160</v>
      </c>
      <c r="I18" s="236">
        <f t="shared" ref="I18:I21" si="7">(G18*D18)*F18+H18*F18</f>
        <v>8394</v>
      </c>
      <c r="J18" s="272">
        <f t="shared" si="1"/>
        <v>1175.1600000000001</v>
      </c>
      <c r="K18" s="128">
        <f t="shared" si="1"/>
        <v>293.79000000000002</v>
      </c>
      <c r="L18" s="119">
        <f t="shared" si="1"/>
        <v>0</v>
      </c>
      <c r="M18" s="230">
        <f t="shared" si="2"/>
        <v>6925.05</v>
      </c>
      <c r="N18" s="277">
        <f t="shared" si="3"/>
        <v>1586.440677966101</v>
      </c>
      <c r="O18" s="239">
        <f t="shared" si="4"/>
        <v>42.557453389830506</v>
      </c>
      <c r="P18" s="119">
        <f t="shared" si="5"/>
        <v>8554.0481313559321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160</v>
      </c>
      <c r="I19" s="236">
        <f t="shared" si="7"/>
        <v>11622.4</v>
      </c>
      <c r="J19" s="272">
        <f t="shared" si="1"/>
        <v>1627.1360000000002</v>
      </c>
      <c r="K19" s="128">
        <f t="shared" si="1"/>
        <v>406.78400000000005</v>
      </c>
      <c r="L19" s="119">
        <f t="shared" si="1"/>
        <v>0</v>
      </c>
      <c r="M19" s="230">
        <f t="shared" si="2"/>
        <v>9588.48</v>
      </c>
      <c r="N19" s="277">
        <f t="shared" si="3"/>
        <v>2196.6101694915255</v>
      </c>
      <c r="O19" s="239">
        <f t="shared" si="4"/>
        <v>58.925450847457626</v>
      </c>
      <c r="P19" s="119">
        <f t="shared" si="5"/>
        <v>11844.015620338982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7">
        <v>40</v>
      </c>
      <c r="I20" s="236">
        <f t="shared" si="7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Q20" s="30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400</v>
      </c>
      <c r="I21" s="236">
        <f t="shared" si="7"/>
        <v>29056</v>
      </c>
      <c r="J21" s="272">
        <f t="shared" si="1"/>
        <v>4067.8400000000006</v>
      </c>
      <c r="K21" s="128">
        <f t="shared" si="1"/>
        <v>1016.9600000000002</v>
      </c>
      <c r="L21" s="119">
        <f t="shared" si="1"/>
        <v>0</v>
      </c>
      <c r="M21" s="230">
        <f t="shared" si="2"/>
        <v>23971.199999999997</v>
      </c>
      <c r="N21" s="277">
        <f t="shared" si="3"/>
        <v>5491.5254237288136</v>
      </c>
      <c r="O21" s="239">
        <f t="shared" si="4"/>
        <v>147.31362711864406</v>
      </c>
      <c r="P21" s="119">
        <f t="shared" si="5"/>
        <v>29610.039050847456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960</v>
      </c>
      <c r="I25" s="114">
        <f t="shared" ref="I25:M25" si="10">SUM(I16:I24)</f>
        <v>62470.5</v>
      </c>
      <c r="J25" s="274">
        <f>SUM(J16:J24)</f>
        <v>8745.8700000000008</v>
      </c>
      <c r="K25" s="275">
        <f t="shared" si="10"/>
        <v>2186.4675000000002</v>
      </c>
      <c r="L25" s="276">
        <f t="shared" si="10"/>
        <v>0</v>
      </c>
      <c r="M25" s="232">
        <f t="shared" si="10"/>
        <v>51538.162499999991</v>
      </c>
      <c r="N25" s="233">
        <f>SUM(N16:N24)</f>
        <v>11806.779661016948</v>
      </c>
      <c r="O25" s="101">
        <f>SUM(O16:O24)</f>
        <v>316.72471080508478</v>
      </c>
      <c r="P25" s="234">
        <f>SUM(P16:P24)</f>
        <v>63661.666871822032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62470.5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8745.8700000000008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2186.4675000000002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51538.162499999999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11806.779661016948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63344.942161016945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316.72471080508473</v>
      </c>
    </row>
    <row r="35" spans="2:16" ht="15.75" customHeight="1" thickBot="1" x14ac:dyDescent="0.4">
      <c r="N35" s="335" t="s">
        <v>88</v>
      </c>
      <c r="O35" s="336"/>
      <c r="P35" s="297">
        <f>+P33+P34</f>
        <v>63661.666871822032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515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46283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46282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518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200</v>
      </c>
      <c r="I18" s="236">
        <f t="shared" si="0"/>
        <v>10492.5</v>
      </c>
      <c r="J18" s="272">
        <f t="shared" si="1"/>
        <v>1468.95</v>
      </c>
      <c r="K18" s="128">
        <f t="shared" si="1"/>
        <v>367.23750000000001</v>
      </c>
      <c r="L18" s="119">
        <f t="shared" si="1"/>
        <v>0</v>
      </c>
      <c r="M18" s="230">
        <f t="shared" si="2"/>
        <v>8656.3125</v>
      </c>
      <c r="N18" s="277">
        <f t="shared" si="3"/>
        <v>1983.0508474576263</v>
      </c>
      <c r="O18" s="239">
        <f t="shared" si="4"/>
        <v>53.196816737288138</v>
      </c>
      <c r="P18" s="119">
        <f t="shared" si="5"/>
        <v>10692.560164194916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119">
        <f t="shared" si="5"/>
        <v>5922.0078101694908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0"/>
        <v>14528</v>
      </c>
      <c r="J20" s="272">
        <f t="shared" si="1"/>
        <v>2033.9200000000003</v>
      </c>
      <c r="K20" s="128">
        <f t="shared" si="1"/>
        <v>508.48000000000008</v>
      </c>
      <c r="L20" s="119">
        <f t="shared" si="1"/>
        <v>0</v>
      </c>
      <c r="M20" s="230">
        <f t="shared" si="2"/>
        <v>11985.599999999999</v>
      </c>
      <c r="N20" s="277">
        <f t="shared" si="3"/>
        <v>2745.7627118644068</v>
      </c>
      <c r="O20" s="239">
        <f t="shared" si="4"/>
        <v>73.656813559322032</v>
      </c>
      <c r="P20" s="119">
        <f t="shared" si="5"/>
        <v>14805.019525423728</v>
      </c>
      <c r="R20">
        <f>P20/21</f>
        <v>705.00092978208227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360</v>
      </c>
      <c r="I21" s="236">
        <f t="shared" si="0"/>
        <v>26150.400000000001</v>
      </c>
      <c r="J21" s="272">
        <f t="shared" si="1"/>
        <v>3661.0560000000005</v>
      </c>
      <c r="K21" s="128">
        <f t="shared" si="1"/>
        <v>915.26400000000012</v>
      </c>
      <c r="L21" s="119">
        <f t="shared" si="1"/>
        <v>0</v>
      </c>
      <c r="M21" s="230">
        <f t="shared" si="2"/>
        <v>21574.080000000002</v>
      </c>
      <c r="N21" s="277">
        <f t="shared" si="3"/>
        <v>4942.3728813559328</v>
      </c>
      <c r="O21" s="239">
        <f t="shared" si="4"/>
        <v>132.58226440677967</v>
      </c>
      <c r="P21" s="119">
        <f t="shared" si="5"/>
        <v>26649.035145762715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920</v>
      </c>
      <c r="I25" s="114">
        <f t="shared" si="7"/>
        <v>61179.1</v>
      </c>
      <c r="J25" s="274">
        <f>SUM(J16:J24)</f>
        <v>8565.0740000000005</v>
      </c>
      <c r="K25" s="275">
        <f t="shared" si="7"/>
        <v>2141.2685000000001</v>
      </c>
      <c r="L25" s="276">
        <f t="shared" si="7"/>
        <v>0</v>
      </c>
      <c r="M25" s="232">
        <f t="shared" si="7"/>
        <v>50472.7575</v>
      </c>
      <c r="N25" s="233">
        <f>SUM(N16:N24)</f>
        <v>11562.71186440678</v>
      </c>
      <c r="O25" s="101">
        <f>SUM(O16:O24)</f>
        <v>310.17734682203388</v>
      </c>
      <c r="P25" s="234">
        <f>SUM(P16:P24)</f>
        <v>62345.646711228808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61179.1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8565.0740000000005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2141.2685000000001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50472.7575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11562.71186440678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62035.469364406781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310.17734682203394</v>
      </c>
    </row>
    <row r="35" spans="2:16" ht="15.75" customHeight="1" thickBot="1" x14ac:dyDescent="0.4">
      <c r="N35" s="335" t="s">
        <v>88</v>
      </c>
      <c r="O35" s="336"/>
      <c r="P35" s="297">
        <f>+P33+P34</f>
        <v>62345.646711228816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516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46283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46282</v>
      </c>
      <c r="O5" s="359"/>
      <c r="P5" s="359"/>
      <c r="R5" s="85"/>
      <c r="S5" s="266"/>
    </row>
    <row r="6" spans="1:22 16383:16384" ht="18.7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519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2101.7220000000002</v>
      </c>
      <c r="K25" s="275">
        <f t="shared" si="7"/>
        <v>525.43050000000005</v>
      </c>
      <c r="L25" s="276">
        <f t="shared" si="7"/>
        <v>0</v>
      </c>
      <c r="M25" s="232">
        <f t="shared" si="7"/>
        <v>12385.147499999999</v>
      </c>
      <c r="N25" s="233">
        <f>SUM(N16:N24)</f>
        <v>2837.2881355932195</v>
      </c>
      <c r="O25" s="101">
        <f>SUM(O16:O24)</f>
        <v>76.112178177966101</v>
      </c>
      <c r="P25" s="234">
        <f>SUM(P16:P24)</f>
        <v>15298.547813771183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15012.300000000001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2101.7220000000002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525.43050000000005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12385.147500000001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15222.435635593221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76.112178177966115</v>
      </c>
    </row>
    <row r="35" spans="2:16" ht="15.75" customHeight="1" thickBot="1" x14ac:dyDescent="0.4">
      <c r="N35" s="335" t="s">
        <v>88</v>
      </c>
      <c r="O35" s="336"/>
      <c r="P35" s="297">
        <f>+P33+P34</f>
        <v>15298.547813771187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511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46273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46272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520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142"/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119">
        <f t="shared" si="5"/>
        <v>4277.0240656779661</v>
      </c>
      <c r="Q18" s="142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142"/>
      <c r="R19" s="142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Q20" s="142"/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Q21" s="142"/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200</v>
      </c>
      <c r="I25" s="114">
        <f t="shared" si="7"/>
        <v>12106.7</v>
      </c>
      <c r="J25" s="274">
        <f>SUM(J16:J24)</f>
        <v>1694.9380000000003</v>
      </c>
      <c r="K25" s="275">
        <f t="shared" si="7"/>
        <v>423.73450000000008</v>
      </c>
      <c r="L25" s="276">
        <f t="shared" si="7"/>
        <v>0</v>
      </c>
      <c r="M25" s="232">
        <f t="shared" si="7"/>
        <v>9988.0275000000001</v>
      </c>
      <c r="N25" s="233">
        <f>SUM(N16:N24)</f>
        <v>2288.1355932203383</v>
      </c>
      <c r="O25" s="101">
        <f>SUM(O16:O24)</f>
        <v>61.380815466101694</v>
      </c>
      <c r="P25" s="234">
        <f>SUM(P16:P24)</f>
        <v>12337.543908686439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9"/>
      <c r="S27" s="310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12106.7</v>
      </c>
      <c r="Q28" s="309"/>
      <c r="S28" s="310"/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1694.9380000000003</v>
      </c>
      <c r="Q29" s="309"/>
      <c r="S29" s="310"/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423.73450000000008</v>
      </c>
      <c r="Q30" s="309"/>
      <c r="S30" s="310"/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9988.0275000000001</v>
      </c>
      <c r="Q31" s="309"/>
      <c r="S31" s="310"/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2288.1355932203383</v>
      </c>
      <c r="Q32" s="309"/>
      <c r="S32" s="310"/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12276.163093220339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61.380815466101694</v>
      </c>
    </row>
    <row r="35" spans="2:16" ht="15.75" customHeight="1" thickBot="1" x14ac:dyDescent="0.4">
      <c r="N35" s="335" t="s">
        <v>88</v>
      </c>
      <c r="O35" s="336"/>
      <c r="P35" s="297">
        <f>+P33+P34</f>
        <v>12337.543908686441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510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46272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46271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500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512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08">
        <v>0.14000000000000001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0</v>
      </c>
      <c r="L16" s="118">
        <f>$I16*U16</f>
        <v>0</v>
      </c>
      <c r="M16" s="229">
        <f>I16-SUM(J16:L16)</f>
        <v>1804.71</v>
      </c>
      <c r="N16" s="248">
        <f>+(G16*D16+H16)*V16</f>
        <v>396.61016949152526</v>
      </c>
      <c r="O16" s="238">
        <f>(N16+M16)*$O$15</f>
        <v>11.006600847457626</v>
      </c>
      <c r="P16" s="118">
        <f>M16+N16+O16</f>
        <v>2212.3267703389829</v>
      </c>
      <c r="Q16" s="142"/>
      <c r="S16" s="269">
        <v>0.14000000000000001</v>
      </c>
      <c r="T16" s="270"/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0</v>
      </c>
      <c r="L18" s="119">
        <f t="shared" si="1"/>
        <v>0</v>
      </c>
      <c r="M18" s="230">
        <f t="shared" si="2"/>
        <v>1804.71</v>
      </c>
      <c r="N18" s="277">
        <f t="shared" si="3"/>
        <v>396.61016949152526</v>
      </c>
      <c r="O18" s="239">
        <f t="shared" si="4"/>
        <v>11.006600847457626</v>
      </c>
      <c r="P18" s="119">
        <f t="shared" si="5"/>
        <v>2212.3267703389829</v>
      </c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0</v>
      </c>
      <c r="L19" s="119">
        <f t="shared" si="1"/>
        <v>0</v>
      </c>
      <c r="M19" s="230">
        <f t="shared" si="2"/>
        <v>2498.8159999999998</v>
      </c>
      <c r="N19" s="277">
        <f t="shared" si="3"/>
        <v>549.15254237288138</v>
      </c>
      <c r="O19" s="239">
        <f t="shared" si="4"/>
        <v>15.239842711864405</v>
      </c>
      <c r="P19" s="119">
        <f t="shared" si="5"/>
        <v>3063.2083850847453</v>
      </c>
      <c r="S19" s="269">
        <f>+S18</f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0</v>
      </c>
      <c r="L20" s="119">
        <f t="shared" si="1"/>
        <v>0</v>
      </c>
      <c r="M20" s="230">
        <f t="shared" si="2"/>
        <v>2498.8159999999998</v>
      </c>
      <c r="N20" s="277">
        <f t="shared" si="3"/>
        <v>549.15254237288138</v>
      </c>
      <c r="O20" s="239">
        <f t="shared" si="4"/>
        <v>15.239842711864405</v>
      </c>
      <c r="P20" s="119">
        <f t="shared" si="5"/>
        <v>3063.2083850847453</v>
      </c>
      <c r="R20">
        <f>P20/21</f>
        <v>145.86706595641644</v>
      </c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813.5680000000001</v>
      </c>
      <c r="K21" s="128">
        <f t="shared" si="1"/>
        <v>0</v>
      </c>
      <c r="L21" s="119">
        <f t="shared" si="1"/>
        <v>0</v>
      </c>
      <c r="M21" s="230">
        <f t="shared" si="2"/>
        <v>4997.6319999999996</v>
      </c>
      <c r="N21" s="277">
        <f t="shared" si="3"/>
        <v>1098.3050847457628</v>
      </c>
      <c r="O21" s="239">
        <f t="shared" si="4"/>
        <v>30.47968542372881</v>
      </c>
      <c r="P21" s="119">
        <f t="shared" si="5"/>
        <v>6126.4167701694905</v>
      </c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240</v>
      </c>
      <c r="I25" s="114">
        <f t="shared" si="7"/>
        <v>15819.400000000001</v>
      </c>
      <c r="J25" s="274">
        <f>SUM(J16:J24)</f>
        <v>2214.7160000000003</v>
      </c>
      <c r="K25" s="275">
        <f t="shared" si="7"/>
        <v>0</v>
      </c>
      <c r="L25" s="276">
        <f t="shared" si="7"/>
        <v>0</v>
      </c>
      <c r="M25" s="232">
        <f t="shared" si="7"/>
        <v>13604.683999999999</v>
      </c>
      <c r="N25" s="233">
        <f>SUM(N16:N24)</f>
        <v>2989.8305084745762</v>
      </c>
      <c r="O25" s="101">
        <f>SUM(O16:O24)</f>
        <v>82.972572542372873</v>
      </c>
      <c r="P25" s="234">
        <f>SUM(P16:P24)</f>
        <v>16677.487081016945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15819.400000000001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2214.7160000000003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13604.684000000001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2989.8305084745762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16594.514508474578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82.972572542372887</v>
      </c>
    </row>
    <row r="35" spans="2:16" ht="15.75" customHeight="1" thickBot="1" x14ac:dyDescent="0.4">
      <c r="N35" s="335" t="s">
        <v>88</v>
      </c>
      <c r="O35" s="336"/>
      <c r="P35" s="297">
        <f>+P33+P34</f>
        <v>16677.487081016952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521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700.57400000000007</v>
      </c>
      <c r="K25" s="275">
        <f t="shared" si="7"/>
        <v>175.14350000000002</v>
      </c>
      <c r="L25" s="276">
        <f t="shared" si="7"/>
        <v>0</v>
      </c>
      <c r="M25" s="232">
        <f t="shared" si="7"/>
        <v>4128.3824999999997</v>
      </c>
      <c r="N25" s="233">
        <f>SUM(N16:N24)</f>
        <v>945.76271186440658</v>
      </c>
      <c r="O25" s="101">
        <f>SUM(O16:O24)</f>
        <v>25.370726059322031</v>
      </c>
      <c r="P25" s="234">
        <f>SUM(P16:P24)</f>
        <v>5099.5159379237284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5004.1000000000004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700.57400000000007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175.14350000000002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4128.3824999999997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5074.1452118644065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25.370726059322035</v>
      </c>
    </row>
    <row r="35" spans="2:16" ht="15.75" customHeight="1" thickBot="1" x14ac:dyDescent="0.4">
      <c r="N35" s="335" t="s">
        <v>88</v>
      </c>
      <c r="O35" s="336"/>
      <c r="P35" s="297">
        <f>+P33+P34</f>
        <v>5099.5159379237284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G10" sqref="G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G11" sqref="G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G11" sqref="G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G11" sqref="G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8.7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499</v>
      </c>
      <c r="B4" s="359"/>
      <c r="C4" s="359"/>
      <c r="F4" s="85"/>
      <c r="G4" s="1"/>
      <c r="K4" s="360" t="s">
        <v>44</v>
      </c>
      <c r="L4" s="360"/>
      <c r="M4" s="360"/>
      <c r="N4" s="390">
        <v>46259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>N4-1</f>
        <v>46258</v>
      </c>
      <c r="O5" s="359"/>
      <c r="P5" s="359"/>
      <c r="R5" s="85"/>
      <c r="S5" s="266"/>
    </row>
    <row r="6" spans="1:22 16383:16384" ht="15" customHeight="1" x14ac:dyDescent="0.4">
      <c r="A6" s="388" t="s">
        <v>508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509</v>
      </c>
      <c r="B7" s="360"/>
      <c r="C7" s="360"/>
      <c r="F7" s="85"/>
      <c r="G7" s="86"/>
      <c r="K7" s="360" t="s">
        <v>66</v>
      </c>
      <c r="L7" s="360"/>
      <c r="M7" s="360"/>
      <c r="N7" s="389" t="s">
        <v>505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505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5" t="s">
        <v>88</v>
      </c>
      <c r="O35" s="336"/>
      <c r="P35" s="297">
        <f>+P33+P34</f>
        <v>0</v>
      </c>
    </row>
    <row r="36" spans="2:16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339"/>
      <c r="K36" s="34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46284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46283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5" t="s">
        <v>88</v>
      </c>
      <c r="N35" s="336"/>
      <c r="O35" s="141">
        <f>O28-O29+O31+O34</f>
        <v>2897.511536</v>
      </c>
    </row>
    <row r="36" spans="2:15" ht="15" thickBot="1" x14ac:dyDescent="0.4">
      <c r="B36" s="121" t="s">
        <v>63</v>
      </c>
      <c r="C36" s="337"/>
      <c r="D36" s="337"/>
      <c r="E36" s="337"/>
      <c r="F36" s="337"/>
      <c r="G36" s="337"/>
      <c r="H36" s="337"/>
      <c r="I36" s="33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7" t="s">
        <v>438</v>
      </c>
      <c r="D1" s="393" t="s">
        <v>439</v>
      </c>
      <c r="E1" s="327" t="s">
        <v>58</v>
      </c>
      <c r="F1" s="327"/>
      <c r="G1" s="328" t="s">
        <v>440</v>
      </c>
      <c r="H1" s="328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7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2" t="s">
        <v>438</v>
      </c>
      <c r="D7" s="326" t="s">
        <v>439</v>
      </c>
      <c r="E7" s="394" t="s">
        <v>58</v>
      </c>
      <c r="F7" s="394"/>
      <c r="G7" s="392" t="s">
        <v>440</v>
      </c>
      <c r="H7" s="328"/>
      <c r="I7" s="329" t="s">
        <v>441</v>
      </c>
      <c r="J7" s="330"/>
      <c r="K7" s="329" t="s">
        <v>442</v>
      </c>
      <c r="L7" s="330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4"/>
      <c r="D8" s="32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3" t="s">
        <v>438</v>
      </c>
      <c r="D13" s="325" t="s">
        <v>439</v>
      </c>
      <c r="E13" s="327" t="s">
        <v>58</v>
      </c>
      <c r="F13" s="327"/>
      <c r="G13" s="328" t="s">
        <v>440</v>
      </c>
      <c r="H13" s="328"/>
      <c r="I13" s="329" t="s">
        <v>441</v>
      </c>
      <c r="J13" s="330"/>
      <c r="K13" s="329" t="s">
        <v>442</v>
      </c>
      <c r="L13" s="330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4"/>
      <c r="D14" s="32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3" t="s">
        <v>438</v>
      </c>
      <c r="D20" s="325" t="s">
        <v>439</v>
      </c>
      <c r="E20" s="327" t="s">
        <v>58</v>
      </c>
      <c r="F20" s="327"/>
      <c r="G20" s="328" t="s">
        <v>440</v>
      </c>
      <c r="H20" s="328"/>
      <c r="I20" s="329" t="s">
        <v>441</v>
      </c>
      <c r="J20" s="330"/>
      <c r="K20" s="329" t="s">
        <v>442</v>
      </c>
      <c r="L20" s="330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4"/>
      <c r="D21" s="32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3" t="s">
        <v>438</v>
      </c>
      <c r="D27" s="325" t="s">
        <v>439</v>
      </c>
      <c r="E27" s="327" t="s">
        <v>58</v>
      </c>
      <c r="F27" s="327"/>
      <c r="G27" s="328" t="s">
        <v>440</v>
      </c>
      <c r="H27" s="328"/>
      <c r="I27" s="329" t="s">
        <v>441</v>
      </c>
      <c r="J27" s="330"/>
      <c r="K27" s="329" t="s">
        <v>442</v>
      </c>
      <c r="L27" s="330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4"/>
      <c r="D28" s="32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7" t="s">
        <v>438</v>
      </c>
      <c r="C1" s="393" t="s">
        <v>439</v>
      </c>
      <c r="D1" s="327" t="s">
        <v>58</v>
      </c>
      <c r="E1" s="327"/>
      <c r="F1" s="328" t="s">
        <v>440</v>
      </c>
      <c r="G1" s="328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7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2026-09-18T12:27:55Z</dcterms:modified>
</cp:coreProperties>
</file>