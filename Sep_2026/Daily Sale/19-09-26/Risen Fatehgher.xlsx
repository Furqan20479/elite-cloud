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45BF8C-9758-478B-8E1B-A83DE7219887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3"/>
  <c r="O21" i="43" s="1"/>
  <c r="P21" i="43" s="1"/>
  <c r="M16" i="43"/>
  <c r="J7" i="62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<sst xmlns="http://schemas.openxmlformats.org/spreadsheetml/2006/main" count="3947" uniqueCount="525">
  <si>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</si>
  <si>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</si>
  <si>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</si>
  <si>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</si>
  <si>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</si>
  <si>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</si>
  <si>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</si>
  <si>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</si>
  <si>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</si>
  <si>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</si>
  <si>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</si>
  <si>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</si>
  <si>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</si>
  <si>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</si>
  <si>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</si>
  <si>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</si>
  <si>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</si>
  <si>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</si>
  <si>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</si>
  <si>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</si>
  <si>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</si>
  <si>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</si>
  <si>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</si>
  <si>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</si>
  <si>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</si>
  <si>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</si>
  <si>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</si>
  <si>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</si>
  <si>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</si>
  <si>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</si>
  <si>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</si>
  <si>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</si>
  <si>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</si>
  <si>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</si>
  <si>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</si>
  <si>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</si>
  <si>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</si>
  <si>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</si>
  <si>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</si>
  <si>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</si>
  <si>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</si>
  <si>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</si>
  <si>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</si>
  <si>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</si>
  <si>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</si>
  <si>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</si>
  <si>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</si>
  <si>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</si>
  <si>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</si>
  <si>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</si>
  <si>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</si>
  <si>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</si>
  <si>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</si>
  <si>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</si>
  <si>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</si>
  <si>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</si>
  <si>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</si>
  <si>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</si>
  <si>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</si>
  <si>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</si>
  <si>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</si>
  <si>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</si>
  <si>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</si>
  <si>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</si>
  <si>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</si>
  <si>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</si>
  <si>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</si>
  <si>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</si>
  <si>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</si>
  <si>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</si>
  <si>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</si>
  <si>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</si>
  <si>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</si>
  <si>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</si>
  <si>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</si>
  <si>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</si>
  <si>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</si>
  <si>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</si>
  <si>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</si>
  <si>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</si>
  <si>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</si>
  <si>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</si>
  <si>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</si>
  <si>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</si>
  <si>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</si>
  <si>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</si>
  <si>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</si>
  <si>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</si>
  <si>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</si>
  <si>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</si>
  <si>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</si>
  <si>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</si>
  <si>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</si>
  <si>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</si>
  <si>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</si>
  <si>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</si>
  <si>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</si>
  <si>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</si>
  <si>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</si>
  <si>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</si>
  <si>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</si>
  <si>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</si>
  <si>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</si>
  <si>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</si>
  <si>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</si>
  <si>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</si>
  <si>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</si>
  <si>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</si>
  <si>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</si>
  <si>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</si>
  <si>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</si>
  <si>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</si>
  <si>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</si>
  <si>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</si>
  <si>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</si>
  <si>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</si>
  <si>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</si>
  <si>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</si>
  <si>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</si>
  <si>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</si>
  <si>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</si>
  <si>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</si>
  <si>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</si>
  <si>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</si>
  <si>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</si>
  <si>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</si>
  <si>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</si>
  <si>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</si>
  <si>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</si>
  <si>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</si>
  <si>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</si>
  <si>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</si>
  <si>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</si>
  <si>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</si>
  <si>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</si>
  <si>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</si>
  <si>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</si>
  <si>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</si>
  <si>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</si>
  <si>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</si>
  <si>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</si>
  <si>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</si>
  <si>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</si>
  <si>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</si>
  <si>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</si>
  <si>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</si>
  <si>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</si>
  <si>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</si>
  <si>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</si>
  <si>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</si>
  <si>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</si>
  <si>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</si>
  <si>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</si>
  <si>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</si>
  <si>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</si>
  <si>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</si>
  <si>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</si>
  <si>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</si>
  <si>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</si>
  <si>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</si>
  <si>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</si>
  <si>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</si>
  <si>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</si>
  <si>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</si>
  <si>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</si>
  <si>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</si>
  <si>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</si>
  <si>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</si>
  <si>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</si>
  <si>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</si>
  <si>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</si>
  <si>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</si>
  <si>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</si>
  <si>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</si>
  <si>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</si>
  <si>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</si>
  <si>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</si>
  <si>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</si>
  <si>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</si>
  <si>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</si>
  <si>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</si>
  <si>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</si>
  <si>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</si>
  <si>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</si>
  <si>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</si>
  <si>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</si>
  <si>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</si>
  <si>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</si>
  <si>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</si>
  <si>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</si>
  <si>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</si>
  <si>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</si>
  <si>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</si>
  <si>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</si>
  <si>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</si>
  <si>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</si>
  <si>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</si>
  <si>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</si>
  <si>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</si>
  <si>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</si>
  <si>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</si>
  <si>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</si>
  <si>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</si>
  <si>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</si>
  <si>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</si>
  <si>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</si>
  <si>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</si>
  <si>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</si>
  <si>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</si>
  <si>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</si>
  <si>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</si>
  <si>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</si>
  <si>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</si>
  <si>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</si>
  <si>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</si>
  <si>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</si>
  <si>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</si>
  <si>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</si>
  <si>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</si>
  <si>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</si>
  <si>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</si>
  <si>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</si>
  <si>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</si>
  <si>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</si>
  <si>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</si>
  <si>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</si>
  <si>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</si>
  <si>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</si>
  <si>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</si>
  <si>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</si>
  <si>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</si>
  <si>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</si>
  <si>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</si>
  <si>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</si>
  <si>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</si>
  <si>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</si>
  <si>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</si>
  <si>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</si>
  <si>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</si>
  <si>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</si>
  <si>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</si>
  <si>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</si>
  <si>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</si>
  <si>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</si>
  <si>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</si>
  <si>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</si>
  <si>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</si>
  <si>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</si>
  <si>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</si>
  <si>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</si>
  <si>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</si>
  <si>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</si>
  <si>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</si>
  <si>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</si>
  <si>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</si>
  <si>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</si>
  <si>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</si>
  <si>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</si>
  <si>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</si>
  <si>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</si>
  <si>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</si>
  <si>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</si>
  <si>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</si>
  <si>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</si>
  <si>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</si>
  <si>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</si>
  <si>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</si>
  <si>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</si>
  <si>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</si>
  <si>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</si>
  <si>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</si>
  <si>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</si>
  <si>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</si>
  <si>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</si>
  <si>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</si>
  <si>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</si>
  <si>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</si>
  <si>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</si>
  <si>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</si>
  <si>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</si>
  <si>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</si>
  <si>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</si>
  <si>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</si>
  <si>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</si>
  <si>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</si>
  <si>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</si>
  <si>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</si>
  <si>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</si>
  <si>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</si>
  <si>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</si>
  <si>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</si>
  <si>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</si>
  <si>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</si>
  <si>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</si>
  <si>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</si>
  <si>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</si>
  <si>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</si>
  <si>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</si>
  <si>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</si>
  <si>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</si>
  <si>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</si>
  <si>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</si>
  <si>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</si>
  <si>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</si>
  <si>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</si>
  <si>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</si>
  <si>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</si>
  <si>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</si>
  <si>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</si>
  <si>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</si>
  <si>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</si>
  <si>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</si>
  <si>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</si>
  <si>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</si>
  <si>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</si>
  <si>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</si>
  <si>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</si>
  <si>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</si>
  <si>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</si>
  <si>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</si>
  <si>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</si>
  <si>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</si>
  <si>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</si>
  <si>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</si>
  <si>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</si>
  <si>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</si>
  <si>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</si>
  <si>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</si>
  <si>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</si>
  <si>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</si>
  <si>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</si>
  <si>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</si>
  <si>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</si>
  <si>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</si>
  <si>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</si>
  <si>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</si>
  <si>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</si>
  <si>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</si>
  <si>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</si>
  <si>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</si>
  <si>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</si>
  <si>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</si>
  <si>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</si>
  <si>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</si>
  <si>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</si>
  <si>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</si>
  <si>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</si>
  <si>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</si>
  <si>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</si>
  <si>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</si>
  <si>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</si>
  <si>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</si>
  <si>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</si>
  <si>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</si>
  <si>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</si>
  <si>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</si>
  <si>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</si>
  <si>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</si>
  <si>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</si>
  <si>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</si>
  <si>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</si>
  <si>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</si>
  <si>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</si>
  <si>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</si>
  <si>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</si>
  <si>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</si>
  <si>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</si>
  <si>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</si>
  <si>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</si>
  <si>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</si>
  <si>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</si>
  <si>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</si>
  <si>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</si>
  <si>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</si>
  <si>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</si>
  <si>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</si>
  <si>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</si>
  <si>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</si>
  <si>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</si>
  <si>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</si>
  <si>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</si>
  <si>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</si>
  <si>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</si>
  <si>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</si>
  <si>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</si>
  <si>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</si>
  <si>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</si>
  <si>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</si>
  <si>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</si>
  <si>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</si>
  <si>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</si>
  <si>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</si>
  <si>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</si>
  <si>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</si>
  <si>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</si>
  <si>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</si>
  <si>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</si>
  <si>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</si>
  <si>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</si>
  <si>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</si>
  <si>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</si>
  <si>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</si>
  <si>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</si>
  <si>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</si>
  <si>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</si>
  <si>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</si>
  <si>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</si>
  <si>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</si>
  <si>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</si>
  <si>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</si>
  <si>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</si>
  <si>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</si>
  <si>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</si>
  <si>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</si>
  <si>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</si>
  <si>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</si>
  <si>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</si>
  <si>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</si>
  <si>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</si>
  <si>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</si>
  <si>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</si>
  <si>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</si>
  <si>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</si>
  <si>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</si>
  <si>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</si>
  <si>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</si>
  <si>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</si>
  <si>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</si>
  <si>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</si>
  <si>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</si>
  <si>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</si>
  <si>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</si>
  <si>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</si>
  <si>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</si>
  <si>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</si>
  <si>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</si>
  <si>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</si>
  <si>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</si>
  <si>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</si>
  <si>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</si>
  <si>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</si>
  <si>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</si>
  <si>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</si>
  <si>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</si>
  <si>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</si>
  <si>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</si>
  <si>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</si>
  <si>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</si>
  <si>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</si>
  <si>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</si>
  <si>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</si>
  <si>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</si>
  <si>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</si>
  <si>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</si>
  <si>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</si>
  <si>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</si>
  <si>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</si>
  <si>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</si>
  <si>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</si>
  <si>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</si>
  <si>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</si>
  <si>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</si>
  <si>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</si>
  <si>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</si>
  <si>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</si>
  <si>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</si>
  <si>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</si>
  <si>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</si>
  <si>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</si>
  <si>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</si>
  <si>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</si>
  <si>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</si>
  <si>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</si>
  <si>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</si>
  <si>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</si>
  <si>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</si>
  <si>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</si>
  <si>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</si>
  <si>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</si>
  <si>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</si>
  <si>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</si>
  <si>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</si>
  <si>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</si>
  <si>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</si>
  <si>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</si>
  <si>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</si>
  <si>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</si>
  <si>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</si>
  <si>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</si>
  <si>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</si>
  <si>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</si>
  <si>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</si>
  <si>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</si>
  <si>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</si>
  <si>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</si>
  <si>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</si>
  <si>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</si>
  <si>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</si>
  <si>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</si>
  <si>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</si>
  <si>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</si>
  <si>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</si>
  <si>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</si>
  <si>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</si>
  <si>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</si>
  <si>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</si>
  <si>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</si>
  <si>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</si>
  <si>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</si>
  <si>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</si>
  <si>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</si>
  <si>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</si>
  <si>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</si>
  <si>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</si>
  <si>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</si>
  <si>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</si>
  <si>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</si>
  <si>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 xml:space="preserve">SB Traders </t>
  </si>
  <si>
    <t>NTN #: 4655329-3</t>
  </si>
  <si>
    <t>Invoice No # :00012</t>
  </si>
  <si>
    <t xml:space="preserve">Rafaqat Sons </t>
  </si>
  <si>
    <t>NTN #: 9725069-2</t>
  </si>
  <si>
    <t>Invoice No # : 00013</t>
  </si>
  <si>
    <t>Address: Shadbagh</t>
  </si>
  <si>
    <t>Address: Sabzazar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</si>
</sst>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46283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SB Traders </v>
      </c>
      <c r="T3" s="301">
        <f>+'1'!P35</f>
        <v>13982.527653177965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17437.059846610166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31.918090042372881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311">
        <f t="shared" si="2"/>
        <v>11844.015620338982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12</v>
      </c>
      <c r="H16" s="113">
        <f t="shared" ref="H16:M16" si="3">SUM(H7:H15)</f>
        <v>480</v>
      </c>
      <c r="I16" s="114">
        <f t="shared" si="3"/>
        <v>30831.699999999997</v>
      </c>
      <c r="J16" s="274">
        <f>SUM(J7:J15)</f>
        <v>4316.438000000001</v>
      </c>
      <c r="K16" s="275">
        <f t="shared" si="3"/>
        <v>1079.1095000000003</v>
      </c>
      <c r="L16" s="276">
        <f t="shared" si="3"/>
        <v>0</v>
      </c>
      <c r="M16" s="232">
        <f t="shared" si="3"/>
        <v>25436.152499999997</v>
      </c>
      <c r="N16" s="233">
        <f>SUM(N7:N15)</f>
        <v>5827.1186440677957</v>
      </c>
      <c r="O16" s="101">
        <f>SUM(O7:O15)</f>
        <v>156.31635572033898</v>
      </c>
      <c r="P16" s="113">
        <f>SUM(P7:P15)</f>
        <v>31419.587499788129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30831.699999999997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4316.438000000001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1079.1095000000003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25436.152499999997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5827.1186440677957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31263.271144067792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156.31635572033898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31419.587499788133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31419.587499788133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46284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46283</v>
      </c>
      <c r="O5" s="369"/>
      <c r="P5" s="369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13720.9</v>
      </c>
      <c r="J25" s="274">
        <f>SUM(J16:J24)</f>
        <v>1920.9260000000004</v>
      </c>
      <c r="K25" s="275">
        <f t="shared" si="10"/>
        <v>480.2315000000001</v>
      </c>
      <c r="L25" s="276">
        <f t="shared" si="10"/>
        <v>0</v>
      </c>
      <c r="M25" s="232">
        <f t="shared" si="10"/>
        <v>11319.7425</v>
      </c>
      <c r="N25" s="233">
        <f>SUM(N16:N24)</f>
        <v>2593.2203389830511</v>
      </c>
      <c r="O25" s="101">
        <f>SUM(O16:O24)</f>
        <v>69.564814194915243</v>
      </c>
      <c r="P25" s="113">
        <f>SUM(P16:P24)</f>
        <v>13982.527653177964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13720.9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1920.9260000000004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480.2315000000001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11319.742499999998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2593.2203389830511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13912.96283898305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69.564814194915257</v>
      </c>
    </row>
    <row r="35" spans="2:16" ht="15.75" customHeight="1" thickBot="1" x14ac:dyDescent="0.4">
      <c r="N35" s="344" t="s">
        <v>88</v>
      </c>
      <c r="O35" s="345"/>
      <c r="P35" s="297">
        <f>+P33+P34</f>
        <v>13982.527653177965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522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46284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46283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2395.5120000000002</v>
      </c>
      <c r="K25" s="275">
        <f t="shared" si="7"/>
        <v>598.87800000000004</v>
      </c>
      <c r="L25" s="276">
        <f t="shared" si="7"/>
        <v>0</v>
      </c>
      <c r="M25" s="232">
        <f t="shared" si="7"/>
        <v>14116.41</v>
      </c>
      <c r="N25" s="233">
        <f>SUM(N16:N24)</f>
        <v>3233.8983050847455</v>
      </c>
      <c r="O25" s="101">
        <f>SUM(O16:O24)</f>
        <v>86.751541525423733</v>
      </c>
      <c r="P25" s="113">
        <f>SUM(P16:P24)</f>
        <v>17437.059846610166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17110.8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2395.5120000000002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598.87800000000004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14116.409999999998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3233.8983050847455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17350.308305084742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86.751541525423704</v>
      </c>
    </row>
    <row r="35" spans="2:16" ht="15.75" customHeight="1" thickBot="1" x14ac:dyDescent="0.4">
      <c r="N35" s="344" t="s">
        <v>88</v>
      </c>
      <c r="O35" s="345"/>
      <c r="P35" s="297">
        <f>+P33+P34</f>
        <v>17437.059846610166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2026-09-18T12:55:09Z</dcterms:modified>
</cp:coreProperties>
</file>