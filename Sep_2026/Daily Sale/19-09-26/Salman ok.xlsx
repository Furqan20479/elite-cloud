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F3C6A9F-95A1-4A03-94D9-496AEF875EA1}" xr6:coauthVersionLast="47" xr6:coauthVersionMax="47" xr10:uidLastSave="{00000000-0000-0000-0000-000000000000}"/>
  <bookViews>
    <workbookView xWindow="-110" yWindow="-110" windowWidth="19420" windowHeight="10420" tabRatio="948" firstSheet="3" activeTab="2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J25" i="61"/>
  <c r="P29" i="61" s="1"/>
  <c r="M20" i="57"/>
  <c r="O20" i="57" s="1"/>
  <c r="P20" i="57" s="1"/>
  <c r="R20" i="57" s="1"/>
  <c r="M21" i="53"/>
  <c r="O21" i="53" s="1"/>
  <c r="P21" i="53" s="1"/>
  <c r="M20" i="53"/>
  <c r="O20" i="53" s="1"/>
  <c r="P20" i="53" s="1"/>
  <c r="R20" i="53" s="1"/>
  <c r="M21" i="51"/>
  <c r="M21" i="47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2" i="6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<sst xmlns="http://schemas.openxmlformats.org/spreadsheetml/2006/main" count="3948" uniqueCount="536">
  <si>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</si>
  <si>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</si>
  <si>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</si>
  <si>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</si>
  <si>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</si>
  <si>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</si>
  <si>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</si>
  <si>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</si>
  <si>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</si>
  <si>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</si>
  <si>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</si>
  <si>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</si>
  <si>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</si>
  <si>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</si>
  <si>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</si>
  <si>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</si>
  <si>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</si>
  <si>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</si>
  <si>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</si>
  <si>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</si>
  <si>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</si>
  <si>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</si>
  <si>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</si>
  <si>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</si>
  <si>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</si>
  <si>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</si>
  <si>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</si>
  <si>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</si>
  <si>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</si>
  <si>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</si>
  <si>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</si>
  <si>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</si>
  <si>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</si>
  <si>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</si>
  <si>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</si>
  <si>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</si>
  <si>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</si>
  <si>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</si>
  <si>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</si>
  <si>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</si>
  <si>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</si>
  <si>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</si>
  <si>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</si>
  <si>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</si>
  <si>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</si>
  <si>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</si>
  <si>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</si>
  <si>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</si>
  <si>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</si>
  <si>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</si>
  <si>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</si>
  <si>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</si>
  <si>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</si>
  <si>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</si>
  <si>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</si>
  <si>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</si>
  <si>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</si>
  <si>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</si>
  <si>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</si>
  <si>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</si>
  <si>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</si>
  <si>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</si>
  <si>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</si>
  <si>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</si>
  <si>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</si>
  <si>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</si>
  <si>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</si>
  <si>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</si>
  <si>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</si>
  <si>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</si>
  <si>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</si>
  <si>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</si>
  <si>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</si>
  <si>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</si>
  <si>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</si>
  <si>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</si>
  <si>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</si>
  <si>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</si>
  <si>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</si>
  <si>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</si>
  <si>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</si>
  <si>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</si>
  <si>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</si>
  <si>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</si>
  <si>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</si>
  <si>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</si>
  <si>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</si>
  <si>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</si>
  <si>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</si>
  <si>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</si>
  <si>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</si>
  <si>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</si>
  <si>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</si>
  <si>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</si>
  <si>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</si>
  <si>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</si>
  <si>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</si>
  <si>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</si>
  <si>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</si>
  <si>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</si>
  <si>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</si>
  <si>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</si>
  <si>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</si>
  <si>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</si>
  <si>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</si>
  <si>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</si>
  <si>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</si>
  <si>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</si>
  <si>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</si>
  <si>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</si>
  <si>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</si>
  <si>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</si>
  <si>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</si>
  <si>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</si>
  <si>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</si>
  <si>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</si>
  <si>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</si>
  <si>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</si>
  <si>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</si>
  <si>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</si>
  <si>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</si>
  <si>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</si>
  <si>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</si>
  <si>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</si>
  <si>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</si>
  <si>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</si>
  <si>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</si>
  <si>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</si>
  <si>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</si>
  <si>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</si>
  <si>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</si>
  <si>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</si>
  <si>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</si>
  <si>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</si>
  <si>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</si>
  <si>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</si>
  <si>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</si>
  <si>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</si>
  <si>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</si>
  <si>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</si>
  <si>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</si>
  <si>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</si>
  <si>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</si>
  <si>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</si>
  <si>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</si>
  <si>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</si>
  <si>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</si>
  <si>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</si>
  <si>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</si>
  <si>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</si>
  <si>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</si>
  <si>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</si>
  <si>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</si>
  <si>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</si>
  <si>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</si>
  <si>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</si>
  <si>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</si>
  <si>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</si>
  <si>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</si>
  <si>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</si>
  <si>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</si>
  <si>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</si>
  <si>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</si>
  <si>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</si>
  <si>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</si>
  <si>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</si>
  <si>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</si>
  <si>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</si>
  <si>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</si>
  <si>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</si>
  <si>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</si>
  <si>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</si>
  <si>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</si>
  <si>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</si>
  <si>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</si>
  <si>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</si>
  <si>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</si>
  <si>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</si>
  <si>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</si>
  <si>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</si>
  <si>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</si>
  <si>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</si>
  <si>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</si>
  <si>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</si>
  <si>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</si>
  <si>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</si>
  <si>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</si>
  <si>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</si>
  <si>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</si>
  <si>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</si>
  <si>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</si>
  <si>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</si>
  <si>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</si>
  <si>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</si>
  <si>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</si>
  <si>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</si>
  <si>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</si>
  <si>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</si>
  <si>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</si>
  <si>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</si>
  <si>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</si>
  <si>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</si>
  <si>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</si>
  <si>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</si>
  <si>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</si>
  <si>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</si>
  <si>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</si>
  <si>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</si>
  <si>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</si>
  <si>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</si>
  <si>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</si>
  <si>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</si>
  <si>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</si>
  <si>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</si>
  <si>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</si>
  <si>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</si>
  <si>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</si>
  <si>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</si>
  <si>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</si>
  <si>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</si>
  <si>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</si>
  <si>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</si>
  <si>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</si>
  <si>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</si>
  <si>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</si>
  <si>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</si>
  <si>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</si>
  <si>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</si>
  <si>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</si>
  <si>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</si>
  <si>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</si>
  <si>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</si>
  <si>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</si>
  <si>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</si>
  <si>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</si>
  <si>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</si>
  <si>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</si>
  <si>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</si>
  <si>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</si>
  <si>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</si>
  <si>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</si>
  <si>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</si>
  <si>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</si>
  <si>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</si>
  <si>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</si>
  <si>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</si>
  <si>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</si>
  <si>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</si>
  <si>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</si>
  <si>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</si>
  <si>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</si>
  <si>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</si>
  <si>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</si>
  <si>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</si>
  <si>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</si>
  <si>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</si>
  <si>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</si>
  <si>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</si>
  <si>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</si>
  <si>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</si>
  <si>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</si>
  <si>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</si>
  <si>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</si>
  <si>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</si>
  <si>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</si>
  <si>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</si>
  <si>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</si>
  <si>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</si>
  <si>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</si>
  <si>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</si>
  <si>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</si>
  <si>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</si>
  <si>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</si>
  <si>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</si>
  <si>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</si>
  <si>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</si>
  <si>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</si>
  <si>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</si>
  <si>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</si>
  <si>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</si>
  <si>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</si>
  <si>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</si>
  <si>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</si>
  <si>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</si>
  <si>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</si>
  <si>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</si>
  <si>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</si>
  <si>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</si>
  <si>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</si>
  <si>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</si>
  <si>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</si>
  <si>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</si>
  <si>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</si>
  <si>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</si>
  <si>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</si>
  <si>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</si>
  <si>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</si>
  <si>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</si>
  <si>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</si>
  <si>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</si>
  <si>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</si>
  <si>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</si>
  <si>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</si>
  <si>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</si>
  <si>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</si>
  <si>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</si>
  <si>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</si>
  <si>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</si>
  <si>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</si>
  <si>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</si>
  <si>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</si>
  <si>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</si>
  <si>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</si>
  <si>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</si>
  <si>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</si>
  <si>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</si>
  <si>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</si>
  <si>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</si>
  <si>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</si>
  <si>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</si>
  <si>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</si>
  <si>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</si>
  <si>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</si>
  <si>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</si>
  <si>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</si>
  <si>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</si>
  <si>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</si>
  <si>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</si>
  <si>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</si>
  <si>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</si>
  <si>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</si>
  <si>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</si>
  <si>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</si>
  <si>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</si>
  <si>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</si>
  <si>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</si>
  <si>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</si>
  <si>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</si>
  <si>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</si>
  <si>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</si>
  <si>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</si>
  <si>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</si>
  <si>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</si>
  <si>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</si>
  <si>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</si>
  <si>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</si>
  <si>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</si>
  <si>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</si>
  <si>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</si>
  <si>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</si>
  <si>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</si>
  <si>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</si>
  <si>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</si>
  <si>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</si>
  <si>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</si>
  <si>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</si>
  <si>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</si>
  <si>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</si>
  <si>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</si>
  <si>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</si>
  <si>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</si>
  <si>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</si>
  <si>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</si>
  <si>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</si>
  <si>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</si>
  <si>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</si>
  <si>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</si>
  <si>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</si>
  <si>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</si>
  <si>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</si>
  <si>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</si>
  <si>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</si>
  <si>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</si>
  <si>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</si>
  <si>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</si>
  <si>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</si>
  <si>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</si>
  <si>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</si>
  <si>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</si>
  <si>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</si>
  <si>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</si>
  <si>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</si>
  <si>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</si>
  <si>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</si>
  <si>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</si>
  <si>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</si>
  <si>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</si>
  <si>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</si>
  <si>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</si>
  <si>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</si>
  <si>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</si>
  <si>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</si>
  <si>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</si>
  <si>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</si>
  <si>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</si>
  <si>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</si>
  <si>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</si>
  <si>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</si>
  <si>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</si>
  <si>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</si>
  <si>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</si>
  <si>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</si>
  <si>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</si>
  <si>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</si>
  <si>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</si>
  <si>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</si>
  <si>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</si>
  <si>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</si>
  <si>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</si>
  <si>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</si>
  <si>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</si>
  <si>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</si>
  <si>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</si>
  <si>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</si>
  <si>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</si>
  <si>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</si>
  <si>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</si>
  <si>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</si>
  <si>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</si>
  <si>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</si>
  <si>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</si>
  <si>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</si>
  <si>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</si>
  <si>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</si>
  <si>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</si>
  <si>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</si>
  <si>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</si>
  <si>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</si>
  <si>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</si>
  <si>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</si>
  <si>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</si>
  <si>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</si>
  <si>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</si>
  <si>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</si>
  <si>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</si>
  <si>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</si>
  <si>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</si>
  <si>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</si>
  <si>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</si>
  <si>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</si>
  <si>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</si>
  <si>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</si>
  <si>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</si>
  <si>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</si>
  <si>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</si>
  <si>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</si>
  <si>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</si>
  <si>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</si>
  <si>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</si>
  <si>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</si>
  <si>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</si>
  <si>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</si>
  <si>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</si>
  <si>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</si>
  <si>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</si>
  <si>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</si>
  <si>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</si>
  <si>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</si>
  <si>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</si>
  <si>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</si>
  <si>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</si>
  <si>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</si>
  <si>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</si>
  <si>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</si>
  <si>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</si>
  <si>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</si>
  <si>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</si>
  <si>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</si>
  <si>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</si>
  <si>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</si>
  <si>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</si>
  <si>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</si>
  <si>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</si>
  <si>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</si>
  <si>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</si>
  <si>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</si>
  <si>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</si>
  <si>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</si>
  <si>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</si>
  <si>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</si>
  <si>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</si>
  <si>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</si>
  <si>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</si>
  <si>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</si>
  <si>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</si>
  <si>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</si>
  <si>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</si>
  <si>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</si>
  <si>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</si>
  <si>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</si>
  <si>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</si>
  <si>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</si>
  <si>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</si>
  <si>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</si>
  <si>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</si>
  <si>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</si>
  <si>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</si>
  <si>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</si>
  <si>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</si>
  <si>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</si>
  <si>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</si>
  <si>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</si>
  <si>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</si>
  <si>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</si>
  <si>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</si>
  <si>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</si>
  <si>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</si>
  <si>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</si>
  <si>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</si>
  <si>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</si>
  <si>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</si>
  <si>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</si>
  <si>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</si>
  <si>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</si>
  <si>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 xml:space="preserve">Address: Upper Mall </t>
  </si>
  <si>
    <t>Basic Store</t>
  </si>
  <si>
    <t>Al Madina Store</t>
  </si>
  <si>
    <t>Tanveer Store</t>
  </si>
  <si>
    <t>Naaz Store</t>
  </si>
  <si>
    <t>Bilawal Store</t>
  </si>
  <si>
    <t>Qadri Store</t>
  </si>
  <si>
    <t xml:space="preserve">Haq Ali </t>
  </si>
  <si>
    <t>Sohail GS</t>
  </si>
  <si>
    <t>Ali Store</t>
  </si>
  <si>
    <t>Usman Store</t>
  </si>
  <si>
    <t>Junaid Store</t>
  </si>
  <si>
    <t>Lala Nazeer Store</t>
  </si>
  <si>
    <t>Billah Store</t>
  </si>
  <si>
    <t>Jamshaid Store</t>
  </si>
  <si>
    <t>Sheikh Store</t>
  </si>
  <si>
    <t>Anware Madina Store</t>
  </si>
  <si>
    <t>Munnah Store</t>
  </si>
  <si>
    <t>Qasim Store</t>
  </si>
  <si>
    <t>Hanan Store</t>
  </si>
  <si>
    <t>Basit Store</t>
  </si>
  <si>
    <t xml:space="preserve">Address: Basti Sadan Shah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</si>
</sst>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5" sqref="R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Basic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Madina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Tanveer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Naaz Store</v>
      </c>
      <c r="T6" s="301">
        <f>+'4'!P35</f>
        <v>392.02644813559328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Bilawal Store</v>
      </c>
      <c r="T7" s="301">
        <f>+'5'!P35</f>
        <v>392.02644813559328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Qadri Store</v>
      </c>
      <c r="T8" s="301">
        <f>+'6'!P35</f>
        <v>392.02644813559328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Haq Ali </v>
      </c>
      <c r="T9" s="301">
        <f>+'7'!P35</f>
        <v>392.02644813559328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43</v>
      </c>
      <c r="I10" s="236">
        <f t="shared" si="0"/>
        <v>3123.52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249.88160000000005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109.32320000000001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2764.3152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590.33898305084745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16.773270915254237</v>
      </c>
      <c r="P10" s="311">
        <f t="shared" si="2"/>
        <v>3371.4274539661019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Sohail GS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16.38319484745762</v>
      </c>
      <c r="P11" s="311">
        <f t="shared" si="2"/>
        <v>3293.0221643389827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Ali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</v>
      </c>
      <c r="I12" s="236">
        <f t="shared" si="0"/>
        <v>4285.76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342.86080000000015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150.0016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3792.8976000000002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809.99999999999966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23.014487999999989</v>
      </c>
      <c r="P12" s="311">
        <f t="shared" si="2"/>
        <v>4625.912088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Usman Store</v>
      </c>
      <c r="T12" s="301">
        <f>+'10'!P35</f>
        <v>392.02644813559328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Junaid Store</v>
      </c>
      <c r="T13" s="301">
        <f>+'11'!P35</f>
        <v>392.02644813559328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Lala Nazeer Store</v>
      </c>
      <c r="T14" s="301">
        <f>+'12'!P35</f>
        <v>392.02644813559328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Billah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3.6</v>
      </c>
      <c r="H16" s="113">
        <f t="shared" ref="H16:M16" si="3">SUM(H7:H15)</f>
        <v>144</v>
      </c>
      <c r="I16" s="114">
        <f t="shared" si="3"/>
        <v>10460.16</v>
      </c>
      <c r="J16" s="274">
        <f>SUM(J7:J15)</f>
        <v>836.81280000000027</v>
      </c>
      <c r="K16" s="275">
        <f t="shared" si="3"/>
        <v>366.10560000000004</v>
      </c>
      <c r="L16" s="276">
        <f t="shared" si="3"/>
        <v>0</v>
      </c>
      <c r="M16" s="232">
        <f t="shared" si="3"/>
        <v>9257.2416000000012</v>
      </c>
      <c r="N16" s="233">
        <f>SUM(N7:N15)</f>
        <v>1976.9491525423723</v>
      </c>
      <c r="O16" s="101">
        <f>SUM(O7:O15)</f>
        <v>56.170953762711846</v>
      </c>
      <c r="P16" s="113">
        <f>SUM(P7:P15)</f>
        <v>11290.361706305084</v>
      </c>
      <c r="Q16" s="128">
        <f>SUM(Q7:Q15)</f>
        <v>120</v>
      </c>
      <c r="R16" s="313">
        <v>14</v>
      </c>
      <c r="S16" s="315" t="str">
        <f>+'14'!A6:A6</f>
        <v>Jamshaid Store</v>
      </c>
      <c r="T16" s="301">
        <f>+'14'!P35</f>
        <v>392.02644813559328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Sheikh Store</v>
      </c>
      <c r="T17" s="301">
        <f>+'15'!P35</f>
        <v>392.02644813559328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Anware Madina Store</v>
      </c>
      <c r="T18" s="301">
        <f>+'16'!P35</f>
        <v>392.02644813559328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10460.16</v>
      </c>
      <c r="R19" s="299">
        <v>17</v>
      </c>
      <c r="S19" s="300" t="str">
        <f>+'17'!A6:A6</f>
        <v>Munnah Store</v>
      </c>
      <c r="T19" s="301">
        <f>+'17'!P35</f>
        <v>313.62115850847459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836.81280000000027</v>
      </c>
      <c r="R20" s="299">
        <v>18</v>
      </c>
      <c r="S20" s="300" t="str">
        <f>+'18'!A6:A6</f>
        <v>Qasim Store</v>
      </c>
      <c r="T20" s="301">
        <f>+'18'!P35</f>
        <v>313.62115850847459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366.10560000000004</v>
      </c>
      <c r="R21" s="299">
        <v>19</v>
      </c>
      <c r="S21" s="300" t="str">
        <f>+'19'!A6:A6</f>
        <v>Hanan Store</v>
      </c>
      <c r="T21" s="301">
        <f>+'19'!P35</f>
        <v>235.21586888135593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9257.2415999999994</v>
      </c>
      <c r="R22" s="299">
        <v>20</v>
      </c>
      <c r="S22" s="300" t="str">
        <f>+'20'!A6:A6</f>
        <v>Basit Store</v>
      </c>
      <c r="T22" s="301">
        <f>+'20'!P35</f>
        <v>313.62115850847459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1976.9491525423723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11234.190752542372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56.170953762711846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11290.361706305084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11290.361706305088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7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7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7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61.017600000000002</v>
      </c>
      <c r="L25" s="276">
        <f t="shared" si="10"/>
        <v>0</v>
      </c>
      <c r="M25" s="232">
        <f t="shared" si="10"/>
        <v>1542.8735999999999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R20">
        <f>P20/21</f>
        <v>0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0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119">
        <f t="shared" si="5"/>
        <v>1960.1322406779661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2026-09-30T08:19:02Z</dcterms:modified>
</cp:coreProperties>
</file>