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45A616FC-27C0-4560-998B-0FE146563BFC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0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2" l="1"/>
  <c r="N4" i="44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2" i="43" l="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<sst xmlns="http://schemas.openxmlformats.org/spreadsheetml/2006/main" count="3948" uniqueCount="519">
  <si>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</si>
  <si>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</si>
  <si>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</si>
  <si>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</si>
  <si>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</si>
  <si>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</si>
  <si>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</si>
  <si>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</si>
  <si>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</si>
  <si>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</si>
  <si>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</si>
  <si>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</si>
  <si>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</si>
  <si>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</si>
  <si>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</si>
  <si>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</si>
  <si>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</si>
  <si>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</si>
  <si>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</si>
  <si>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</si>
  <si>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</si>
  <si>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</si>
  <si>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</si>
  <si>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</si>
  <si>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</si>
  <si>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</si>
  <si>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</si>
  <si>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</si>
  <si>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</si>
  <si>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</si>
  <si>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</si>
  <si>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</si>
  <si>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</si>
  <si>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</si>
  <si>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</si>
  <si>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</si>
  <si>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</si>
  <si>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</si>
  <si>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</si>
  <si>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</si>
  <si>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</si>
  <si>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</si>
  <si>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</si>
  <si>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</si>
  <si>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</si>
  <si>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</si>
  <si>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</si>
  <si>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</si>
  <si>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</si>
  <si>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</si>
  <si>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</si>
  <si>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</si>
  <si>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</si>
  <si>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</si>
  <si>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</si>
  <si>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</si>
  <si>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</si>
  <si>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</si>
  <si>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</si>
  <si>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</si>
  <si>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</si>
  <si>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</si>
  <si>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</si>
  <si>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</si>
  <si>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</si>
  <si>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</si>
  <si>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</si>
  <si>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</si>
  <si>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</si>
  <si>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</si>
  <si>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</si>
  <si>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</si>
  <si>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</si>
  <si>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</si>
  <si>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</si>
  <si>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</si>
  <si>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</si>
  <si>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</si>
  <si>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</si>
  <si>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</si>
  <si>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</si>
  <si>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</si>
  <si>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</si>
  <si>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</si>
  <si>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</si>
  <si>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</si>
  <si>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</si>
  <si>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</si>
  <si>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</si>
  <si>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</si>
  <si>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</si>
  <si>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</si>
  <si>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</si>
  <si>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</si>
  <si>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</si>
  <si>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</si>
  <si>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</si>
  <si>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</si>
  <si>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</si>
  <si>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</si>
  <si>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</si>
  <si>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</si>
  <si>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</si>
  <si>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</si>
  <si>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</si>
  <si>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</si>
  <si>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</si>
  <si>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</si>
  <si>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</si>
  <si>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</si>
  <si>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</si>
  <si>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</si>
  <si>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</si>
  <si>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</si>
  <si>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</si>
  <si>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</si>
  <si>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</si>
  <si>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</si>
  <si>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</si>
  <si>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</si>
  <si>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</si>
  <si>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</si>
  <si>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</si>
  <si>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</si>
  <si>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</si>
  <si>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</si>
  <si>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</si>
  <si>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</si>
  <si>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</si>
  <si>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</si>
  <si>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</si>
  <si>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</si>
  <si>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</si>
  <si>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</si>
  <si>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</si>
  <si>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</si>
  <si>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</si>
  <si>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</si>
  <si>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</si>
  <si>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</si>
  <si>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</si>
  <si>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</si>
  <si>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</si>
  <si>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</si>
  <si>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</si>
  <si>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</si>
  <si>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</si>
  <si>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</si>
  <si>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</si>
  <si>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</si>
  <si>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</si>
  <si>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</si>
  <si>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</si>
  <si>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</si>
  <si>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</si>
  <si>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</si>
  <si>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</si>
  <si>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</si>
  <si>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</si>
  <si>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</si>
  <si>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</si>
  <si>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</si>
  <si>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</si>
  <si>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</si>
  <si>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</si>
  <si>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</si>
  <si>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</si>
  <si>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</si>
  <si>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</si>
  <si>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</si>
  <si>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</si>
  <si>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</si>
  <si>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</si>
  <si>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</si>
  <si>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</si>
  <si>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</si>
  <si>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</si>
  <si>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</si>
  <si>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</si>
  <si>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</si>
  <si>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</si>
  <si>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</si>
  <si>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</si>
  <si>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</si>
  <si>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</si>
  <si>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</si>
  <si>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</si>
  <si>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</si>
  <si>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</si>
  <si>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</si>
  <si>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</si>
  <si>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</si>
  <si>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</si>
  <si>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</si>
  <si>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</si>
  <si>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</si>
  <si>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</si>
  <si>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</si>
  <si>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</si>
  <si>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</si>
  <si>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</si>
  <si>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</si>
  <si>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</si>
  <si>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</si>
  <si>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</si>
  <si>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</si>
  <si>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</si>
  <si>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</si>
  <si>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</si>
  <si>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</si>
  <si>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</si>
  <si>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</si>
  <si>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</si>
  <si>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</si>
  <si>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</si>
  <si>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</si>
  <si>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</si>
  <si>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</si>
  <si>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</si>
  <si>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</si>
  <si>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</si>
  <si>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</si>
  <si>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</si>
  <si>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</si>
  <si>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</si>
  <si>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</si>
  <si>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</si>
  <si>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</si>
  <si>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</si>
  <si>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</si>
  <si>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</si>
  <si>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</si>
  <si>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</si>
  <si>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</si>
  <si>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</si>
  <si>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</si>
  <si>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</si>
  <si>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</si>
  <si>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</si>
  <si>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</si>
  <si>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</si>
  <si>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</si>
  <si>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</si>
  <si>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</si>
  <si>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</si>
  <si>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</si>
  <si>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</si>
  <si>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</si>
  <si>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</si>
  <si>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</si>
  <si>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</si>
  <si>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</si>
  <si>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</si>
  <si>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</si>
  <si>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</si>
  <si>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</si>
  <si>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</si>
  <si>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</si>
  <si>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</si>
  <si>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</si>
  <si>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</si>
  <si>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</si>
  <si>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</si>
  <si>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</si>
  <si>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</si>
  <si>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</si>
  <si>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</si>
  <si>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</si>
  <si>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</si>
  <si>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</si>
  <si>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</si>
  <si>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</si>
  <si>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</si>
  <si>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</si>
  <si>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</si>
  <si>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</si>
  <si>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</si>
  <si>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</si>
  <si>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</si>
  <si>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</si>
  <si>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</si>
  <si>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</si>
  <si>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</si>
  <si>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</si>
  <si>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</si>
  <si>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</si>
  <si>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</si>
  <si>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</si>
  <si>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</si>
  <si>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</si>
  <si>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</si>
  <si>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</si>
  <si>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</si>
  <si>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</si>
  <si>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</si>
  <si>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</si>
  <si>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</si>
  <si>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</si>
  <si>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</si>
  <si>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</si>
  <si>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</si>
  <si>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</si>
  <si>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</si>
  <si>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</si>
  <si>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</si>
  <si>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</si>
  <si>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</si>
  <si>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</si>
  <si>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</si>
  <si>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</si>
  <si>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</si>
  <si>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</si>
  <si>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</si>
  <si>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</si>
  <si>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</si>
  <si>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</si>
  <si>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</si>
  <si>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</si>
  <si>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</si>
  <si>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</si>
  <si>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</si>
  <si>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</si>
  <si>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</si>
  <si>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</si>
  <si>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</si>
  <si>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</si>
  <si>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</si>
  <si>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</si>
  <si>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</si>
  <si>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</si>
  <si>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</si>
  <si>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</si>
  <si>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</si>
  <si>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</si>
  <si>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</si>
  <si>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</si>
  <si>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</si>
  <si>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</si>
  <si>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</si>
  <si>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</si>
  <si>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</si>
  <si>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</si>
  <si>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</si>
  <si>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</si>
  <si>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</si>
  <si>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</si>
  <si>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</si>
  <si>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</si>
  <si>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</si>
  <si>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</si>
  <si>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</si>
  <si>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</si>
  <si>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</si>
  <si>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</si>
  <si>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</si>
  <si>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</si>
  <si>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</si>
  <si>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</si>
  <si>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</si>
  <si>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</si>
  <si>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</si>
  <si>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</si>
  <si>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</si>
  <si>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</si>
  <si>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</si>
  <si>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</si>
  <si>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</si>
  <si>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</si>
  <si>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</si>
  <si>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</si>
  <si>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</si>
  <si>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</si>
  <si>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</si>
  <si>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</si>
  <si>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</si>
  <si>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</si>
  <si>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</si>
  <si>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</si>
  <si>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</si>
  <si>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</si>
  <si>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</si>
  <si>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</si>
  <si>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</si>
  <si>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</si>
  <si>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</si>
  <si>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</si>
  <si>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</si>
  <si>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</si>
  <si>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</si>
  <si>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</si>
  <si>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</si>
  <si>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</si>
  <si>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</si>
  <si>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</si>
  <si>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</si>
  <si>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</si>
  <si>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</si>
  <si>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</si>
  <si>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</si>
  <si>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</si>
  <si>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</si>
  <si>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</si>
  <si>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</si>
  <si>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</si>
  <si>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</si>
  <si>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</si>
  <si>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</si>
  <si>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</si>
  <si>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</si>
  <si>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</si>
  <si>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</si>
  <si>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</si>
  <si>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</si>
  <si>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</si>
  <si>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</si>
  <si>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</si>
  <si>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</si>
  <si>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</si>
  <si>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</si>
  <si>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</si>
  <si>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</si>
  <si>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</si>
  <si>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</si>
  <si>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</si>
  <si>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</si>
  <si>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</si>
  <si>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</si>
  <si>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</si>
  <si>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</si>
  <si>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</si>
  <si>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</si>
  <si>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</si>
  <si>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</si>
  <si>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</si>
  <si>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</si>
  <si>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</si>
  <si>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</si>
  <si>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</si>
  <si>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</si>
  <si>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</si>
  <si>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</si>
  <si>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</si>
  <si>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</si>
  <si>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</si>
  <si>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</si>
  <si>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</si>
  <si>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</si>
  <si>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</si>
  <si>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</si>
  <si>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</si>
  <si>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</si>
  <si>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</si>
  <si>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</si>
  <si>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</si>
  <si>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</si>
  <si>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</si>
  <si>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</si>
  <si>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</si>
  <si>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</si>
  <si>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</si>
  <si>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</si>
  <si>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</si>
  <si>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</si>
  <si>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</si>
  <si>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</si>
  <si>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</si>
  <si>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</si>
  <si>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</si>
  <si>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</si>
  <si>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</si>
  <si>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</si>
  <si>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</si>
  <si>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</si>
  <si>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</si>
  <si>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</si>
  <si>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</si>
  <si>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</si>
  <si>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</si>
  <si>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</si>
  <si>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</si>
  <si>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</si>
  <si>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</si>
  <si>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</si>
  <si>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</si>
  <si>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</si>
  <si>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</si>
  <si>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</si>
  <si>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</si>
  <si>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</si>
  <si>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</si>
  <si>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</si>
  <si>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</si>
  <si>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</si>
  <si>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</si>
  <si>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</si>
  <si>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</si>
  <si>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</si>
  <si>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</si>
  <si>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</si>
  <si>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</si>
  <si>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</si>
  <si>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</si>
  <si>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</si>
  <si>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</si>
  <si>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</si>
  <si>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</si>
  <si>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</si>
  <si>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</si>
  <si>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</si>
  <si>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</si>
  <si>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</si>
  <si>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</si>
  <si>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</si>
  <si>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Umair</t>
  </si>
  <si>
    <t xml:space="preserve">Abu Hashim </t>
  </si>
  <si>
    <t xml:space="preserve">Address: Younabad </t>
  </si>
  <si>
    <t xml:space="preserve">Grace Land </t>
  </si>
  <si>
    <t xml:space="preserve">KKz Bakery </t>
  </si>
  <si>
    <t>Bibi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</si>
</sst>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27" workbookViewId="0">
      <selection activeCell="D36" sqref="D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 t="s">
        <v>513</v>
      </c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v>46284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 xml:space="preserve">Abu Hashim </v>
      </c>
      <c r="T3" s="301">
        <f>+'1'!P35</f>
        <v>2700.6315839618646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 xml:space="preserve">Grace Land </v>
      </c>
      <c r="T4" s="301">
        <f>+'2'!P35</f>
        <v>3136.2115850847458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 xml:space="preserve">KKz Bakery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Bibi Store</v>
      </c>
      <c r="T6" s="301">
        <f>+'4'!P35</f>
        <v>1568.1057925423729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Shop Name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Shop Name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20</v>
      </c>
      <c r="I9" s="236">
        <f t="shared" si="0"/>
        <v>1049.25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83.94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36.723750000000003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928.58625000000006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198.30508474576263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5.6344566737288133</v>
      </c>
      <c r="P9" s="311">
        <f t="shared" si="2"/>
        <v>1132.5257914194915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Shop Name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50</v>
      </c>
      <c r="I10" s="236">
        <f t="shared" si="0"/>
        <v>3632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290.56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127.12000000000002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3214.32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686.4406779661017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19.503803389830509</v>
      </c>
      <c r="P10" s="311">
        <f t="shared" si="2"/>
        <v>3920.2644813559323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15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0</v>
      </c>
      <c r="I11" s="236">
        <f t="shared" si="0"/>
        <v>0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0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0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0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0</v>
      </c>
      <c r="P11" s="311">
        <f t="shared" si="2"/>
        <v>0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12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30</v>
      </c>
      <c r="I12" s="236">
        <f t="shared" si="0"/>
        <v>2179.1999999999998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174.33600000000001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76.272000000000006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1928.5919999999999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411.86440677966107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11.702282033898307</v>
      </c>
      <c r="P12" s="311">
        <f t="shared" si="2"/>
        <v>2352.1586888135594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53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2.5</v>
      </c>
      <c r="H16" s="113">
        <f t="shared" ref="H16:M16" si="3">SUM(H7:H15)</f>
        <v>100</v>
      </c>
      <c r="I16" s="114">
        <f t="shared" si="3"/>
        <v>6860.45</v>
      </c>
      <c r="J16" s="274">
        <f>SUM(J7:J15)</f>
        <v>548.83600000000001</v>
      </c>
      <c r="K16" s="275">
        <f t="shared" si="3"/>
        <v>240.11575000000005</v>
      </c>
      <c r="L16" s="276">
        <f t="shared" si="3"/>
        <v>0</v>
      </c>
      <c r="M16" s="232">
        <f t="shared" si="3"/>
        <v>6071.4982499999996</v>
      </c>
      <c r="N16" s="233">
        <f>SUM(N7:N15)</f>
        <v>1296.6101694915255</v>
      </c>
      <c r="O16" s="101">
        <f>SUM(O7:O15)</f>
        <v>36.840542097457629</v>
      </c>
      <c r="P16" s="113">
        <f>SUM(P7:P15)</f>
        <v>7404.9489615889834</v>
      </c>
      <c r="Q16" s="128">
        <f>SUM(Q7:Q15)</f>
        <v>80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6860.45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548.83600000000001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240.11575000000005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6071.4982499999996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1296.6101694915255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7368.1084194915256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36.840542097457629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4" t="s">
        <v>88</v>
      </c>
      <c r="O26" s="375"/>
      <c r="P26" s="297">
        <f>+P24+P25</f>
        <v>7404.9489615889834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7404.9489615889834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20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Summary!H3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7.25" customHeight="1" x14ac:dyDescent="0.4">
      <c r="A6" s="400" t="s">
        <v>514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20</v>
      </c>
      <c r="I18" s="236">
        <f t="shared" ref="I18:I21" si="7">(G18*D18)*F18+H18*F18</f>
        <v>1049.25</v>
      </c>
      <c r="J18" s="272">
        <f t="shared" si="1"/>
        <v>83.94</v>
      </c>
      <c r="K18" s="128">
        <f t="shared" si="1"/>
        <v>36.723750000000003</v>
      </c>
      <c r="L18" s="119">
        <f t="shared" si="1"/>
        <v>0</v>
      </c>
      <c r="M18" s="230">
        <f t="shared" si="2"/>
        <v>928.58625000000006</v>
      </c>
      <c r="N18" s="277">
        <f t="shared" si="3"/>
        <v>198.30508474576263</v>
      </c>
      <c r="O18" s="239">
        <f t="shared" si="4"/>
        <v>5.6344566737288133</v>
      </c>
      <c r="P18" s="119">
        <f t="shared" si="5"/>
        <v>1132.5257914194915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7"/>
        <v>1452.8</v>
      </c>
      <c r="J21" s="272">
        <f t="shared" si="1"/>
        <v>116.224</v>
      </c>
      <c r="K21" s="128">
        <f t="shared" si="1"/>
        <v>50.848000000000006</v>
      </c>
      <c r="L21" s="119">
        <f t="shared" si="1"/>
        <v>0</v>
      </c>
      <c r="M21" s="230">
        <f t="shared" si="2"/>
        <v>1285.7280000000001</v>
      </c>
      <c r="N21" s="277">
        <f t="shared" si="3"/>
        <v>274.57627118644069</v>
      </c>
      <c r="O21" s="239">
        <f t="shared" si="4"/>
        <v>7.8015213559322039</v>
      </c>
      <c r="P21" s="119">
        <f t="shared" si="5"/>
        <v>1568.1057925423729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40</v>
      </c>
      <c r="I25" s="114">
        <f t="shared" ref="I25:M25" si="10">SUM(I16:I24)</f>
        <v>2502.0500000000002</v>
      </c>
      <c r="J25" s="274">
        <f>SUM(J16:J24)</f>
        <v>200.16399999999999</v>
      </c>
      <c r="K25" s="275">
        <f t="shared" si="10"/>
        <v>87.571750000000009</v>
      </c>
      <c r="L25" s="276">
        <f t="shared" si="10"/>
        <v>0</v>
      </c>
      <c r="M25" s="232">
        <f t="shared" si="10"/>
        <v>2214.3142500000004</v>
      </c>
      <c r="N25" s="233">
        <f>SUM(N16:N24)</f>
        <v>472.88135593220329</v>
      </c>
      <c r="O25" s="101">
        <f>SUM(O16:O24)</f>
        <v>13.435978029661017</v>
      </c>
      <c r="P25" s="234">
        <f>SUM(P16:P24)</f>
        <v>2700.6315839618646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2502.0500000000002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200.16399999999999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87.571750000000009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2214.3142500000004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472.88135593220329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2687.1956059322038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13.435978029661019</v>
      </c>
    </row>
    <row r="35" spans="2:16" ht="15.75" customHeight="1" thickBot="1" x14ac:dyDescent="0.4">
      <c r="N35" s="374" t="s">
        <v>88</v>
      </c>
      <c r="O35" s="375"/>
      <c r="P35" s="297">
        <f>+P33+P34</f>
        <v>2700.6315839618646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6" workbookViewId="0">
      <selection activeCell="Q18" sqref="Q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516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119">
        <f t="shared" si="5"/>
        <v>3136.2115850847458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>
        <v>40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232.44800000000001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232.44800000000001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101.69600000000001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3136.2115850847458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11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8.75" customHeight="1" x14ac:dyDescent="0.4">
      <c r="A6" s="400" t="s">
        <v>517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>
        <v>15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>
        <v>12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>
        <v>13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518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20</v>
      </c>
      <c r="I25" s="114">
        <f t="shared" si="7"/>
        <v>1452.8</v>
      </c>
      <c r="J25" s="274">
        <f>SUM(J16:J24)</f>
        <v>116.224</v>
      </c>
      <c r="K25" s="275">
        <f t="shared" si="7"/>
        <v>50.848000000000006</v>
      </c>
      <c r="L25" s="276">
        <f t="shared" si="7"/>
        <v>0</v>
      </c>
      <c r="M25" s="232">
        <f t="shared" si="7"/>
        <v>1285.7280000000001</v>
      </c>
      <c r="N25" s="233">
        <f>SUM(N16:N24)</f>
        <v>274.57627118644069</v>
      </c>
      <c r="O25" s="101">
        <f>SUM(O16:O24)</f>
        <v>7.8015213559322039</v>
      </c>
      <c r="P25" s="234">
        <f>SUM(P16:P24)</f>
        <v>1568.1057925423729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1452.8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116.224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50.848000000000006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1285.7280000000001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274.57627118644069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1560.3042711864407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7.8015213559322039</v>
      </c>
    </row>
    <row r="35" spans="2:16" ht="15.75" customHeight="1" thickBot="1" x14ac:dyDescent="0.4">
      <c r="N35" s="374" t="s">
        <v>88</v>
      </c>
      <c r="O35" s="375"/>
      <c r="P35" s="297">
        <f>+P33+P34</f>
        <v>1568.1057925423729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10"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'1'!N4:P5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46287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46286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2026-09-21T04:28:56Z</dcterms:modified>
</cp:coreProperties>
</file>