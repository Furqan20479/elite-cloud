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DA00FEC-AEB5-4E73-A031-8F1D1CE068A5}" xr6:coauthVersionLast="47" xr6:coauthVersionMax="47" xr10:uidLastSave="{00000000-0000-0000-0000-000000000000}"/>
  <bookViews>
    <workbookView xWindow="-110" yWindow="-110" windowWidth="19420" windowHeight="10420" tabRatio="948" firstSheet="3" activeTab="1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8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<sst xmlns="http://schemas.openxmlformats.org/spreadsheetml/2006/main" count="3948" uniqueCount="523">
  <si>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</si>
  <si>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</si>
  <si>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</si>
  <si>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</si>
  <si>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</si>
  <si>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</si>
  <si>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</si>
  <si>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</si>
  <si>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</si>
  <si>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</si>
  <si>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</si>
  <si>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</si>
  <si>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</si>
  <si>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</si>
  <si>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</si>
  <si>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</si>
  <si>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</si>
  <si>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</si>
  <si>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</si>
  <si>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</si>
  <si>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</si>
  <si>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</si>
  <si>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</si>
  <si>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</si>
  <si>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</si>
  <si>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</si>
  <si>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</si>
  <si>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</si>
  <si>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</si>
  <si>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</si>
  <si>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</si>
  <si>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</si>
  <si>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</si>
  <si>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</si>
  <si>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</si>
  <si>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</si>
  <si>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</si>
  <si>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</si>
  <si>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</si>
  <si>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</si>
  <si>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</si>
  <si>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</si>
  <si>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</si>
  <si>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</si>
  <si>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</si>
  <si>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</si>
  <si>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</si>
  <si>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</si>
  <si>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</si>
  <si>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</si>
  <si>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</si>
  <si>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</si>
  <si>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</si>
  <si>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</si>
  <si>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</si>
  <si>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</si>
  <si>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</si>
  <si>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</si>
  <si>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</si>
  <si>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</si>
  <si>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</si>
  <si>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</si>
  <si>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</si>
  <si>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</si>
  <si>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</si>
  <si>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</si>
  <si>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</si>
  <si>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</si>
  <si>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</si>
  <si>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</si>
  <si>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</si>
  <si>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</si>
  <si>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</si>
  <si>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</si>
  <si>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</si>
  <si>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</si>
  <si>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</si>
  <si>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</si>
  <si>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</si>
  <si>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</si>
  <si>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</si>
  <si>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</si>
  <si>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</si>
  <si>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</si>
  <si>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</si>
  <si>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</si>
  <si>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</si>
  <si>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</si>
  <si>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</si>
  <si>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</si>
  <si>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</si>
  <si>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</si>
  <si>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</si>
  <si>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</si>
  <si>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</si>
  <si>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</si>
  <si>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</si>
  <si>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</si>
  <si>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</si>
  <si>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</si>
  <si>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</si>
  <si>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</si>
  <si>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</si>
  <si>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</si>
  <si>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</si>
  <si>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</si>
  <si>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</si>
  <si>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</si>
  <si>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</si>
  <si>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</si>
  <si>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</si>
  <si>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</si>
  <si>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</si>
  <si>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</si>
  <si>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</si>
  <si>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</si>
  <si>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</si>
  <si>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</si>
  <si>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</si>
  <si>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</si>
  <si>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</si>
  <si>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</si>
  <si>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</si>
  <si>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</si>
  <si>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</si>
  <si>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</si>
  <si>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</si>
  <si>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</si>
  <si>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</si>
  <si>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</si>
  <si>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</si>
  <si>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</si>
  <si>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</si>
  <si>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</si>
  <si>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</si>
  <si>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</si>
  <si>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</si>
  <si>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</si>
  <si>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</si>
  <si>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</si>
  <si>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</si>
  <si>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</si>
  <si>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</si>
  <si>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</si>
  <si>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</si>
  <si>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</si>
  <si>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</si>
  <si>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</si>
  <si>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</si>
  <si>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</si>
  <si>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</si>
  <si>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</si>
  <si>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</si>
  <si>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</si>
  <si>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</si>
  <si>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</si>
  <si>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</si>
  <si>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</si>
  <si>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</si>
  <si>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</si>
  <si>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</si>
  <si>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</si>
  <si>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</si>
  <si>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</si>
  <si>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</si>
  <si>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</si>
  <si>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</si>
  <si>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</si>
  <si>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</si>
  <si>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</si>
  <si>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</si>
  <si>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</si>
  <si>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</si>
  <si>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</si>
  <si>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</si>
  <si>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</si>
  <si>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</si>
  <si>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</si>
  <si>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</si>
  <si>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</si>
  <si>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</si>
  <si>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</si>
  <si>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</si>
  <si>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</si>
  <si>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</si>
  <si>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</si>
  <si>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</si>
  <si>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</si>
  <si>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</si>
  <si>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</si>
  <si>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</si>
  <si>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</si>
  <si>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</si>
  <si>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</si>
  <si>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</si>
  <si>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</si>
  <si>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</si>
  <si>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</si>
  <si>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</si>
  <si>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</si>
  <si>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</si>
  <si>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</si>
  <si>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</si>
  <si>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</si>
  <si>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</si>
  <si>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</si>
  <si>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</si>
  <si>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</si>
  <si>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</si>
  <si>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</si>
  <si>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</si>
  <si>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</si>
  <si>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</si>
  <si>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</si>
  <si>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</si>
  <si>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</si>
  <si>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</si>
  <si>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</si>
  <si>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</si>
  <si>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</si>
  <si>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</si>
  <si>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</si>
  <si>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</si>
  <si>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</si>
  <si>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</si>
  <si>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</si>
  <si>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</si>
  <si>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</si>
  <si>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</si>
  <si>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</si>
  <si>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</si>
  <si>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</si>
  <si>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</si>
  <si>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</si>
  <si>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</si>
  <si>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</si>
  <si>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</si>
  <si>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</si>
  <si>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</si>
  <si>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</si>
  <si>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</si>
  <si>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</si>
  <si>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</si>
  <si>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</si>
  <si>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</si>
  <si>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</si>
  <si>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</si>
  <si>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</si>
  <si>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</si>
  <si>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</si>
  <si>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</si>
  <si>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</si>
  <si>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</si>
  <si>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</si>
  <si>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</si>
  <si>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</si>
  <si>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</si>
  <si>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</si>
  <si>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</si>
  <si>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</si>
  <si>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</si>
  <si>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</si>
  <si>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</si>
  <si>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</si>
  <si>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</si>
  <si>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</si>
  <si>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</si>
  <si>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</si>
  <si>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</si>
  <si>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</si>
  <si>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</si>
  <si>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</si>
  <si>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</si>
  <si>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</si>
  <si>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</si>
  <si>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</si>
  <si>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</si>
  <si>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</si>
  <si>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</si>
  <si>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</si>
  <si>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</si>
  <si>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</si>
  <si>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</si>
  <si>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</si>
  <si>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</si>
  <si>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</si>
  <si>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</si>
  <si>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</si>
  <si>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</si>
  <si>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</si>
  <si>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</si>
  <si>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</si>
  <si>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</si>
  <si>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</si>
  <si>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</si>
  <si>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</si>
  <si>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</si>
  <si>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</si>
  <si>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</si>
  <si>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</si>
  <si>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</si>
  <si>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</si>
  <si>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</si>
  <si>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</si>
  <si>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</si>
  <si>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</si>
  <si>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</si>
  <si>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</si>
  <si>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</si>
  <si>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</si>
  <si>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</si>
  <si>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</si>
  <si>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</si>
  <si>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</si>
  <si>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</si>
  <si>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</si>
  <si>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</si>
  <si>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</si>
  <si>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</si>
  <si>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</si>
  <si>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</si>
  <si>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</si>
  <si>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</si>
  <si>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</si>
  <si>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</si>
  <si>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</si>
  <si>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</si>
  <si>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</si>
  <si>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</si>
  <si>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</si>
  <si>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</si>
  <si>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</si>
  <si>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</si>
  <si>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</si>
  <si>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</si>
  <si>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</si>
  <si>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</si>
  <si>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</si>
  <si>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</si>
  <si>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</si>
  <si>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</si>
  <si>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</si>
  <si>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</si>
  <si>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</si>
  <si>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</si>
  <si>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</si>
  <si>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</si>
  <si>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</si>
  <si>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</si>
  <si>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</si>
  <si>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</si>
  <si>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</si>
  <si>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</si>
  <si>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</si>
  <si>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</si>
  <si>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</si>
  <si>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</si>
  <si>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</si>
  <si>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</si>
  <si>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</si>
  <si>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</si>
  <si>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</si>
  <si>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</si>
  <si>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</si>
  <si>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</si>
  <si>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</si>
  <si>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</si>
  <si>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</si>
  <si>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</si>
  <si>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</si>
  <si>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</si>
  <si>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</si>
  <si>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</si>
  <si>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</si>
  <si>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</si>
  <si>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</si>
  <si>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</si>
  <si>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</si>
  <si>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</si>
  <si>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</si>
  <si>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</si>
  <si>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</si>
  <si>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</si>
  <si>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</si>
  <si>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</si>
  <si>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</si>
  <si>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</si>
  <si>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</si>
  <si>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</si>
  <si>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</si>
  <si>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</si>
  <si>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</si>
  <si>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</si>
  <si>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</si>
  <si>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</si>
  <si>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</si>
  <si>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</si>
  <si>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</si>
  <si>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</si>
  <si>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</si>
  <si>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</si>
  <si>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</si>
  <si>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</si>
  <si>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</si>
  <si>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</si>
  <si>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</si>
  <si>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</si>
  <si>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</si>
  <si>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</si>
  <si>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</si>
  <si>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</si>
  <si>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</si>
  <si>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</si>
  <si>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</si>
  <si>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</si>
  <si>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</si>
  <si>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</si>
  <si>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</si>
  <si>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</si>
  <si>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</si>
  <si>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</si>
  <si>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</si>
  <si>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</si>
  <si>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</si>
  <si>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</si>
  <si>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</si>
  <si>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</si>
  <si>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</si>
  <si>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</si>
  <si>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</si>
  <si>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</si>
  <si>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</si>
  <si>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</si>
  <si>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</si>
  <si>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</si>
  <si>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</si>
  <si>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</si>
  <si>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</si>
  <si>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</si>
  <si>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</si>
  <si>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</si>
  <si>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</si>
  <si>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</si>
  <si>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</si>
  <si>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</si>
  <si>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</si>
  <si>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</si>
  <si>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</si>
  <si>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</si>
  <si>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</si>
  <si>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</si>
  <si>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</si>
  <si>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</si>
  <si>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</si>
  <si>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</si>
  <si>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</si>
  <si>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</si>
  <si>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</si>
  <si>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</si>
  <si>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</si>
  <si>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</si>
  <si>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</si>
  <si>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</si>
  <si>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</si>
  <si>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</si>
  <si>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</si>
  <si>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</si>
  <si>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</si>
  <si>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</si>
  <si>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</si>
  <si>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</si>
  <si>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</si>
  <si>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</si>
  <si>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</si>
  <si>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</si>
  <si>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</si>
  <si>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</si>
  <si>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</si>
  <si>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</si>
  <si>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</si>
  <si>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</si>
  <si>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</si>
  <si>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</si>
  <si>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</si>
  <si>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</si>
  <si>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</si>
  <si>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</si>
  <si>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</si>
  <si>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</si>
  <si>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</si>
  <si>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</si>
  <si>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</si>
  <si>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</si>
  <si>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</si>
  <si>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</si>
  <si>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</si>
  <si>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</si>
  <si>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</si>
  <si>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</si>
  <si>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</si>
  <si>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</si>
  <si>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</si>
  <si>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</si>
  <si>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</si>
  <si>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</si>
  <si>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</si>
  <si>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</si>
  <si>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</si>
  <si>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</si>
  <si>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</si>
  <si>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</si>
  <si>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</si>
  <si>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</si>
  <si>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</si>
  <si>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</si>
  <si>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>Address: Mozang</t>
  </si>
  <si>
    <t xml:space="preserve">Medical Mart </t>
  </si>
  <si>
    <t>Super Fine Store</t>
  </si>
  <si>
    <t xml:space="preserve">Health Mart </t>
  </si>
  <si>
    <t>Ahmad Store</t>
  </si>
  <si>
    <t>Data Store</t>
  </si>
  <si>
    <t>Khalid Store</t>
  </si>
  <si>
    <t xml:space="preserve">Hostal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</si>
</sst>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8" activeCellId="1" sqref="S5:S6 S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46284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Medical Mart 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Data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Super Fine Store</v>
      </c>
      <c r="T5" s="301">
        <f>+'3'!P35</f>
        <v>679.51547485169476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Health Mart </v>
      </c>
      <c r="T6" s="301">
        <f>+'4'!P35</f>
        <v>679.51547485169476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40</v>
      </c>
      <c r="R7" s="313">
        <v>5</v>
      </c>
      <c r="S7" s="300" t="str">
        <f>+'5'!A6:A6</f>
        <v>Ahmad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40</v>
      </c>
      <c r="R8" s="313">
        <v>6</v>
      </c>
      <c r="S8" s="300" t="str">
        <f>+'6'!A6:A6</f>
        <v>Khalid Store</v>
      </c>
      <c r="T8" s="301">
        <f>+'6'!P35</f>
        <v>9233.4270752542379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24</v>
      </c>
      <c r="I9" s="236">
        <f t="shared" si="0"/>
        <v>1259.0999999999999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100.72799999999999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44.0685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1114.3035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237.96610169491515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6.7613480084745756</v>
      </c>
      <c r="P9" s="311">
        <f t="shared" si="2"/>
        <v>1359.0309497033898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40</v>
      </c>
      <c r="R9" s="313">
        <v>7</v>
      </c>
      <c r="S9" s="300" t="str">
        <f>+'7'!A6:A6</f>
        <v xml:space="preserve">Hostal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2513.3440000000001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15.312482711864407</v>
      </c>
      <c r="P10" s="311">
        <f t="shared" si="2"/>
        <v>3077.8090250847458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75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2513.3440000000001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15.312482711864407</v>
      </c>
      <c r="P11" s="311">
        <f t="shared" si="2"/>
        <v>3077.8090250847458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65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290.56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2513.3440000000001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15.312482711864407</v>
      </c>
      <c r="P12" s="311">
        <f t="shared" si="2"/>
        <v>3077.8090250847458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80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3.6</v>
      </c>
      <c r="H16" s="113">
        <f t="shared" ref="H16:M16" si="3">SUM(H7:H15)</f>
        <v>144</v>
      </c>
      <c r="I16" s="114">
        <f t="shared" si="3"/>
        <v>9975.9</v>
      </c>
      <c r="J16" s="274">
        <f>SUM(J7:J15)</f>
        <v>972.4079999999999</v>
      </c>
      <c r="K16" s="275">
        <f t="shared" si="3"/>
        <v>349.15650000000005</v>
      </c>
      <c r="L16" s="276">
        <f t="shared" si="3"/>
        <v>0</v>
      </c>
      <c r="M16" s="232">
        <f t="shared" si="3"/>
        <v>8654.335500000001</v>
      </c>
      <c r="N16" s="233">
        <f>SUM(N7:N15)</f>
        <v>1885.4237288135591</v>
      </c>
      <c r="O16" s="101">
        <f>SUM(O7:O15)</f>
        <v>52.698796144067792</v>
      </c>
      <c r="P16" s="113">
        <f>SUM(P7:P15)</f>
        <v>10592.458024957627</v>
      </c>
      <c r="Q16" s="128">
        <f>SUM(Q7:Q15)</f>
        <v>340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9975.9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972.4079999999999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349.15650000000005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8654.335500000001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1885.4237288135591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10539.75922881356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52.698796144067792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10592.458024957628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10592.458024957628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4" workbookViewId="0">
      <selection activeCell="R28" sqref="R2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7.2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15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10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15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activeCell="F10" sqref="F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15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10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15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50.363999999999997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234">
        <f>SUM(P16:P24)</f>
        <v>679.51547485169488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629.54999999999995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50.363999999999997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22.03425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557.15174999999988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676.13480084745743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45" t="s">
        <v>88</v>
      </c>
      <c r="O35" s="346"/>
      <c r="P35" s="297">
        <f>+P33+P34</f>
        <v>679.51547485169476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11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50.363999999999997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234">
        <f>SUM(P16:P24)</f>
        <v>679.51547485169488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629.54999999999995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50.363999999999997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22.03425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557.15174999999988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676.13480084745743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45" t="s">
        <v>88</v>
      </c>
      <c r="O35" s="346"/>
      <c r="P35" s="297">
        <f>+P33+P34</f>
        <v>679.51547485169476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H21" sqref="H19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10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14" workbookViewId="0">
      <selection activeCell="Q31" sqref="Q3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119">
        <f t="shared" si="5"/>
        <v>3077.8090250847458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119">
        <f t="shared" si="5"/>
        <v>3077.8090250847458</v>
      </c>
      <c r="Q20" s="319"/>
      <c r="R20">
        <f>P20/21</f>
        <v>146.56233452784505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290.56</v>
      </c>
      <c r="K21" s="128">
        <f t="shared" si="1"/>
        <v>101.69600000000001</v>
      </c>
      <c r="L21" s="119">
        <f t="shared" si="1"/>
        <v>0</v>
      </c>
      <c r="M21" s="230">
        <f t="shared" si="2"/>
        <v>2513.3440000000001</v>
      </c>
      <c r="N21" s="277">
        <f t="shared" si="3"/>
        <v>549.15254237288138</v>
      </c>
      <c r="O21" s="239">
        <f t="shared" si="4"/>
        <v>15.312482711864407</v>
      </c>
      <c r="P21" s="119">
        <f t="shared" si="5"/>
        <v>3077.8090250847458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871.68000000000006</v>
      </c>
      <c r="K25" s="275">
        <f t="shared" si="7"/>
        <v>305.08800000000002</v>
      </c>
      <c r="L25" s="276">
        <f t="shared" si="7"/>
        <v>0</v>
      </c>
      <c r="M25" s="232">
        <f t="shared" si="7"/>
        <v>7540.0320000000002</v>
      </c>
      <c r="N25" s="233">
        <f>SUM(N16:N24)</f>
        <v>1647.4576271186443</v>
      </c>
      <c r="O25" s="101">
        <f>SUM(O16:O24)</f>
        <v>45.937448135593222</v>
      </c>
      <c r="P25" s="234">
        <f>SUM(P16:P24)</f>
        <v>9233.4270752542379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8716.7999999999993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871.68000000000006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305.08800000000002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7540.0319999999992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9187.4896271186444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45.937448135593222</v>
      </c>
    </row>
    <row r="35" spans="2:16" ht="15.75" customHeight="1" thickBot="1" x14ac:dyDescent="0.4">
      <c r="N35" s="345" t="s">
        <v>88</v>
      </c>
      <c r="O35" s="346"/>
      <c r="P35" s="297">
        <f>+P33+P34</f>
        <v>9233.4270752542379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8" workbookViewId="0">
      <selection activeCell="H21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40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40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40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40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40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40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240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abSelected="1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46296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46295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2026-09-30T08:10:27Z</dcterms:modified>
</cp:coreProperties>
</file>