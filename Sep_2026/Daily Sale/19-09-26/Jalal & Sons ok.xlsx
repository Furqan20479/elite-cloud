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F386870-49A2-47A9-AE82-6B7D36DA66DB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<sst xmlns="http://schemas.openxmlformats.org/spreadsheetml/2006/main" count="3948" uniqueCount="516">
  <si>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</si>
  <si>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</si>
  <si>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</si>
  <si>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</si>
  <si>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</si>
  <si>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</si>
  <si>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</si>
  <si>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</si>
  <si>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</si>
  <si>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</si>
  <si>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</si>
  <si>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</si>
  <si>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</si>
  <si>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</si>
  <si>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</si>
  <si>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</si>
  <si>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</si>
  <si>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</si>
  <si>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</si>
  <si>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</si>
  <si>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</si>
  <si>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</si>
  <si>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</si>
  <si>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</si>
  <si>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</si>
  <si>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</si>
  <si>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</si>
  <si>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</si>
  <si>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</si>
  <si>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</si>
  <si>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</si>
  <si>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</si>
  <si>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</si>
  <si>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</si>
  <si>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</si>
  <si>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</si>
  <si>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</si>
  <si>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</si>
  <si>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</si>
  <si>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</si>
  <si>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</si>
  <si>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</si>
  <si>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</si>
  <si>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</si>
  <si>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</si>
  <si>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</si>
  <si>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</si>
  <si>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</si>
  <si>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</si>
  <si>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</si>
  <si>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</si>
  <si>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</si>
  <si>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</si>
  <si>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</si>
  <si>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</si>
  <si>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</si>
  <si>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</si>
  <si>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</si>
  <si>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</si>
  <si>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</si>
  <si>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</si>
  <si>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</si>
  <si>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</si>
  <si>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</si>
  <si>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</si>
  <si>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</si>
  <si>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</si>
  <si>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</si>
  <si>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</si>
  <si>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</si>
  <si>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</si>
  <si>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</si>
  <si>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</si>
  <si>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</si>
  <si>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</si>
  <si>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</si>
  <si>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</si>
  <si>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</si>
  <si>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</si>
  <si>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</si>
  <si>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</si>
  <si>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</si>
  <si>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</si>
  <si>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</si>
  <si>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</si>
  <si>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</si>
  <si>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</si>
  <si>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</si>
  <si>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</si>
  <si>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</si>
  <si>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</si>
  <si>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</si>
  <si>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</si>
  <si>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</si>
  <si>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</si>
  <si>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</si>
  <si>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</si>
  <si>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</si>
  <si>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</si>
  <si>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</si>
  <si>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</si>
  <si>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</si>
  <si>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</si>
  <si>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</si>
  <si>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</si>
  <si>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</si>
  <si>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</si>
  <si>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</si>
  <si>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</si>
  <si>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</si>
  <si>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</si>
  <si>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</si>
  <si>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</si>
  <si>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</si>
  <si>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</si>
  <si>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</si>
  <si>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</si>
  <si>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</si>
  <si>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</si>
  <si>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</si>
  <si>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</si>
  <si>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</si>
  <si>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</si>
  <si>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</si>
  <si>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</si>
  <si>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</si>
  <si>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</si>
  <si>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</si>
  <si>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</si>
  <si>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</si>
  <si>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</si>
  <si>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</si>
  <si>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</si>
  <si>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</si>
  <si>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</si>
  <si>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</si>
  <si>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</si>
  <si>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</si>
  <si>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</si>
  <si>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</si>
  <si>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</si>
  <si>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</si>
  <si>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</si>
  <si>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</si>
  <si>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</si>
  <si>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</si>
  <si>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</si>
  <si>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</si>
  <si>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</si>
  <si>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</si>
  <si>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</si>
  <si>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</si>
  <si>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</si>
  <si>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</si>
  <si>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</si>
  <si>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</si>
  <si>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</si>
  <si>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</si>
  <si>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</si>
  <si>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</si>
  <si>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</si>
  <si>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</si>
  <si>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</si>
  <si>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</si>
  <si>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</si>
  <si>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</si>
  <si>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</si>
  <si>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</si>
  <si>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</si>
  <si>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</si>
  <si>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</si>
  <si>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</si>
  <si>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</si>
  <si>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</si>
  <si>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</si>
  <si>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</si>
  <si>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</si>
  <si>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</si>
  <si>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</si>
  <si>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</si>
  <si>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</si>
  <si>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</si>
  <si>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</si>
  <si>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</si>
  <si>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</si>
  <si>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</si>
  <si>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</si>
  <si>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</si>
  <si>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</si>
  <si>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</si>
  <si>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</si>
  <si>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</si>
  <si>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</si>
  <si>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</si>
  <si>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</si>
  <si>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</si>
  <si>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</si>
  <si>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</si>
  <si>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</si>
  <si>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</si>
  <si>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</si>
  <si>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</si>
  <si>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</si>
  <si>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</si>
  <si>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</si>
  <si>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</si>
  <si>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</si>
  <si>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</si>
  <si>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</si>
  <si>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</si>
  <si>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</si>
  <si>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</si>
  <si>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</si>
  <si>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</si>
  <si>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</si>
  <si>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</si>
  <si>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</si>
  <si>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</si>
  <si>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</si>
  <si>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</si>
  <si>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</si>
  <si>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</si>
  <si>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</si>
  <si>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</si>
  <si>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</si>
  <si>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</si>
  <si>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</si>
  <si>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</si>
  <si>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</si>
  <si>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</si>
  <si>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</si>
  <si>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</si>
  <si>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</si>
  <si>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</si>
  <si>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</si>
  <si>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</si>
  <si>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</si>
  <si>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</si>
  <si>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</si>
  <si>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</si>
  <si>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</si>
  <si>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</si>
  <si>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</si>
  <si>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</si>
  <si>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</si>
  <si>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</si>
  <si>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</si>
  <si>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</si>
  <si>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</si>
  <si>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</si>
  <si>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</si>
  <si>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</si>
  <si>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</si>
  <si>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</si>
  <si>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</si>
  <si>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</si>
  <si>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</si>
  <si>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</si>
  <si>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</si>
  <si>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</si>
  <si>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</si>
  <si>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</si>
  <si>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</si>
  <si>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</si>
  <si>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</si>
  <si>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</si>
  <si>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</si>
  <si>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</si>
  <si>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</si>
  <si>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</si>
  <si>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</si>
  <si>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</si>
  <si>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</si>
  <si>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</si>
  <si>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</si>
  <si>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</si>
  <si>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</si>
  <si>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</si>
  <si>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</si>
  <si>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</si>
  <si>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</si>
  <si>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</si>
  <si>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</si>
  <si>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</si>
  <si>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</si>
  <si>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</si>
  <si>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</si>
  <si>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</si>
  <si>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</si>
  <si>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</si>
  <si>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</si>
  <si>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</si>
  <si>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</si>
  <si>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</si>
  <si>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</si>
  <si>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</si>
  <si>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</si>
  <si>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</si>
  <si>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</si>
  <si>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</si>
  <si>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</si>
  <si>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</si>
  <si>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</si>
  <si>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</si>
  <si>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</si>
  <si>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</si>
  <si>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</si>
  <si>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</si>
  <si>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</si>
  <si>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</si>
  <si>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</si>
  <si>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</si>
  <si>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</si>
  <si>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</si>
  <si>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</si>
  <si>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</si>
  <si>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</si>
  <si>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</si>
  <si>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</si>
  <si>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</si>
  <si>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</si>
  <si>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</si>
  <si>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</si>
  <si>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</si>
  <si>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</si>
  <si>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</si>
  <si>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</si>
  <si>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</si>
  <si>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</si>
  <si>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</si>
  <si>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</si>
  <si>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</si>
  <si>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</si>
  <si>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</si>
  <si>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</si>
  <si>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</si>
  <si>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</si>
  <si>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</si>
  <si>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</si>
  <si>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</si>
  <si>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</si>
  <si>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</si>
  <si>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</si>
  <si>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</si>
  <si>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</si>
  <si>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</si>
  <si>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</si>
  <si>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</si>
  <si>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</si>
  <si>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</si>
  <si>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</si>
  <si>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</si>
  <si>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</si>
  <si>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</si>
  <si>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</si>
  <si>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</si>
  <si>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</si>
  <si>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</si>
  <si>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</si>
  <si>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</si>
  <si>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</si>
  <si>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</si>
  <si>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</si>
  <si>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</si>
  <si>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</si>
  <si>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</si>
  <si>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</si>
  <si>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</si>
  <si>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</si>
  <si>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</si>
  <si>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</si>
  <si>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</si>
  <si>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</si>
  <si>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</si>
  <si>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</si>
  <si>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</si>
  <si>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</si>
  <si>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</si>
  <si>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</si>
  <si>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</si>
  <si>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</si>
  <si>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</si>
  <si>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</si>
  <si>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</si>
  <si>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</si>
  <si>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</si>
  <si>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</si>
  <si>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</si>
  <si>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</si>
  <si>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</si>
  <si>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</si>
  <si>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</si>
  <si>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</si>
  <si>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</si>
  <si>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</si>
  <si>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</si>
  <si>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</si>
  <si>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</si>
  <si>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</si>
  <si>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</si>
  <si>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</si>
  <si>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</si>
  <si>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</si>
  <si>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</si>
  <si>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</si>
  <si>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</si>
  <si>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</si>
  <si>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</si>
  <si>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</si>
  <si>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</si>
  <si>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</si>
  <si>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</si>
  <si>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</si>
  <si>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</si>
  <si>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</si>
  <si>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</si>
  <si>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</si>
  <si>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</si>
  <si>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</si>
  <si>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</si>
  <si>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</si>
  <si>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</si>
  <si>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</si>
  <si>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</si>
  <si>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</si>
  <si>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</si>
  <si>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</si>
  <si>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</si>
  <si>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</si>
  <si>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</si>
  <si>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</si>
  <si>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</si>
  <si>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</si>
  <si>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</si>
  <si>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</si>
  <si>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</si>
  <si>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</si>
  <si>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</si>
  <si>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</si>
  <si>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</si>
  <si>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</si>
  <si>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</si>
  <si>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</si>
  <si>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</si>
  <si>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</si>
  <si>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</si>
  <si>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</si>
  <si>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</si>
  <si>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</si>
  <si>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</si>
  <si>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</si>
  <si>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</si>
  <si>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</si>
  <si>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</si>
  <si>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</si>
  <si>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</si>
  <si>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</si>
  <si>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</si>
  <si>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</si>
  <si>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</si>
  <si>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</si>
  <si>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</si>
  <si>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</si>
  <si>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</si>
  <si>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</si>
  <si>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</si>
  <si>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</si>
  <si>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</si>
  <si>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</si>
  <si>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</si>
  <si>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</si>
  <si>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</si>
  <si>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</si>
  <si>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</si>
  <si>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</si>
  <si>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</si>
  <si>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</si>
  <si>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</si>
  <si>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</si>
  <si>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</si>
  <si>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</si>
  <si>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</si>
  <si>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</si>
  <si>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</si>
  <si>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</si>
  <si>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</si>
  <si>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</si>
  <si>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</si>
  <si>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</si>
  <si>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</si>
  <si>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</si>
  <si>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</si>
  <si>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</si>
  <si>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</si>
  <si>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</si>
  <si>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</si>
  <si>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</si>
  <si>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</si>
  <si>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</si>
  <si>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</si>
  <si>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</si>
  <si>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</si>
  <si>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</si>
  <si>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</si>
  <si>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</si>
  <si>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</si>
  <si>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</si>
  <si>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</si>
  <si>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</si>
  <si>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</si>
  <si>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</si>
  <si>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</si>
  <si>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</si>
  <si>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</si>
  <si>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Shakoor</t>
  </si>
  <si>
    <t>Jalal &amp; 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</si>
</sst>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46284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Jalal &amp; Sons</v>
      </c>
      <c r="T3" s="301">
        <f>+'1'!P35</f>
        <v>15675.731851271186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314.77499999999998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1783.7249999999999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10.901675847457625</v>
      </c>
      <c r="P7" s="310">
        <f>M7+N7+O7</f>
        <v>2191.2368453389827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314.77499999999998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1783.7249999999999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10.901675847457625</v>
      </c>
      <c r="P8" s="311">
        <f t="shared" ref="P8:P15" si="2">M8+N8+O8</f>
        <v>2191.2368453389827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314.77499999999998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1783.7249999999999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10.901675847457625</v>
      </c>
      <c r="P9" s="311">
        <f t="shared" si="2"/>
        <v>2191.2368453389827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435.84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2469.7599999999998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15.094562711864405</v>
      </c>
      <c r="P10" s="311">
        <f t="shared" si="2"/>
        <v>3034.0071050847455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435.84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2469.7599999999998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15.094562711864405</v>
      </c>
      <c r="P11" s="311">
        <f t="shared" si="2"/>
        <v>3034.0071050847455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435.84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2469.7599999999998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15.094562711864405</v>
      </c>
      <c r="P12" s="311">
        <f t="shared" si="2"/>
        <v>3034.0071050847455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6</v>
      </c>
      <c r="H16" s="113">
        <f t="shared" ref="H16:M16" si="3">SUM(H7:H15)</f>
        <v>240</v>
      </c>
      <c r="I16" s="114">
        <f t="shared" si="3"/>
        <v>15012.300000000001</v>
      </c>
      <c r="J16" s="274">
        <f>SUM(J7:J15)</f>
        <v>2251.8449999999998</v>
      </c>
      <c r="K16" s="275">
        <f t="shared" si="3"/>
        <v>0</v>
      </c>
      <c r="L16" s="276">
        <f t="shared" si="3"/>
        <v>0</v>
      </c>
      <c r="M16" s="232">
        <f t="shared" si="3"/>
        <v>12760.455</v>
      </c>
      <c r="N16" s="233">
        <f>SUM(N7:N15)</f>
        <v>2837.2881355932195</v>
      </c>
      <c r="O16" s="101">
        <f>SUM(O7:O15)</f>
        <v>77.988715677966098</v>
      </c>
      <c r="P16" s="113">
        <f>SUM(P7:P15)</f>
        <v>15675.731851271184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15012.300000000001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2251.8449999999998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12760.455000000002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2837.2881355932195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15597.74313559322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77.988715677966098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15675.731851271186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15675.731851271186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3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314.77499999999998</v>
      </c>
      <c r="K16" s="127">
        <f>$I16*T16</f>
        <v>0</v>
      </c>
      <c r="L16" s="118">
        <f>$I16*U16</f>
        <v>0</v>
      </c>
      <c r="M16" s="229">
        <f>I16-SUM(J16:L16)</f>
        <v>1783.7249999999999</v>
      </c>
      <c r="N16" s="248">
        <f>+(G16*D16+H16)*V16</f>
        <v>396.61016949152526</v>
      </c>
      <c r="O16" s="238">
        <f>(N16+M16)*$O$15</f>
        <v>10.901675847457625</v>
      </c>
      <c r="P16" s="118">
        <f>M16+N16+O16</f>
        <v>2191.2368453389827</v>
      </c>
      <c r="Q16" s="318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314.77499999999998</v>
      </c>
      <c r="K17" s="128">
        <f>$I17*T17</f>
        <v>0</v>
      </c>
      <c r="L17" s="119">
        <f>$I17*U17</f>
        <v>0</v>
      </c>
      <c r="M17" s="230">
        <f t="shared" ref="M17:M24" si="2">I17-SUM(J17:L17)</f>
        <v>1783.7249999999999</v>
      </c>
      <c r="N17" s="277">
        <f t="shared" ref="N17:N24" si="3">+(G17*D17+H17)*V17</f>
        <v>396.61016949152526</v>
      </c>
      <c r="O17" s="239">
        <f t="shared" ref="O17:O24" si="4">(N17+M17)*$O$15</f>
        <v>10.901675847457625</v>
      </c>
      <c r="P17" s="119">
        <f t="shared" ref="P17:P24" si="5">M17+N17+O17</f>
        <v>2191.2368453389827</v>
      </c>
      <c r="Q17" s="319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314.77499999999998</v>
      </c>
      <c r="K18" s="128">
        <f t="shared" si="1"/>
        <v>0</v>
      </c>
      <c r="L18" s="119">
        <f t="shared" si="1"/>
        <v>0</v>
      </c>
      <c r="M18" s="230">
        <f t="shared" si="2"/>
        <v>1783.7249999999999</v>
      </c>
      <c r="N18" s="277">
        <f t="shared" si="3"/>
        <v>396.61016949152526</v>
      </c>
      <c r="O18" s="239">
        <f t="shared" si="4"/>
        <v>10.901675847457625</v>
      </c>
      <c r="P18" s="119">
        <f t="shared" si="5"/>
        <v>2191.2368453389827</v>
      </c>
      <c r="Q18" s="319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435.84</v>
      </c>
      <c r="K19" s="128">
        <f t="shared" si="1"/>
        <v>0</v>
      </c>
      <c r="L19" s="119">
        <f t="shared" si="1"/>
        <v>0</v>
      </c>
      <c r="M19" s="230">
        <f t="shared" si="2"/>
        <v>2469.7599999999998</v>
      </c>
      <c r="N19" s="277">
        <f t="shared" si="3"/>
        <v>549.15254237288138</v>
      </c>
      <c r="O19" s="239">
        <f t="shared" si="4"/>
        <v>15.094562711864405</v>
      </c>
      <c r="P19" s="119">
        <f t="shared" si="5"/>
        <v>3034.0071050847455</v>
      </c>
      <c r="Q19" s="319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435.84</v>
      </c>
      <c r="K20" s="128">
        <f t="shared" si="1"/>
        <v>0</v>
      </c>
      <c r="L20" s="119">
        <f t="shared" si="1"/>
        <v>0</v>
      </c>
      <c r="M20" s="230">
        <f t="shared" si="2"/>
        <v>2469.7599999999998</v>
      </c>
      <c r="N20" s="277">
        <f t="shared" si="3"/>
        <v>549.15254237288138</v>
      </c>
      <c r="O20" s="239">
        <f t="shared" si="4"/>
        <v>15.094562711864405</v>
      </c>
      <c r="P20" s="119">
        <f t="shared" si="5"/>
        <v>3034.0071050847455</v>
      </c>
      <c r="Q20" s="319"/>
      <c r="R20">
        <f>P20/21</f>
        <v>144.4765288135593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435.84</v>
      </c>
      <c r="K21" s="128">
        <f t="shared" si="1"/>
        <v>0</v>
      </c>
      <c r="L21" s="119">
        <f t="shared" si="1"/>
        <v>0</v>
      </c>
      <c r="M21" s="230">
        <f t="shared" si="2"/>
        <v>2469.7599999999998</v>
      </c>
      <c r="N21" s="277">
        <f t="shared" si="3"/>
        <v>549.15254237288138</v>
      </c>
      <c r="O21" s="239">
        <f t="shared" si="4"/>
        <v>15.094562711864405</v>
      </c>
      <c r="P21" s="119">
        <f t="shared" si="5"/>
        <v>3034.0071050847455</v>
      </c>
      <c r="Q21" s="319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2251.8449999999998</v>
      </c>
      <c r="K25" s="275">
        <f t="shared" si="10"/>
        <v>0</v>
      </c>
      <c r="L25" s="276">
        <f t="shared" si="10"/>
        <v>0</v>
      </c>
      <c r="M25" s="232">
        <f t="shared" si="10"/>
        <v>12760.455</v>
      </c>
      <c r="N25" s="233">
        <f>SUM(N16:N24)</f>
        <v>2837.2881355932195</v>
      </c>
      <c r="O25" s="101">
        <f>SUM(O16:O24)</f>
        <v>77.988715677966098</v>
      </c>
      <c r="P25" s="234">
        <f>SUM(P16:P24)</f>
        <v>15675.731851271184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15012.300000000001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2251.8449999999998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12760.455000000002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15597.74313559322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77.988715677966098</v>
      </c>
    </row>
    <row r="35" spans="2:16" ht="15.75" customHeight="1" thickBot="1" x14ac:dyDescent="0.4">
      <c r="N35" s="374" t="s">
        <v>88</v>
      </c>
      <c r="O35" s="375"/>
      <c r="P35" s="297">
        <f>+P33+P34</f>
        <v>15675.731851271186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2026-09-30T08:11:40Z</dcterms:modified>
</cp:coreProperties>
</file>