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9A941147-789C-4F19-B616-B3A0790780C3}" xr6:coauthVersionLast="47" xr6:coauthVersionMax="47" xr10:uidLastSave="{00000000-0000-0000-0000-000000000000}"/>
  <bookViews>
    <workbookView xWindow="-110" yWindow="-110" windowWidth="19420" windowHeight="10420" tabRatio="948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N4" i="60"/>
  <c r="N4" i="65"/>
  <c r="N5" i="65" s="1"/>
  <c r="N4" i="69"/>
  <c r="N5" i="69" s="1"/>
  <c r="N4" i="55"/>
  <c r="N4" i="68"/>
  <c r="N5" i="68" s="1"/>
  <c r="N4" i="45"/>
  <c r="N4" i="53"/>
  <c r="N4" i="57"/>
  <c r="N4" i="61"/>
  <c r="N4" i="70"/>
  <c r="N4" i="46"/>
  <c r="N4" i="50"/>
  <c r="N4" i="58"/>
  <c r="N4" i="63"/>
  <c r="N4" i="67"/>
  <c r="N5" i="67" s="1"/>
  <c r="N4" i="51"/>
  <c r="N4" i="59"/>
  <c r="N4" i="64"/>
  <c r="N5" i="64" s="1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52" l="1"/>
  <c r="N4" i="44"/>
  <c r="N4" i="72"/>
  <c r="N5" i="72" s="1"/>
  <c r="N4" i="71"/>
  <c r="N5" i="71" s="1"/>
  <c r="N4" i="54"/>
  <c r="N4" i="66"/>
  <c r="N5" i="66" s="1"/>
  <c r="N4" i="49"/>
  <c r="N5" i="49" s="1"/>
  <c r="N4" i="43"/>
  <c r="N5" i="43" s="1"/>
  <c r="N4" i="56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M16" i="43" s="1"/>
  <c r="I25" i="43"/>
  <c r="P28" i="43" s="1"/>
  <c r="K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L20" i="48"/>
  <c r="M20" i="48" s="1"/>
  <c r="O20" i="48" s="1"/>
  <c r="P20" i="48" s="1"/>
  <c r="R20" i="48" s="1"/>
  <c r="J20" i="48"/>
  <c r="K20" i="53"/>
  <c r="L20" i="53"/>
  <c r="J20" i="53"/>
  <c r="K20" i="43"/>
  <c r="L20" i="43"/>
  <c r="J20" i="43"/>
  <c r="M20" i="43" s="1"/>
  <c r="O20" i="43" s="1"/>
  <c r="P20" i="43" s="1"/>
  <c r="R20" i="43" s="1"/>
  <c r="K20" i="57"/>
  <c r="J20" i="57"/>
  <c r="L20" i="57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J21" i="54"/>
  <c r="L21" i="54"/>
  <c r="K21" i="54"/>
  <c r="L21" i="44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J25" i="61" l="1"/>
  <c r="P29" i="61" s="1"/>
  <c r="M20" i="57"/>
  <c r="O20" i="57" s="1"/>
  <c r="P20" i="57" s="1"/>
  <c r="R20" i="57" s="1"/>
  <c r="M21" i="53"/>
  <c r="O21" i="53" s="1"/>
  <c r="P21" i="53" s="1"/>
  <c r="M20" i="53"/>
  <c r="O20" i="53" s="1"/>
  <c r="P20" i="53" s="1"/>
  <c r="R20" i="53" s="1"/>
  <c r="M21" i="51"/>
  <c r="M21" i="47"/>
  <c r="O21" i="47" s="1"/>
  <c r="P21" i="47" s="1"/>
  <c r="M20" i="47"/>
  <c r="O20" i="47" s="1"/>
  <c r="P20" i="47" s="1"/>
  <c r="R20" i="47" s="1"/>
  <c r="K12" i="62"/>
  <c r="M21" i="44"/>
  <c r="O21" i="44" s="1"/>
  <c r="P21" i="44" s="1"/>
  <c r="M20" i="46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O19" i="55" s="1"/>
  <c r="P19" i="55" s="1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 s="1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P31" i="51" s="1"/>
  <c r="P33" i="51" s="1"/>
  <c r="P34" i="51" s="1"/>
  <c r="P35" i="51" s="1"/>
  <c r="T12" i="62" s="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O20" i="45"/>
  <c r="P20" i="45" s="1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O25" i="52" l="1"/>
  <c r="P12" i="62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<sst xmlns="http://schemas.openxmlformats.org/spreadsheetml/2006/main" count="3948" uniqueCount="536">
  <si>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</si>
  <si>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</si>
  <si>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</si>
  <si>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</si>
  <si>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</si>
  <si>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</si>
  <si>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</si>
  <si>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</si>
  <si>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</si>
  <si>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</si>
  <si>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</si>
  <si>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</si>
  <si>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</si>
  <si>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</si>
  <si>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</si>
  <si>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</si>
  <si>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</si>
  <si>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</si>
  <si>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</si>
  <si>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</si>
  <si>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</si>
  <si>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</si>
  <si>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</si>
  <si>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</si>
  <si>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</si>
  <si>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</si>
  <si>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</si>
  <si>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</si>
  <si>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</si>
  <si>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</si>
  <si>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</si>
  <si>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</si>
  <si>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</si>
  <si>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</si>
  <si>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</si>
  <si>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</si>
  <si>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</si>
  <si>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</si>
  <si>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</si>
  <si>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</si>
  <si>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</si>
  <si>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</si>
  <si>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</si>
  <si>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</si>
  <si>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</si>
  <si>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</si>
  <si>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</si>
  <si>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</si>
  <si>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</si>
  <si>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</si>
  <si>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</si>
  <si>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</si>
  <si>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</si>
  <si>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</si>
  <si>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</si>
  <si>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</si>
  <si>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</si>
  <si>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</si>
  <si>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</si>
  <si>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</si>
  <si>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</si>
  <si>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</si>
  <si>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</si>
  <si>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</si>
  <si>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</si>
  <si>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</si>
  <si>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</si>
  <si>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</si>
  <si>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</si>
  <si>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</si>
  <si>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</si>
  <si>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</si>
  <si>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</si>
  <si>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</si>
  <si>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</si>
  <si>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</si>
  <si>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</si>
  <si>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</si>
  <si>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</si>
  <si>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</si>
  <si>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</si>
  <si>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</si>
  <si>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</si>
  <si>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</si>
  <si>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</si>
  <si>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</si>
  <si>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</si>
  <si>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</si>
  <si>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</si>
  <si>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</si>
  <si>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</si>
  <si>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</si>
  <si>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</si>
  <si>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</si>
  <si>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</si>
  <si>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</si>
  <si>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</si>
  <si>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</si>
  <si>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</si>
  <si>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</si>
  <si>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</si>
  <si>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</si>
  <si>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</si>
  <si>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</si>
  <si>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</si>
  <si>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</si>
  <si>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</si>
  <si>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</si>
  <si>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</si>
  <si>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</si>
  <si>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</si>
  <si>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</si>
  <si>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</si>
  <si>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</si>
  <si>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</si>
  <si>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</si>
  <si>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</si>
  <si>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</si>
  <si>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</si>
  <si>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</si>
  <si>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</si>
  <si>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</si>
  <si>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</si>
  <si>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</si>
  <si>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</si>
  <si>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</si>
  <si>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</si>
  <si>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</si>
  <si>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</si>
  <si>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</si>
  <si>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</si>
  <si>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</si>
  <si>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</si>
  <si>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</si>
  <si>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</si>
  <si>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</si>
  <si>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</si>
  <si>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</si>
  <si>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</si>
  <si>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</si>
  <si>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</si>
  <si>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</si>
  <si>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</si>
  <si>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</si>
  <si>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</si>
  <si>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</si>
  <si>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</si>
  <si>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</si>
  <si>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</si>
  <si>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</si>
  <si>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</si>
  <si>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</si>
  <si>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</si>
  <si>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</si>
  <si>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</si>
  <si>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</si>
  <si>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</si>
  <si>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</si>
  <si>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</si>
  <si>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</si>
  <si>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</si>
  <si>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</si>
  <si>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</si>
  <si>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</si>
  <si>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</si>
  <si>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</si>
  <si>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</si>
  <si>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</si>
  <si>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</si>
  <si>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</si>
  <si>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</si>
  <si>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</si>
  <si>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</si>
  <si>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</si>
  <si>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</si>
  <si>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</si>
  <si>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</si>
  <si>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</si>
  <si>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</si>
  <si>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</si>
  <si>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</si>
  <si>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</si>
  <si>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</si>
  <si>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</si>
  <si>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</si>
  <si>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</si>
  <si>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</si>
  <si>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</si>
  <si>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</si>
  <si>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</si>
  <si>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</si>
  <si>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</si>
  <si>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</si>
  <si>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</si>
  <si>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</si>
  <si>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</si>
  <si>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</si>
  <si>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</si>
  <si>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</si>
  <si>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</si>
  <si>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</si>
  <si>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</si>
  <si>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</si>
  <si>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</si>
  <si>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</si>
  <si>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</si>
  <si>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</si>
  <si>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</si>
  <si>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</si>
  <si>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</si>
  <si>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</si>
  <si>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</si>
  <si>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</si>
  <si>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</si>
  <si>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</si>
  <si>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</si>
  <si>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</si>
  <si>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</si>
  <si>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</si>
  <si>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</si>
  <si>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</si>
  <si>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</si>
  <si>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</si>
  <si>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</si>
  <si>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</si>
  <si>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</si>
  <si>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</si>
  <si>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</si>
  <si>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</si>
  <si>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</si>
  <si>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</si>
  <si>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</si>
  <si>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</si>
  <si>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</si>
  <si>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</si>
  <si>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</si>
  <si>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</si>
  <si>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</si>
  <si>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</si>
  <si>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</si>
  <si>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</si>
  <si>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</si>
  <si>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</si>
  <si>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</si>
  <si>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</si>
  <si>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</si>
  <si>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</si>
  <si>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</si>
  <si>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</si>
  <si>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</si>
  <si>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</si>
  <si>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</si>
  <si>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</si>
  <si>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</si>
  <si>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</si>
  <si>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</si>
  <si>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</si>
  <si>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</si>
  <si>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</si>
  <si>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</si>
  <si>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</si>
  <si>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</si>
  <si>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</si>
  <si>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</si>
  <si>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</si>
  <si>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</si>
  <si>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</si>
  <si>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</si>
  <si>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</si>
  <si>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</si>
  <si>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</si>
  <si>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</si>
  <si>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</si>
  <si>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</si>
  <si>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</si>
  <si>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</si>
  <si>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</si>
  <si>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</si>
  <si>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</si>
  <si>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</si>
  <si>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</si>
  <si>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</si>
  <si>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</si>
  <si>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</si>
  <si>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</si>
  <si>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</si>
  <si>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</si>
  <si>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</si>
  <si>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</si>
  <si>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</si>
  <si>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</si>
  <si>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</si>
  <si>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</si>
  <si>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</si>
  <si>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</si>
  <si>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</si>
  <si>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</si>
  <si>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</si>
  <si>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</si>
  <si>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</si>
  <si>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</si>
  <si>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</si>
  <si>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</si>
  <si>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</si>
  <si>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</si>
  <si>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</si>
  <si>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</si>
  <si>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</si>
  <si>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</si>
  <si>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</si>
  <si>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</si>
  <si>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</si>
  <si>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</si>
  <si>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</si>
  <si>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</si>
  <si>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</si>
  <si>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</si>
  <si>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</si>
  <si>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</si>
  <si>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</si>
  <si>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</si>
  <si>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</si>
  <si>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</si>
  <si>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</si>
  <si>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</si>
  <si>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</si>
  <si>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</si>
  <si>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</si>
  <si>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</si>
  <si>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</si>
  <si>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</si>
  <si>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</si>
  <si>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</si>
  <si>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</si>
  <si>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</si>
  <si>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</si>
  <si>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</si>
  <si>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</si>
  <si>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</si>
  <si>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</si>
  <si>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</si>
  <si>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</si>
  <si>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</si>
  <si>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</si>
  <si>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</si>
  <si>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</si>
  <si>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</si>
  <si>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</si>
  <si>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</si>
  <si>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</si>
  <si>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</si>
  <si>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</si>
  <si>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</si>
  <si>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</si>
  <si>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</si>
  <si>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</si>
  <si>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</si>
  <si>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</si>
  <si>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</si>
  <si>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</si>
  <si>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</si>
  <si>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</si>
  <si>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</si>
  <si>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</si>
  <si>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</si>
  <si>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</si>
  <si>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</si>
  <si>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</si>
  <si>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</si>
  <si>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</si>
  <si>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</si>
  <si>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</si>
  <si>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</si>
  <si>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</si>
  <si>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</si>
  <si>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</si>
  <si>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</si>
  <si>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</si>
  <si>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</si>
  <si>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</si>
  <si>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</si>
  <si>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</si>
  <si>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</si>
  <si>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</si>
  <si>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</si>
  <si>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</si>
  <si>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</si>
  <si>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</si>
  <si>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</si>
  <si>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</si>
  <si>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</si>
  <si>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</si>
  <si>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</si>
  <si>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</si>
  <si>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</si>
  <si>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</si>
  <si>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</si>
  <si>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</si>
  <si>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</si>
  <si>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</si>
  <si>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</si>
  <si>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</si>
  <si>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</si>
  <si>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</si>
  <si>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</si>
  <si>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</si>
  <si>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</si>
  <si>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</si>
  <si>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</si>
  <si>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</si>
  <si>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</si>
  <si>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</si>
  <si>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</si>
  <si>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</si>
  <si>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</si>
  <si>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</si>
  <si>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</si>
  <si>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</si>
  <si>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</si>
  <si>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</si>
  <si>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</si>
  <si>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</si>
  <si>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</si>
  <si>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</si>
  <si>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</si>
  <si>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</si>
  <si>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</si>
  <si>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</si>
  <si>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</si>
  <si>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</si>
  <si>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</si>
  <si>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</si>
  <si>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</si>
  <si>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</si>
  <si>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</si>
  <si>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</si>
  <si>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</si>
  <si>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</si>
  <si>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</si>
  <si>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</si>
  <si>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</si>
  <si>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</si>
  <si>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</si>
  <si>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</si>
  <si>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</si>
  <si>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</si>
  <si>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</si>
  <si>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</si>
  <si>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</si>
  <si>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</si>
  <si>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</si>
  <si>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</si>
  <si>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</si>
  <si>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</si>
  <si>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</si>
  <si>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</si>
  <si>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</si>
  <si>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</si>
  <si>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</si>
  <si>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</si>
  <si>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</si>
  <si>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</si>
  <si>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</si>
  <si>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</si>
  <si>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</si>
  <si>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</si>
  <si>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</si>
  <si>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</si>
  <si>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</si>
  <si>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</si>
  <si>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</si>
  <si>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</si>
  <si>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</si>
  <si>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</si>
  <si>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</si>
  <si>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</si>
  <si>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</si>
  <si>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</si>
  <si>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</si>
  <si>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</si>
  <si>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</si>
  <si>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</si>
  <si>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</si>
  <si>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</si>
  <si>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</si>
  <si>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</si>
  <si>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</si>
  <si>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</si>
  <si>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</si>
  <si>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</si>
  <si>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</si>
  <si>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</si>
  <si>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</si>
  <si>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</si>
  <si>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</si>
  <si>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</si>
  <si>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</si>
  <si>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</si>
  <si>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</si>
  <si>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</si>
  <si>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</si>
  <si>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</si>
  <si>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</si>
  <si>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</si>
  <si>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</si>
  <si>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</si>
  <si>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</si>
  <si>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</si>
  <si>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</si>
  <si>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</si>
  <si>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</si>
  <si>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</si>
  <si>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</si>
  <si>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 xml:space="preserve">Salman </t>
  </si>
  <si>
    <t xml:space="preserve">Address: Upper Mall </t>
  </si>
  <si>
    <t>Basic Store</t>
  </si>
  <si>
    <t>Al Madina Store</t>
  </si>
  <si>
    <t>Tanveer Store</t>
  </si>
  <si>
    <t>Naaz Store</t>
  </si>
  <si>
    <t>Bilawal Store</t>
  </si>
  <si>
    <t>Qadri Store</t>
  </si>
  <si>
    <t xml:space="preserve">Haq Ali </t>
  </si>
  <si>
    <t>Sohail GS</t>
  </si>
  <si>
    <t>Ali Store</t>
  </si>
  <si>
    <t>Usman Store</t>
  </si>
  <si>
    <t>Junaid Store</t>
  </si>
  <si>
    <t>Lala Nazeer Store</t>
  </si>
  <si>
    <t>Billah Store</t>
  </si>
  <si>
    <t>Jamshaid Store</t>
  </si>
  <si>
    <t>Sheikh Store</t>
  </si>
  <si>
    <t>Anware Madina Store</t>
  </si>
  <si>
    <t>Munnah Store</t>
  </si>
  <si>
    <t>Qasim Store</t>
  </si>
  <si>
    <t>Hanan Store</t>
  </si>
  <si>
    <t>Basit Store</t>
  </si>
  <si>
    <t xml:space="preserve">Address: Basti Sadan Shah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</si>
</sst>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workbookViewId="0">
      <selection activeCell="E40" sqref="E4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3" t="s">
        <v>91</v>
      </c>
      <c r="B2" s="393"/>
      <c r="C2" s="393"/>
      <c r="E2" s="385" t="s">
        <v>498</v>
      </c>
      <c r="F2" s="386"/>
      <c r="G2" s="386"/>
      <c r="H2" s="383" t="s">
        <v>513</v>
      </c>
      <c r="I2" s="383"/>
      <c r="J2" s="384"/>
      <c r="R2" s="380" t="s">
        <v>497</v>
      </c>
      <c r="S2" s="381"/>
      <c r="T2" s="382"/>
    </row>
    <row r="3" spans="1:20 16377:16378" ht="21.75" customHeight="1" thickBot="1" x14ac:dyDescent="0.4">
      <c r="A3" s="394" t="s">
        <v>92</v>
      </c>
      <c r="B3" s="394"/>
      <c r="C3" s="394"/>
      <c r="E3" s="389" t="s">
        <v>508</v>
      </c>
      <c r="F3" s="390"/>
      <c r="G3" s="390"/>
      <c r="H3" s="387">
        <v>46284</v>
      </c>
      <c r="I3" s="387"/>
      <c r="J3" s="388"/>
      <c r="K3" s="395" t="s">
        <v>43</v>
      </c>
      <c r="L3" s="395"/>
      <c r="M3" s="395"/>
      <c r="N3" s="394"/>
      <c r="O3" s="394"/>
      <c r="P3" s="394"/>
      <c r="R3" s="299">
        <v>1</v>
      </c>
      <c r="S3" s="300" t="str">
        <f>+'1'!A6:A6</f>
        <v>Basic Store</v>
      </c>
      <c r="T3" s="301">
        <f>+'1'!P35</f>
        <v>1881.7269510508474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>Al Madina Store</v>
      </c>
      <c r="T4" s="301">
        <f>+'2'!P35</f>
        <v>9145.8232352542364</v>
      </c>
      <c r="XEX4" t="s">
        <v>105</v>
      </c>
    </row>
    <row r="5" spans="1:20 16377:16378" ht="21.75" customHeight="1" thickBot="1" x14ac:dyDescent="0.4">
      <c r="A5" s="345" t="s">
        <v>51</v>
      </c>
      <c r="B5" s="346"/>
      <c r="C5" s="349" t="s">
        <v>90</v>
      </c>
      <c r="D5" s="115" t="s">
        <v>52</v>
      </c>
      <c r="E5" s="351" t="s">
        <v>58</v>
      </c>
      <c r="F5" s="352"/>
      <c r="G5" s="353" t="s">
        <v>54</v>
      </c>
      <c r="H5" s="354"/>
      <c r="I5" s="355" t="s">
        <v>77</v>
      </c>
      <c r="J5" s="392" t="s">
        <v>55</v>
      </c>
      <c r="K5" s="353"/>
      <c r="L5" s="354"/>
      <c r="M5" s="346" t="s">
        <v>84</v>
      </c>
      <c r="N5" s="391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>Tanveer Store</v>
      </c>
      <c r="T5" s="301">
        <f>+'3'!P35</f>
        <v>3136.2115850847458</v>
      </c>
      <c r="XEX5" t="s">
        <v>106</v>
      </c>
    </row>
    <row r="6" spans="1:20 16377:16378" ht="21.75" customHeight="1" thickBot="1" x14ac:dyDescent="0.4">
      <c r="A6" s="347"/>
      <c r="B6" s="348"/>
      <c r="C6" s="350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6"/>
      <c r="J6" s="143" t="s">
        <v>59</v>
      </c>
      <c r="K6" s="144" t="s">
        <v>39</v>
      </c>
      <c r="L6" s="145" t="s">
        <v>493</v>
      </c>
      <c r="M6" s="348"/>
      <c r="N6" s="356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>Naaz Store</v>
      </c>
      <c r="T6" s="301">
        <f>+'4'!P35</f>
        <v>392.02644813559328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0</v>
      </c>
      <c r="I7" s="235">
        <f>(G7*D7)*F7+H7*F7</f>
        <v>0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0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0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0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0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0</v>
      </c>
      <c r="P7" s="310">
        <f>M7+N7+O7</f>
        <v>0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3">
        <v>5</v>
      </c>
      <c r="S7" s="300" t="str">
        <f>+'5'!A6:A6</f>
        <v>Bilawal Store</v>
      </c>
      <c r="T7" s="301">
        <f>+'5'!P35</f>
        <v>392.02644813559328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0</v>
      </c>
      <c r="I8" s="236">
        <f t="shared" ref="I8:I14" si="0">(G8*D8)*F8+H8*F8</f>
        <v>0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0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0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0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0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0</v>
      </c>
      <c r="P8" s="311">
        <f t="shared" ref="P8:P15" si="2">M8+N8+O8</f>
        <v>0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3">
        <v>6</v>
      </c>
      <c r="S8" s="300" t="str">
        <f>+'6'!A6:A6</f>
        <v>Qadri Store</v>
      </c>
      <c r="T8" s="301">
        <f>+'6'!P35</f>
        <v>392.02644813559328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311">
        <f t="shared" si="2"/>
        <v>0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3">
        <v>7</v>
      </c>
      <c r="S9" s="300" t="str">
        <f>+'7'!A6:A6</f>
        <v xml:space="preserve">Haq Ali </v>
      </c>
      <c r="T9" s="301">
        <f>+'7'!P35</f>
        <v>392.02644813559328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83</v>
      </c>
      <c r="I10" s="236">
        <f t="shared" si="0"/>
        <v>6029.12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569.49760000000026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211.01919999999996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5248.6031999999996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1139.4915254237285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31.940473627118635</v>
      </c>
      <c r="P10" s="311">
        <f t="shared" si="2"/>
        <v>6420.035199050847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3">
        <v>8</v>
      </c>
      <c r="S10" s="300" t="str">
        <f>+'8'!A6:A6</f>
        <v>Sohail GS</v>
      </c>
      <c r="T10" s="301">
        <f>+'8'!P35</f>
        <v>392.02644813559323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82</v>
      </c>
      <c r="I11" s="236">
        <f t="shared" si="0"/>
        <v>5956.4800000000005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563.68639999999994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208.47679999999994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5184.3168000000005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1125.7627118644068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31.550397559322029</v>
      </c>
      <c r="P11" s="311">
        <f t="shared" si="2"/>
        <v>6341.6299094237293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3">
        <v>9</v>
      </c>
      <c r="S11" s="300" t="str">
        <f>+'9'!A6:A6</f>
        <v>Ali Store</v>
      </c>
      <c r="T11" s="301">
        <f>+'9'!P35</f>
        <v>392.02644813559323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99</v>
      </c>
      <c r="I12" s="236">
        <f t="shared" si="0"/>
        <v>7191.36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662.47679999999957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251.69759999999999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6277.1855999999998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1359.1525423728815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38.181690711864405</v>
      </c>
      <c r="P12" s="311">
        <f t="shared" si="2"/>
        <v>7674.5198330847461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3">
        <v>10</v>
      </c>
      <c r="S12" s="300" t="str">
        <f>+'10'!A6:A6</f>
        <v>Usman Store</v>
      </c>
      <c r="T12" s="301">
        <f>+'10'!P35</f>
        <v>392.02644813559328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Junaid Store</v>
      </c>
      <c r="T13" s="301">
        <f>+'11'!P35</f>
        <v>392.02644813559328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Lala Nazeer Store</v>
      </c>
      <c r="T14" s="301">
        <f>+'12'!P35</f>
        <v>392.02644813559328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Billah Store</v>
      </c>
      <c r="T15" s="301">
        <f>+'13'!P35</f>
        <v>392.02644813559323</v>
      </c>
    </row>
    <row r="16" spans="1:20 16377:16378" ht="21.75" customHeight="1" thickBot="1" x14ac:dyDescent="0.4">
      <c r="A16" s="396">
        <f>COUNT(A7:A15)</f>
        <v>0</v>
      </c>
      <c r="B16" s="357"/>
      <c r="C16" s="357" t="s">
        <v>40</v>
      </c>
      <c r="D16" s="357"/>
      <c r="E16" s="357"/>
      <c r="F16" s="358"/>
      <c r="G16" s="117">
        <f>H16/40</f>
        <v>6.6</v>
      </c>
      <c r="H16" s="113">
        <f t="shared" ref="H16:M16" si="3">SUM(H7:H15)</f>
        <v>264</v>
      </c>
      <c r="I16" s="114">
        <f t="shared" si="3"/>
        <v>19176.96</v>
      </c>
      <c r="J16" s="274">
        <f>SUM(J7:J15)</f>
        <v>1795.6607999999997</v>
      </c>
      <c r="K16" s="275">
        <f t="shared" si="3"/>
        <v>671.19359999999983</v>
      </c>
      <c r="L16" s="276">
        <f t="shared" si="3"/>
        <v>0</v>
      </c>
      <c r="M16" s="232">
        <f t="shared" si="3"/>
        <v>16710.105599999999</v>
      </c>
      <c r="N16" s="233">
        <f>SUM(N7:N15)</f>
        <v>3624.406779661017</v>
      </c>
      <c r="O16" s="101">
        <f>SUM(O7:O15)</f>
        <v>101.67256189830508</v>
      </c>
      <c r="P16" s="113">
        <f>SUM(P7:P15)</f>
        <v>20436.184941559321</v>
      </c>
      <c r="Q16" s="128">
        <f>SUM(Q7:Q15)</f>
        <v>0</v>
      </c>
      <c r="R16" s="313">
        <v>14</v>
      </c>
      <c r="S16" s="315" t="str">
        <f>+'14'!A6:A6</f>
        <v>Jamshaid Store</v>
      </c>
      <c r="T16" s="301">
        <f>+'14'!P35</f>
        <v>392.02644813559328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Sheikh Store</v>
      </c>
      <c r="T17" s="301">
        <f>+'15'!P35</f>
        <v>392.02644813559328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Anware Madina Store</v>
      </c>
      <c r="T18" s="301">
        <f>+'16'!P35</f>
        <v>392.02644813559328</v>
      </c>
    </row>
    <row r="19" spans="1:20" ht="21.75" customHeight="1" x14ac:dyDescent="0.35">
      <c r="B19" s="359" t="s">
        <v>64</v>
      </c>
      <c r="C19" s="360"/>
      <c r="D19" s="360"/>
      <c r="E19" s="360"/>
      <c r="F19" s="360"/>
      <c r="G19" s="360"/>
      <c r="H19" s="360"/>
      <c r="I19" s="360"/>
      <c r="J19" s="360"/>
      <c r="K19" s="360"/>
      <c r="L19" s="361"/>
      <c r="N19" s="368" t="s">
        <v>60</v>
      </c>
      <c r="O19" s="369"/>
      <c r="P19" s="139">
        <f>I16</f>
        <v>19176.96</v>
      </c>
      <c r="R19" s="299">
        <v>17</v>
      </c>
      <c r="S19" s="300" t="str">
        <f>+'17'!A6:A6</f>
        <v>Munnah Store</v>
      </c>
      <c r="T19" s="301">
        <f>+'17'!P35</f>
        <v>313.62115850847459</v>
      </c>
    </row>
    <row r="20" spans="1:20" ht="21.75" customHeight="1" x14ac:dyDescent="0.35">
      <c r="B20" s="362"/>
      <c r="C20" s="363"/>
      <c r="D20" s="363"/>
      <c r="E20" s="363"/>
      <c r="F20" s="363"/>
      <c r="G20" s="363"/>
      <c r="H20" s="363"/>
      <c r="I20" s="363"/>
      <c r="J20" s="363"/>
      <c r="K20" s="363"/>
      <c r="L20" s="364"/>
      <c r="N20" s="370" t="s">
        <v>85</v>
      </c>
      <c r="O20" s="371"/>
      <c r="P20" s="140">
        <f>+J16</f>
        <v>1795.6607999999997</v>
      </c>
      <c r="R20" s="299">
        <v>18</v>
      </c>
      <c r="S20" s="300" t="str">
        <f>+'18'!A6:A6</f>
        <v>Qasim Store</v>
      </c>
      <c r="T20" s="301">
        <f>+'18'!P35</f>
        <v>313.62115850847459</v>
      </c>
    </row>
    <row r="21" spans="1:20" ht="21.75" customHeight="1" x14ac:dyDescent="0.35">
      <c r="B21" s="362"/>
      <c r="C21" s="363"/>
      <c r="D21" s="363"/>
      <c r="E21" s="363"/>
      <c r="F21" s="363"/>
      <c r="G21" s="363"/>
      <c r="H21" s="363"/>
      <c r="I21" s="363"/>
      <c r="J21" s="363"/>
      <c r="K21" s="363"/>
      <c r="L21" s="364"/>
      <c r="N21" s="370" t="s">
        <v>86</v>
      </c>
      <c r="O21" s="371"/>
      <c r="P21" s="140">
        <f>+K16+L16</f>
        <v>671.19359999999983</v>
      </c>
      <c r="R21" s="299">
        <v>19</v>
      </c>
      <c r="S21" s="300" t="str">
        <f>+'19'!A6:A6</f>
        <v>Hanan Store</v>
      </c>
      <c r="T21" s="301">
        <f>+'19'!P35</f>
        <v>235.21586888135593</v>
      </c>
    </row>
    <row r="22" spans="1:20" ht="21.75" customHeight="1" x14ac:dyDescent="0.35">
      <c r="B22" s="362"/>
      <c r="C22" s="363"/>
      <c r="D22" s="363"/>
      <c r="E22" s="363"/>
      <c r="F22" s="363"/>
      <c r="G22" s="363"/>
      <c r="H22" s="363"/>
      <c r="I22" s="363"/>
      <c r="J22" s="363"/>
      <c r="K22" s="363"/>
      <c r="L22" s="364"/>
      <c r="M22" s="131"/>
      <c r="N22" s="370" t="s">
        <v>87</v>
      </c>
      <c r="O22" s="371"/>
      <c r="P22" s="140">
        <f>P19-P20-P21</f>
        <v>16710.105600000003</v>
      </c>
      <c r="R22" s="299">
        <v>20</v>
      </c>
      <c r="S22" s="300" t="str">
        <f>+'20'!A6:A6</f>
        <v>Basit Store</v>
      </c>
      <c r="T22" s="301">
        <f>+'20'!P35</f>
        <v>313.62115850847459</v>
      </c>
    </row>
    <row r="23" spans="1:20" ht="21.75" customHeight="1" x14ac:dyDescent="0.35">
      <c r="B23" s="362"/>
      <c r="C23" s="363"/>
      <c r="D23" s="363"/>
      <c r="E23" s="363"/>
      <c r="F23" s="363"/>
      <c r="G23" s="363"/>
      <c r="H23" s="363"/>
      <c r="I23" s="363"/>
      <c r="J23" s="363"/>
      <c r="K23" s="363"/>
      <c r="L23" s="364"/>
      <c r="M23" s="131"/>
      <c r="N23" s="136" t="s">
        <v>61</v>
      </c>
      <c r="O23" s="133">
        <v>0.18</v>
      </c>
      <c r="P23" s="140">
        <f>+N16</f>
        <v>3624.406779661017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62"/>
      <c r="C24" s="363"/>
      <c r="D24" s="363"/>
      <c r="E24" s="363"/>
      <c r="F24" s="363"/>
      <c r="G24" s="363"/>
      <c r="H24" s="363"/>
      <c r="I24" s="363"/>
      <c r="J24" s="363"/>
      <c r="K24" s="363"/>
      <c r="L24" s="364"/>
      <c r="M24" s="131"/>
      <c r="N24" s="372" t="s">
        <v>76</v>
      </c>
      <c r="O24" s="373"/>
      <c r="P24" s="140">
        <f>P22+P23</f>
        <v>20334.512379661021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65"/>
      <c r="C25" s="366"/>
      <c r="D25" s="366"/>
      <c r="E25" s="366"/>
      <c r="F25" s="366"/>
      <c r="G25" s="366"/>
      <c r="H25" s="366"/>
      <c r="I25" s="366"/>
      <c r="J25" s="366"/>
      <c r="K25" s="366"/>
      <c r="L25" s="367"/>
      <c r="M25" s="99"/>
      <c r="N25" s="138" t="s">
        <v>83</v>
      </c>
      <c r="O25" s="137" t="e">
        <f>IF(#REF!="Filer",0.5%,2.5%)</f>
        <v>#REF!</v>
      </c>
      <c r="P25" s="140">
        <f>+O16</f>
        <v>101.67256189830508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74" t="s">
        <v>88</v>
      </c>
      <c r="O26" s="375"/>
      <c r="P26" s="297">
        <f>+P24+P25</f>
        <v>20436.184941559324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6"/>
      <c r="D27" s="376"/>
      <c r="E27" s="376"/>
      <c r="F27" s="376"/>
      <c r="G27" s="376"/>
      <c r="H27" s="376"/>
      <c r="I27" s="377"/>
      <c r="J27" s="378"/>
      <c r="K27" s="379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20436.18494155931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20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Summary!H3</f>
        <v>46284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46283</v>
      </c>
      <c r="O5" s="394"/>
      <c r="P5" s="394"/>
      <c r="R5" s="85"/>
      <c r="S5" s="266"/>
    </row>
    <row r="6" spans="1:22 16383:16384" ht="17.25" customHeight="1" x14ac:dyDescent="0.4">
      <c r="A6" s="400" t="s">
        <v>515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Salman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8</v>
      </c>
      <c r="I19" s="236">
        <f t="shared" si="7"/>
        <v>581.12</v>
      </c>
      <c r="J19" s="272">
        <f t="shared" si="1"/>
        <v>46.489600000000003</v>
      </c>
      <c r="K19" s="128">
        <f t="shared" si="1"/>
        <v>20.339200000000002</v>
      </c>
      <c r="L19" s="119">
        <f t="shared" si="1"/>
        <v>0</v>
      </c>
      <c r="M19" s="230">
        <f t="shared" si="2"/>
        <v>514.2912</v>
      </c>
      <c r="N19" s="277">
        <f t="shared" si="3"/>
        <v>109.83050847457628</v>
      </c>
      <c r="O19" s="239">
        <f t="shared" si="4"/>
        <v>3.1206085423728815</v>
      </c>
      <c r="P19" s="119">
        <f t="shared" si="5"/>
        <v>627.24231701694919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8</v>
      </c>
      <c r="I20" s="236">
        <f t="shared" si="7"/>
        <v>581.12</v>
      </c>
      <c r="J20" s="272">
        <f t="shared" si="1"/>
        <v>46.489600000000003</v>
      </c>
      <c r="K20" s="128">
        <f t="shared" si="1"/>
        <v>20.339200000000002</v>
      </c>
      <c r="L20" s="119">
        <f t="shared" si="1"/>
        <v>0</v>
      </c>
      <c r="M20" s="230">
        <f t="shared" si="2"/>
        <v>514.2912</v>
      </c>
      <c r="N20" s="277">
        <f t="shared" si="3"/>
        <v>109.83050847457628</v>
      </c>
      <c r="O20" s="239">
        <f t="shared" si="4"/>
        <v>3.1206085423728815</v>
      </c>
      <c r="P20" s="119">
        <f t="shared" si="5"/>
        <v>627.24231701694919</v>
      </c>
      <c r="Q20" s="319"/>
      <c r="R20">
        <f>P20/21</f>
        <v>29.868681762711866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8</v>
      </c>
      <c r="I21" s="236">
        <f t="shared" si="7"/>
        <v>581.12</v>
      </c>
      <c r="J21" s="272">
        <f t="shared" si="1"/>
        <v>46.489600000000003</v>
      </c>
      <c r="K21" s="128">
        <f t="shared" si="1"/>
        <v>20.339200000000002</v>
      </c>
      <c r="L21" s="119">
        <f t="shared" si="1"/>
        <v>0</v>
      </c>
      <c r="M21" s="230">
        <f t="shared" si="2"/>
        <v>514.2912</v>
      </c>
      <c r="N21" s="277">
        <f t="shared" si="3"/>
        <v>109.83050847457628</v>
      </c>
      <c r="O21" s="239">
        <f t="shared" si="4"/>
        <v>3.1206085423728815</v>
      </c>
      <c r="P21" s="119">
        <f t="shared" si="5"/>
        <v>627.24231701694919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" si="8">SUM(G16:G24)</f>
        <v>0</v>
      </c>
      <c r="H25" s="113">
        <f t="shared" ref="H25" si="9">SUM(H16:H24)</f>
        <v>24</v>
      </c>
      <c r="I25" s="114">
        <f t="shared" ref="I25:M25" si="10">SUM(I16:I24)</f>
        <v>1743.3600000000001</v>
      </c>
      <c r="J25" s="274">
        <f>SUM(J16:J24)</f>
        <v>139.46880000000002</v>
      </c>
      <c r="K25" s="275">
        <f t="shared" si="10"/>
        <v>61.017600000000002</v>
      </c>
      <c r="L25" s="276">
        <f t="shared" si="10"/>
        <v>0</v>
      </c>
      <c r="M25" s="232">
        <f t="shared" si="10"/>
        <v>1542.8735999999999</v>
      </c>
      <c r="N25" s="233">
        <f>SUM(N16:N24)</f>
        <v>329.49152542372883</v>
      </c>
      <c r="O25" s="101">
        <f>SUM(O16:O24)</f>
        <v>9.3618256271186446</v>
      </c>
      <c r="P25" s="234">
        <f>SUM(P16:P24)</f>
        <v>1881.7269510508477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1743.3600000000001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139.46880000000002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61.017600000000002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1542.8736000000001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329.49152542372883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1872.3651254237288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9.3618256271186446</v>
      </c>
    </row>
    <row r="35" spans="2:16" ht="15.75" customHeight="1" thickBot="1" x14ac:dyDescent="0.4">
      <c r="N35" s="374" t="s">
        <v>88</v>
      </c>
      <c r="O35" s="375"/>
      <c r="P35" s="297">
        <f>+P33+P34</f>
        <v>1881.7269510508474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46283</v>
      </c>
      <c r="O5" s="394"/>
      <c r="P5" s="394"/>
      <c r="R5" s="85"/>
      <c r="S5" s="266"/>
    </row>
    <row r="6" spans="1:22 16383:16384" ht="15" customHeight="1" x14ac:dyDescent="0.4">
      <c r="A6" s="400" t="s">
        <v>516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Salman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319.61599999999999</v>
      </c>
      <c r="K19" s="128">
        <f t="shared" si="1"/>
        <v>101.69600000000001</v>
      </c>
      <c r="L19" s="119">
        <f t="shared" si="1"/>
        <v>0</v>
      </c>
      <c r="M19" s="230">
        <f t="shared" si="2"/>
        <v>2484.288</v>
      </c>
      <c r="N19" s="277">
        <f t="shared" si="3"/>
        <v>549.15254237288138</v>
      </c>
      <c r="O19" s="239">
        <f t="shared" si="4"/>
        <v>15.167202711864407</v>
      </c>
      <c r="P19" s="119">
        <f t="shared" si="5"/>
        <v>3048.6077450847456</v>
      </c>
      <c r="Q19" s="319"/>
      <c r="S19" s="269">
        <f>+S18</f>
        <v>0.11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319.61599999999999</v>
      </c>
      <c r="K20" s="128">
        <f t="shared" si="1"/>
        <v>101.69600000000001</v>
      </c>
      <c r="L20" s="119">
        <f t="shared" si="1"/>
        <v>0</v>
      </c>
      <c r="M20" s="230">
        <f t="shared" si="2"/>
        <v>2484.288</v>
      </c>
      <c r="N20" s="277">
        <f t="shared" si="3"/>
        <v>549.15254237288138</v>
      </c>
      <c r="O20" s="239">
        <f t="shared" si="4"/>
        <v>15.167202711864407</v>
      </c>
      <c r="P20" s="119">
        <f t="shared" si="5"/>
        <v>3048.6077450847456</v>
      </c>
      <c r="Q20" s="319"/>
      <c r="R20">
        <f>P20/21</f>
        <v>145.17179738498788</v>
      </c>
      <c r="S20" s="269">
        <f>+S19</f>
        <v>0.11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319.61599999999999</v>
      </c>
      <c r="K21" s="128">
        <f t="shared" si="1"/>
        <v>101.69600000000001</v>
      </c>
      <c r="L21" s="119">
        <f t="shared" si="1"/>
        <v>0</v>
      </c>
      <c r="M21" s="230">
        <f t="shared" si="2"/>
        <v>2484.288</v>
      </c>
      <c r="N21" s="277">
        <f t="shared" si="3"/>
        <v>549.15254237288138</v>
      </c>
      <c r="O21" s="239">
        <f t="shared" si="4"/>
        <v>15.167202711864407</v>
      </c>
      <c r="P21" s="119">
        <f t="shared" si="5"/>
        <v>3048.6077450847456</v>
      </c>
      <c r="Q21" s="319"/>
      <c r="S21" s="269">
        <f>+S20</f>
        <v>0.11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120</v>
      </c>
      <c r="I25" s="114">
        <f t="shared" si="7"/>
        <v>8716.7999999999993</v>
      </c>
      <c r="J25" s="274">
        <f>SUM(J16:J24)</f>
        <v>958.84799999999996</v>
      </c>
      <c r="K25" s="275">
        <f t="shared" si="7"/>
        <v>305.08800000000002</v>
      </c>
      <c r="L25" s="276">
        <f t="shared" si="7"/>
        <v>0</v>
      </c>
      <c r="M25" s="232">
        <f t="shared" si="7"/>
        <v>7452.8639999999996</v>
      </c>
      <c r="N25" s="233">
        <f>SUM(N16:N24)</f>
        <v>1647.4576271186443</v>
      </c>
      <c r="O25" s="101">
        <f>SUM(O16:O24)</f>
        <v>45.501608135593223</v>
      </c>
      <c r="P25" s="234">
        <f>SUM(P16:P24)</f>
        <v>9145.8232352542364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8716.7999999999993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958.84799999999996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305.08800000000002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7452.8639999999996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1647.4576271186443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9100.3216271186429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45.501608135593216</v>
      </c>
    </row>
    <row r="35" spans="2:16" ht="15.75" customHeight="1" thickBot="1" x14ac:dyDescent="0.4">
      <c r="N35" s="374" t="s">
        <v>88</v>
      </c>
      <c r="O35" s="375"/>
      <c r="P35" s="297">
        <f>+P33+P34</f>
        <v>9145.8232352542364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46283</v>
      </c>
      <c r="O5" s="394"/>
      <c r="P5" s="394"/>
      <c r="R5" s="85"/>
      <c r="S5" s="266"/>
    </row>
    <row r="6" spans="1:22 16383:16384" ht="18.75" customHeight="1" x14ac:dyDescent="0.4">
      <c r="A6" s="400" t="s">
        <v>517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Salman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15</v>
      </c>
      <c r="I20" s="236">
        <f t="shared" si="0"/>
        <v>1089.5999999999999</v>
      </c>
      <c r="J20" s="272">
        <f t="shared" si="1"/>
        <v>87.167999999999992</v>
      </c>
      <c r="K20" s="128">
        <f t="shared" si="1"/>
        <v>38.136000000000003</v>
      </c>
      <c r="L20" s="119">
        <f t="shared" si="1"/>
        <v>0</v>
      </c>
      <c r="M20" s="230">
        <f t="shared" si="2"/>
        <v>964.29599999999994</v>
      </c>
      <c r="N20" s="277">
        <f t="shared" si="3"/>
        <v>205.93220338983053</v>
      </c>
      <c r="O20" s="239">
        <f t="shared" si="4"/>
        <v>5.8511410169491525</v>
      </c>
      <c r="P20" s="119">
        <f t="shared" si="5"/>
        <v>1176.0793444067797</v>
      </c>
      <c r="Q20" s="319"/>
      <c r="R20">
        <f>P20/21</f>
        <v>56.003778305084744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25</v>
      </c>
      <c r="I21" s="236">
        <f t="shared" si="0"/>
        <v>1816</v>
      </c>
      <c r="J21" s="272">
        <f t="shared" si="1"/>
        <v>145.28</v>
      </c>
      <c r="K21" s="128">
        <f t="shared" si="1"/>
        <v>63.560000000000009</v>
      </c>
      <c r="L21" s="119">
        <f t="shared" si="1"/>
        <v>0</v>
      </c>
      <c r="M21" s="230">
        <f t="shared" si="2"/>
        <v>1607.16</v>
      </c>
      <c r="N21" s="277">
        <f t="shared" si="3"/>
        <v>343.22033898305085</v>
      </c>
      <c r="O21" s="239">
        <f t="shared" si="4"/>
        <v>9.7519016949152544</v>
      </c>
      <c r="P21" s="119">
        <f t="shared" si="5"/>
        <v>1960.1322406779661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232.44799999999998</v>
      </c>
      <c r="K25" s="275">
        <f t="shared" si="7"/>
        <v>101.69600000000001</v>
      </c>
      <c r="L25" s="276">
        <f t="shared" si="7"/>
        <v>0</v>
      </c>
      <c r="M25" s="232">
        <f t="shared" si="7"/>
        <v>2571.4560000000001</v>
      </c>
      <c r="N25" s="233">
        <f>SUM(N16:N24)</f>
        <v>549.15254237288138</v>
      </c>
      <c r="O25" s="101">
        <f>SUM(O16:O24)</f>
        <v>15.603042711864408</v>
      </c>
      <c r="P25" s="234">
        <f>SUM(P16:P24)</f>
        <v>3136.2115850847458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2905.6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232.44799999999998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101.69600000000001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2571.4560000000001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3120.6085423728814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74" t="s">
        <v>88</v>
      </c>
      <c r="O35" s="375"/>
      <c r="P35" s="297">
        <f>+P33+P34</f>
        <v>3136.2115850847458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46283</v>
      </c>
      <c r="O5" s="394"/>
      <c r="P5" s="394"/>
      <c r="R5" s="85"/>
      <c r="S5" s="266"/>
    </row>
    <row r="6" spans="1:22 16383:16384" ht="15" customHeight="1" x14ac:dyDescent="0.4">
      <c r="A6" s="400" t="s">
        <v>518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Salman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535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</v>
      </c>
      <c r="I19" s="236">
        <f t="shared" si="0"/>
        <v>145.28</v>
      </c>
      <c r="J19" s="272">
        <f t="shared" si="1"/>
        <v>11.622400000000001</v>
      </c>
      <c r="K19" s="128">
        <f t="shared" si="1"/>
        <v>5.0848000000000004</v>
      </c>
      <c r="L19" s="119">
        <f t="shared" si="1"/>
        <v>0</v>
      </c>
      <c r="M19" s="230">
        <f t="shared" si="2"/>
        <v>128.5728</v>
      </c>
      <c r="N19" s="277">
        <f t="shared" si="3"/>
        <v>27.457627118644069</v>
      </c>
      <c r="O19" s="239">
        <f t="shared" si="4"/>
        <v>0.78015213559322039</v>
      </c>
      <c r="P19" s="119">
        <f t="shared" si="5"/>
        <v>156.8105792542373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</v>
      </c>
      <c r="I20" s="236">
        <f t="shared" si="0"/>
        <v>72.64</v>
      </c>
      <c r="J20" s="272">
        <f t="shared" si="1"/>
        <v>5.8112000000000004</v>
      </c>
      <c r="K20" s="128">
        <f t="shared" si="1"/>
        <v>2.5424000000000002</v>
      </c>
      <c r="L20" s="119">
        <f t="shared" si="1"/>
        <v>0</v>
      </c>
      <c r="M20" s="230">
        <f t="shared" si="2"/>
        <v>64.2864</v>
      </c>
      <c r="N20" s="277">
        <f t="shared" si="3"/>
        <v>13.728813559322035</v>
      </c>
      <c r="O20" s="239">
        <f t="shared" si="4"/>
        <v>0.39007606779661019</v>
      </c>
      <c r="P20" s="119">
        <f t="shared" si="5"/>
        <v>78.405289627118648</v>
      </c>
      <c r="Q20" s="319"/>
      <c r="R20">
        <f>P20/21</f>
        <v>3.7335852203389832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</v>
      </c>
      <c r="I21" s="236">
        <f t="shared" si="0"/>
        <v>145.28</v>
      </c>
      <c r="J21" s="272">
        <f t="shared" si="1"/>
        <v>11.622400000000001</v>
      </c>
      <c r="K21" s="128">
        <f t="shared" si="1"/>
        <v>5.0848000000000004</v>
      </c>
      <c r="L21" s="119">
        <f t="shared" si="1"/>
        <v>0</v>
      </c>
      <c r="M21" s="230">
        <f t="shared" si="2"/>
        <v>128.5728</v>
      </c>
      <c r="N21" s="277">
        <f t="shared" si="3"/>
        <v>27.457627118644069</v>
      </c>
      <c r="O21" s="239">
        <f t="shared" si="4"/>
        <v>0.78015213559322039</v>
      </c>
      <c r="P21" s="119">
        <f t="shared" si="5"/>
        <v>156.8105792542373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5</v>
      </c>
      <c r="I25" s="114">
        <f t="shared" si="7"/>
        <v>363.20000000000005</v>
      </c>
      <c r="J25" s="274">
        <f>SUM(J16:J24)</f>
        <v>29.056000000000004</v>
      </c>
      <c r="K25" s="275">
        <f t="shared" si="7"/>
        <v>12.712</v>
      </c>
      <c r="L25" s="276">
        <f t="shared" si="7"/>
        <v>0</v>
      </c>
      <c r="M25" s="232">
        <f t="shared" si="7"/>
        <v>321.43200000000002</v>
      </c>
      <c r="N25" s="233">
        <f>SUM(N16:N24)</f>
        <v>68.644067796610173</v>
      </c>
      <c r="O25" s="101">
        <f>SUM(O16:O24)</f>
        <v>1.950380338983051</v>
      </c>
      <c r="P25" s="234">
        <f>SUM(P16:P24)</f>
        <v>392.02644813559323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363.20000000000005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29.056000000000004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12.712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321.43200000000007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68.644067796610173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390.07606779661023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1.9503803389830512</v>
      </c>
    </row>
    <row r="35" spans="2:16" ht="15.75" customHeight="1" thickBot="1" x14ac:dyDescent="0.4">
      <c r="N35" s="374" t="s">
        <v>88</v>
      </c>
      <c r="O35" s="375"/>
      <c r="P35" s="297">
        <f>+P33+P34</f>
        <v>392.02644813559328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6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46283</v>
      </c>
      <c r="O5" s="394"/>
      <c r="P5" s="394"/>
      <c r="R5" s="85"/>
      <c r="S5" s="266"/>
    </row>
    <row r="6" spans="1:22 16383:16384" ht="15" customHeight="1" x14ac:dyDescent="0.4">
      <c r="A6" s="400" t="s">
        <v>519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Salman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535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</v>
      </c>
      <c r="I19" s="236">
        <f t="shared" si="0"/>
        <v>145.28</v>
      </c>
      <c r="J19" s="272">
        <f t="shared" si="1"/>
        <v>11.622400000000001</v>
      </c>
      <c r="K19" s="128">
        <f t="shared" si="1"/>
        <v>5.0848000000000004</v>
      </c>
      <c r="L19" s="119">
        <f t="shared" si="1"/>
        <v>0</v>
      </c>
      <c r="M19" s="230">
        <f t="shared" si="2"/>
        <v>128.5728</v>
      </c>
      <c r="N19" s="277">
        <f t="shared" si="3"/>
        <v>27.457627118644069</v>
      </c>
      <c r="O19" s="239">
        <f t="shared" si="4"/>
        <v>0.78015213559322039</v>
      </c>
      <c r="P19" s="119">
        <f t="shared" si="5"/>
        <v>156.8105792542373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</v>
      </c>
      <c r="I20" s="236">
        <f t="shared" si="0"/>
        <v>72.64</v>
      </c>
      <c r="J20" s="272">
        <f t="shared" si="1"/>
        <v>5.8112000000000004</v>
      </c>
      <c r="K20" s="128">
        <f t="shared" si="1"/>
        <v>2.5424000000000002</v>
      </c>
      <c r="L20" s="119">
        <f t="shared" si="1"/>
        <v>0</v>
      </c>
      <c r="M20" s="230">
        <f t="shared" si="2"/>
        <v>64.2864</v>
      </c>
      <c r="N20" s="277">
        <f t="shared" si="3"/>
        <v>13.728813559322035</v>
      </c>
      <c r="O20" s="239">
        <f t="shared" si="4"/>
        <v>0.39007606779661019</v>
      </c>
      <c r="P20" s="119">
        <f t="shared" si="5"/>
        <v>78.405289627118648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</v>
      </c>
      <c r="I21" s="236">
        <f t="shared" si="0"/>
        <v>145.28</v>
      </c>
      <c r="J21" s="272">
        <f t="shared" si="1"/>
        <v>11.622400000000001</v>
      </c>
      <c r="K21" s="128">
        <f t="shared" si="1"/>
        <v>5.0848000000000004</v>
      </c>
      <c r="L21" s="119">
        <f t="shared" si="1"/>
        <v>0</v>
      </c>
      <c r="M21" s="230">
        <f t="shared" si="2"/>
        <v>128.5728</v>
      </c>
      <c r="N21" s="277">
        <f t="shared" si="3"/>
        <v>27.457627118644069</v>
      </c>
      <c r="O21" s="239">
        <f t="shared" si="4"/>
        <v>0.78015213559322039</v>
      </c>
      <c r="P21" s="119">
        <f t="shared" si="5"/>
        <v>156.8105792542373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5</v>
      </c>
      <c r="I25" s="114">
        <f t="shared" si="7"/>
        <v>363.20000000000005</v>
      </c>
      <c r="J25" s="274">
        <f>SUM(J16:J24)</f>
        <v>29.056000000000004</v>
      </c>
      <c r="K25" s="275">
        <f t="shared" si="7"/>
        <v>12.712</v>
      </c>
      <c r="L25" s="276">
        <f t="shared" si="7"/>
        <v>0</v>
      </c>
      <c r="M25" s="232">
        <f t="shared" si="7"/>
        <v>321.43200000000002</v>
      </c>
      <c r="N25" s="233">
        <f>SUM(N16:N24)</f>
        <v>68.644067796610173</v>
      </c>
      <c r="O25" s="101">
        <f>SUM(O16:O24)</f>
        <v>1.950380338983051</v>
      </c>
      <c r="P25" s="234">
        <f>SUM(P16:P24)</f>
        <v>392.02644813559323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363.20000000000005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29.056000000000004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12.712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321.43200000000007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68.644067796610173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390.07606779661023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1.9503803389830512</v>
      </c>
    </row>
    <row r="35" spans="2:16" ht="15.75" customHeight="1" thickBot="1" x14ac:dyDescent="0.4">
      <c r="N35" s="374" t="s">
        <v>88</v>
      </c>
      <c r="O35" s="375"/>
      <c r="P35" s="297">
        <f>+P33+P34</f>
        <v>392.02644813559328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'1'!N4:P5</f>
        <v>46284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46283</v>
      </c>
      <c r="O5" s="394"/>
      <c r="P5" s="394"/>
      <c r="R5" s="85"/>
      <c r="S5" s="266"/>
    </row>
    <row r="6" spans="1:22 16383:16384" ht="15" customHeight="1" x14ac:dyDescent="0.4">
      <c r="A6" s="400" t="s">
        <v>520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Salman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535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</v>
      </c>
      <c r="I19" s="236">
        <f t="shared" si="0"/>
        <v>145.28</v>
      </c>
      <c r="J19" s="272">
        <f t="shared" si="1"/>
        <v>11.622400000000001</v>
      </c>
      <c r="K19" s="128">
        <f t="shared" si="1"/>
        <v>5.0848000000000004</v>
      </c>
      <c r="L19" s="119">
        <f t="shared" si="1"/>
        <v>0</v>
      </c>
      <c r="M19" s="230">
        <f t="shared" si="2"/>
        <v>128.5728</v>
      </c>
      <c r="N19" s="277">
        <f t="shared" si="3"/>
        <v>27.457627118644069</v>
      </c>
      <c r="O19" s="239">
        <f t="shared" si="4"/>
        <v>0.78015213559322039</v>
      </c>
      <c r="P19" s="119">
        <f t="shared" si="5"/>
        <v>156.8105792542373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</v>
      </c>
      <c r="I20" s="236">
        <f t="shared" si="0"/>
        <v>72.64</v>
      </c>
      <c r="J20" s="272">
        <f t="shared" si="1"/>
        <v>5.8112000000000004</v>
      </c>
      <c r="K20" s="128">
        <f t="shared" si="1"/>
        <v>2.5424000000000002</v>
      </c>
      <c r="L20" s="119">
        <f t="shared" si="1"/>
        <v>0</v>
      </c>
      <c r="M20" s="230">
        <f t="shared" si="2"/>
        <v>64.2864</v>
      </c>
      <c r="N20" s="277">
        <f t="shared" si="3"/>
        <v>13.728813559322035</v>
      </c>
      <c r="O20" s="239">
        <f t="shared" si="4"/>
        <v>0.39007606779661019</v>
      </c>
      <c r="P20" s="119">
        <f t="shared" si="5"/>
        <v>78.405289627118648</v>
      </c>
      <c r="Q20" s="319"/>
      <c r="R20">
        <f>P20/21</f>
        <v>3.7335852203389832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</v>
      </c>
      <c r="I21" s="236">
        <f t="shared" si="0"/>
        <v>145.28</v>
      </c>
      <c r="J21" s="272">
        <f t="shared" si="1"/>
        <v>11.622400000000001</v>
      </c>
      <c r="K21" s="128">
        <f t="shared" si="1"/>
        <v>5.0848000000000004</v>
      </c>
      <c r="L21" s="119">
        <f t="shared" si="1"/>
        <v>0</v>
      </c>
      <c r="M21" s="230">
        <f t="shared" si="2"/>
        <v>128.5728</v>
      </c>
      <c r="N21" s="277">
        <f t="shared" si="3"/>
        <v>27.457627118644069</v>
      </c>
      <c r="O21" s="239">
        <f t="shared" si="4"/>
        <v>0.78015213559322039</v>
      </c>
      <c r="P21" s="119">
        <f t="shared" si="5"/>
        <v>156.8105792542373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5</v>
      </c>
      <c r="I25" s="114">
        <f t="shared" si="7"/>
        <v>363.20000000000005</v>
      </c>
      <c r="J25" s="274">
        <f>SUM(J16:J24)</f>
        <v>29.056000000000004</v>
      </c>
      <c r="K25" s="275">
        <f t="shared" si="7"/>
        <v>12.712</v>
      </c>
      <c r="L25" s="276">
        <f t="shared" si="7"/>
        <v>0</v>
      </c>
      <c r="M25" s="232">
        <f t="shared" si="7"/>
        <v>321.43200000000002</v>
      </c>
      <c r="N25" s="233">
        <f>SUM(N16:N24)</f>
        <v>68.644067796610173</v>
      </c>
      <c r="O25" s="101">
        <f>SUM(O16:O24)</f>
        <v>1.950380338983051</v>
      </c>
      <c r="P25" s="234">
        <f>SUM(P16:P24)</f>
        <v>392.02644813559323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363.20000000000005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29.056000000000004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12.712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321.43200000000007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68.644067796610173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390.07606779661023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1.9503803389830512</v>
      </c>
    </row>
    <row r="35" spans="2:16" ht="15.75" customHeight="1" thickBot="1" x14ac:dyDescent="0.4">
      <c r="N35" s="374" t="s">
        <v>88</v>
      </c>
      <c r="O35" s="375"/>
      <c r="P35" s="297">
        <f>+P33+P34</f>
        <v>392.02644813559328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46283</v>
      </c>
      <c r="O5" s="394"/>
      <c r="P5" s="394"/>
      <c r="R5" s="85"/>
      <c r="S5" s="266"/>
    </row>
    <row r="6" spans="1:22 16383:16384" ht="15" customHeight="1" x14ac:dyDescent="0.4">
      <c r="A6" s="400" t="s">
        <v>521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Salman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535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</v>
      </c>
      <c r="I19" s="236">
        <f t="shared" si="0"/>
        <v>72.64</v>
      </c>
      <c r="J19" s="272">
        <f t="shared" si="1"/>
        <v>5.8112000000000004</v>
      </c>
      <c r="K19" s="128">
        <f t="shared" si="1"/>
        <v>2.5424000000000002</v>
      </c>
      <c r="L19" s="119">
        <f t="shared" si="1"/>
        <v>0</v>
      </c>
      <c r="M19" s="230">
        <f t="shared" si="2"/>
        <v>64.2864</v>
      </c>
      <c r="N19" s="277">
        <f t="shared" si="3"/>
        <v>13.728813559322035</v>
      </c>
      <c r="O19" s="239">
        <f t="shared" si="4"/>
        <v>0.39007606779661019</v>
      </c>
      <c r="P19" s="119">
        <f t="shared" si="5"/>
        <v>78.405289627118648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</v>
      </c>
      <c r="I20" s="236">
        <f t="shared" si="0"/>
        <v>145.28</v>
      </c>
      <c r="J20" s="272">
        <f t="shared" si="1"/>
        <v>11.622400000000001</v>
      </c>
      <c r="K20" s="128">
        <f t="shared" si="1"/>
        <v>5.0848000000000004</v>
      </c>
      <c r="L20" s="119">
        <f t="shared" si="1"/>
        <v>0</v>
      </c>
      <c r="M20" s="230">
        <f t="shared" si="2"/>
        <v>128.5728</v>
      </c>
      <c r="N20" s="277">
        <f t="shared" si="3"/>
        <v>27.457627118644069</v>
      </c>
      <c r="O20" s="239">
        <f t="shared" si="4"/>
        <v>0.78015213559322039</v>
      </c>
      <c r="P20" s="119">
        <f t="shared" si="5"/>
        <v>156.8105792542373</v>
      </c>
      <c r="Q20" s="319"/>
      <c r="R20">
        <f>P20/21</f>
        <v>7.4671704406779664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</v>
      </c>
      <c r="I21" s="236">
        <f t="shared" si="0"/>
        <v>145.28</v>
      </c>
      <c r="J21" s="272">
        <f t="shared" si="1"/>
        <v>11.622400000000001</v>
      </c>
      <c r="K21" s="128">
        <f t="shared" si="1"/>
        <v>5.0848000000000004</v>
      </c>
      <c r="L21" s="119">
        <f t="shared" si="1"/>
        <v>0</v>
      </c>
      <c r="M21" s="230">
        <f t="shared" si="2"/>
        <v>128.5728</v>
      </c>
      <c r="N21" s="277">
        <f t="shared" si="3"/>
        <v>27.457627118644069</v>
      </c>
      <c r="O21" s="239">
        <f t="shared" si="4"/>
        <v>0.78015213559322039</v>
      </c>
      <c r="P21" s="119">
        <f t="shared" si="5"/>
        <v>156.8105792542373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5</v>
      </c>
      <c r="I25" s="114">
        <f t="shared" si="7"/>
        <v>363.20000000000005</v>
      </c>
      <c r="J25" s="274">
        <f>SUM(J16:J24)</f>
        <v>29.056000000000004</v>
      </c>
      <c r="K25" s="275">
        <f t="shared" si="7"/>
        <v>12.712</v>
      </c>
      <c r="L25" s="276">
        <f t="shared" si="7"/>
        <v>0</v>
      </c>
      <c r="M25" s="232">
        <f t="shared" si="7"/>
        <v>321.43200000000002</v>
      </c>
      <c r="N25" s="233">
        <f>SUM(N16:N24)</f>
        <v>68.644067796610173</v>
      </c>
      <c r="O25" s="101">
        <f>SUM(O16:O24)</f>
        <v>1.950380338983051</v>
      </c>
      <c r="P25" s="234">
        <f>SUM(P16:P24)</f>
        <v>392.02644813559323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363.20000000000005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29.056000000000004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12.712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321.43200000000007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68.644067796610173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390.07606779661023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1.9503803389830512</v>
      </c>
    </row>
    <row r="35" spans="2:16" ht="15.75" customHeight="1" thickBot="1" x14ac:dyDescent="0.4">
      <c r="N35" s="374" t="s">
        <v>88</v>
      </c>
      <c r="O35" s="375"/>
      <c r="P35" s="297">
        <f>+P33+P34</f>
        <v>392.02644813559328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46283</v>
      </c>
      <c r="O5" s="394"/>
      <c r="P5" s="394"/>
      <c r="R5" s="85"/>
      <c r="S5" s="266"/>
    </row>
    <row r="6" spans="1:22 16383:16384" ht="15" customHeight="1" x14ac:dyDescent="0.4">
      <c r="A6" s="400" t="s">
        <v>522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Salman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535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</v>
      </c>
      <c r="I19" s="236">
        <f t="shared" si="0"/>
        <v>145.28</v>
      </c>
      <c r="J19" s="272">
        <f t="shared" si="1"/>
        <v>11.622400000000001</v>
      </c>
      <c r="K19" s="128">
        <f t="shared" si="1"/>
        <v>5.0848000000000004</v>
      </c>
      <c r="L19" s="119">
        <f t="shared" si="1"/>
        <v>0</v>
      </c>
      <c r="M19" s="230">
        <f t="shared" si="2"/>
        <v>128.5728</v>
      </c>
      <c r="N19" s="277">
        <f t="shared" si="3"/>
        <v>27.457627118644069</v>
      </c>
      <c r="O19" s="239">
        <f t="shared" si="4"/>
        <v>0.78015213559322039</v>
      </c>
      <c r="P19" s="119">
        <f t="shared" si="5"/>
        <v>156.8105792542373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</v>
      </c>
      <c r="I20" s="236">
        <f t="shared" si="0"/>
        <v>145.28</v>
      </c>
      <c r="J20" s="272">
        <f t="shared" si="1"/>
        <v>11.622400000000001</v>
      </c>
      <c r="K20" s="128">
        <f t="shared" si="1"/>
        <v>5.0848000000000004</v>
      </c>
      <c r="L20" s="119">
        <f t="shared" si="1"/>
        <v>0</v>
      </c>
      <c r="M20" s="230">
        <f t="shared" si="2"/>
        <v>128.5728</v>
      </c>
      <c r="N20" s="277">
        <f t="shared" si="3"/>
        <v>27.457627118644069</v>
      </c>
      <c r="O20" s="239">
        <f t="shared" si="4"/>
        <v>0.78015213559322039</v>
      </c>
      <c r="P20" s="119">
        <f t="shared" si="5"/>
        <v>156.8105792542373</v>
      </c>
      <c r="Q20" s="319"/>
      <c r="R20">
        <f>P20/21</f>
        <v>7.4671704406779664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</v>
      </c>
      <c r="I21" s="236">
        <f t="shared" si="0"/>
        <v>72.64</v>
      </c>
      <c r="J21" s="272">
        <f t="shared" si="1"/>
        <v>5.8112000000000004</v>
      </c>
      <c r="K21" s="128">
        <f t="shared" si="1"/>
        <v>2.5424000000000002</v>
      </c>
      <c r="L21" s="119">
        <f t="shared" si="1"/>
        <v>0</v>
      </c>
      <c r="M21" s="230">
        <f t="shared" si="2"/>
        <v>64.2864</v>
      </c>
      <c r="N21" s="277">
        <f t="shared" si="3"/>
        <v>13.728813559322035</v>
      </c>
      <c r="O21" s="239">
        <f t="shared" si="4"/>
        <v>0.39007606779661019</v>
      </c>
      <c r="P21" s="119">
        <f t="shared" si="5"/>
        <v>78.405289627118648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5</v>
      </c>
      <c r="I25" s="114">
        <f t="shared" si="7"/>
        <v>363.2</v>
      </c>
      <c r="J25" s="274">
        <f>SUM(J16:J24)</f>
        <v>29.056000000000001</v>
      </c>
      <c r="K25" s="275">
        <f t="shared" si="7"/>
        <v>12.712000000000002</v>
      </c>
      <c r="L25" s="276">
        <f t="shared" si="7"/>
        <v>0</v>
      </c>
      <c r="M25" s="232">
        <f t="shared" si="7"/>
        <v>321.43200000000002</v>
      </c>
      <c r="N25" s="233">
        <f>SUM(N16:N24)</f>
        <v>68.644067796610173</v>
      </c>
      <c r="O25" s="101">
        <f>SUM(O16:O24)</f>
        <v>1.950380338983051</v>
      </c>
      <c r="P25" s="234">
        <f>SUM(P16:P24)</f>
        <v>392.02644813559323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363.2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29.056000000000001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12.712000000000002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321.43200000000002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68.644067796610173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390.07606779661018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1.950380338983051</v>
      </c>
    </row>
    <row r="35" spans="2:16" ht="15.75" customHeight="1" thickBot="1" x14ac:dyDescent="0.4">
      <c r="N35" s="374" t="s">
        <v>88</v>
      </c>
      <c r="O35" s="375"/>
      <c r="P35" s="297">
        <f>+P33+P34</f>
        <v>392.02644813559323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topLeftCell="A4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46283</v>
      </c>
      <c r="O5" s="394"/>
      <c r="P5" s="394"/>
      <c r="R5" s="85"/>
      <c r="S5" s="266"/>
    </row>
    <row r="6" spans="1:22 16383:16384" ht="15" customHeight="1" x14ac:dyDescent="0.4">
      <c r="A6" s="400" t="s">
        <v>523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Salman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535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</v>
      </c>
      <c r="I19" s="236">
        <f t="shared" si="0"/>
        <v>145.28</v>
      </c>
      <c r="J19" s="272">
        <f t="shared" si="1"/>
        <v>11.622400000000001</v>
      </c>
      <c r="K19" s="128">
        <f t="shared" si="1"/>
        <v>5.0848000000000004</v>
      </c>
      <c r="L19" s="119">
        <f t="shared" si="1"/>
        <v>0</v>
      </c>
      <c r="M19" s="230">
        <f t="shared" si="2"/>
        <v>128.5728</v>
      </c>
      <c r="N19" s="277">
        <f t="shared" si="3"/>
        <v>27.457627118644069</v>
      </c>
      <c r="O19" s="239">
        <f t="shared" si="4"/>
        <v>0.78015213559322039</v>
      </c>
      <c r="P19" s="119">
        <f t="shared" si="5"/>
        <v>156.8105792542373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</v>
      </c>
      <c r="I20" s="236">
        <f t="shared" si="0"/>
        <v>145.28</v>
      </c>
      <c r="J20" s="272">
        <f t="shared" si="1"/>
        <v>11.622400000000001</v>
      </c>
      <c r="K20" s="128">
        <f t="shared" si="1"/>
        <v>5.0848000000000004</v>
      </c>
      <c r="L20" s="119">
        <f t="shared" si="1"/>
        <v>0</v>
      </c>
      <c r="M20" s="230">
        <f t="shared" si="2"/>
        <v>128.5728</v>
      </c>
      <c r="N20" s="277">
        <f t="shared" si="3"/>
        <v>27.457627118644069</v>
      </c>
      <c r="O20" s="239">
        <f t="shared" si="4"/>
        <v>0.78015213559322039</v>
      </c>
      <c r="P20" s="119">
        <f t="shared" si="5"/>
        <v>156.8105792542373</v>
      </c>
      <c r="Q20" s="319"/>
      <c r="R20">
        <f>P20/21</f>
        <v>7.4671704406779664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</v>
      </c>
      <c r="I21" s="236">
        <f t="shared" si="0"/>
        <v>72.64</v>
      </c>
      <c r="J21" s="272">
        <f t="shared" si="1"/>
        <v>5.8112000000000004</v>
      </c>
      <c r="K21" s="128">
        <f t="shared" si="1"/>
        <v>2.5424000000000002</v>
      </c>
      <c r="L21" s="119">
        <f t="shared" si="1"/>
        <v>0</v>
      </c>
      <c r="M21" s="230">
        <f t="shared" si="2"/>
        <v>64.2864</v>
      </c>
      <c r="N21" s="277">
        <f t="shared" si="3"/>
        <v>13.728813559322035</v>
      </c>
      <c r="O21" s="239">
        <f t="shared" si="4"/>
        <v>0.39007606779661019</v>
      </c>
      <c r="P21" s="119">
        <f t="shared" si="5"/>
        <v>78.405289627118648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5</v>
      </c>
      <c r="I25" s="114">
        <f t="shared" si="7"/>
        <v>363.2</v>
      </c>
      <c r="J25" s="274">
        <f>SUM(J16:J24)</f>
        <v>29.056000000000001</v>
      </c>
      <c r="K25" s="275">
        <f t="shared" si="7"/>
        <v>12.712000000000002</v>
      </c>
      <c r="L25" s="276">
        <f t="shared" si="7"/>
        <v>0</v>
      </c>
      <c r="M25" s="232">
        <f t="shared" si="7"/>
        <v>321.43200000000002</v>
      </c>
      <c r="N25" s="233">
        <f>SUM(N16:N24)</f>
        <v>68.644067796610173</v>
      </c>
      <c r="O25" s="101">
        <f>SUM(O16:O24)</f>
        <v>1.950380338983051</v>
      </c>
      <c r="P25" s="234">
        <f>SUM(P16:P24)</f>
        <v>392.02644813559323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363.2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29.056000000000001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12.712000000000002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321.43200000000002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68.644067796610173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390.07606779661018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1.950380338983051</v>
      </c>
    </row>
    <row r="35" spans="2:16" ht="15.75" customHeight="1" thickBot="1" x14ac:dyDescent="0.4">
      <c r="N35" s="374" t="s">
        <v>88</v>
      </c>
      <c r="O35" s="375"/>
      <c r="P35" s="297">
        <f>+P33+P34</f>
        <v>392.02644813559323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46283</v>
      </c>
      <c r="O5" s="394"/>
      <c r="P5" s="394"/>
      <c r="R5" s="85"/>
      <c r="S5" s="266"/>
    </row>
    <row r="6" spans="1:22 16383:16384" ht="15" customHeight="1" x14ac:dyDescent="0.4">
      <c r="A6" s="400" t="s">
        <v>524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Salman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535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</v>
      </c>
      <c r="I19" s="236">
        <f t="shared" si="0"/>
        <v>145.28</v>
      </c>
      <c r="J19" s="272">
        <f t="shared" si="1"/>
        <v>11.622400000000001</v>
      </c>
      <c r="K19" s="128">
        <f t="shared" si="1"/>
        <v>5.0848000000000004</v>
      </c>
      <c r="L19" s="119">
        <f t="shared" si="1"/>
        <v>0</v>
      </c>
      <c r="M19" s="230">
        <f t="shared" si="2"/>
        <v>128.5728</v>
      </c>
      <c r="N19" s="277">
        <f t="shared" si="3"/>
        <v>27.457627118644069</v>
      </c>
      <c r="O19" s="239">
        <f t="shared" si="4"/>
        <v>0.78015213559322039</v>
      </c>
      <c r="P19" s="119">
        <f t="shared" si="5"/>
        <v>156.8105792542373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</v>
      </c>
      <c r="I20" s="236">
        <f t="shared" si="0"/>
        <v>72.64</v>
      </c>
      <c r="J20" s="272">
        <f t="shared" si="1"/>
        <v>5.8112000000000004</v>
      </c>
      <c r="K20" s="128">
        <f t="shared" si="1"/>
        <v>2.5424000000000002</v>
      </c>
      <c r="L20" s="119">
        <f t="shared" si="1"/>
        <v>0</v>
      </c>
      <c r="M20" s="230">
        <f t="shared" si="2"/>
        <v>64.2864</v>
      </c>
      <c r="N20" s="277">
        <f t="shared" si="3"/>
        <v>13.728813559322035</v>
      </c>
      <c r="O20" s="239">
        <f t="shared" si="4"/>
        <v>0.39007606779661019</v>
      </c>
      <c r="P20" s="119">
        <f t="shared" si="5"/>
        <v>78.405289627118648</v>
      </c>
      <c r="Q20" s="319"/>
      <c r="R20">
        <f>P20/21</f>
        <v>3.7335852203389832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</v>
      </c>
      <c r="I21" s="236">
        <f t="shared" si="0"/>
        <v>145.28</v>
      </c>
      <c r="J21" s="272">
        <f t="shared" si="1"/>
        <v>11.622400000000001</v>
      </c>
      <c r="K21" s="128">
        <f t="shared" si="1"/>
        <v>5.0848000000000004</v>
      </c>
      <c r="L21" s="119">
        <f t="shared" si="1"/>
        <v>0</v>
      </c>
      <c r="M21" s="230">
        <f t="shared" si="2"/>
        <v>128.5728</v>
      </c>
      <c r="N21" s="277">
        <f t="shared" si="3"/>
        <v>27.457627118644069</v>
      </c>
      <c r="O21" s="239">
        <f t="shared" si="4"/>
        <v>0.78015213559322039</v>
      </c>
      <c r="P21" s="119">
        <f t="shared" si="5"/>
        <v>156.8105792542373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5</v>
      </c>
      <c r="I25" s="114">
        <f t="shared" si="7"/>
        <v>363.20000000000005</v>
      </c>
      <c r="J25" s="274">
        <f>SUM(J16:J24)</f>
        <v>29.056000000000004</v>
      </c>
      <c r="K25" s="275">
        <f t="shared" si="7"/>
        <v>12.712</v>
      </c>
      <c r="L25" s="276">
        <f t="shared" si="7"/>
        <v>0</v>
      </c>
      <c r="M25" s="232">
        <f t="shared" si="7"/>
        <v>321.43200000000002</v>
      </c>
      <c r="N25" s="233">
        <f>SUM(N16:N24)</f>
        <v>68.644067796610173</v>
      </c>
      <c r="O25" s="101">
        <f>SUM(O16:O24)</f>
        <v>1.950380338983051</v>
      </c>
      <c r="P25" s="234">
        <f>SUM(P16:P24)</f>
        <v>392.02644813559323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363.20000000000005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29.056000000000004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12.712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321.43200000000007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68.644067796610173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390.07606779661023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1.9503803389830512</v>
      </c>
    </row>
    <row r="35" spans="2:16" ht="15.75" customHeight="1" thickBot="1" x14ac:dyDescent="0.4">
      <c r="N35" s="374" t="s">
        <v>88</v>
      </c>
      <c r="O35" s="375"/>
      <c r="P35" s="297">
        <f>+P33+P34</f>
        <v>392.02644813559328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topLeftCell="A4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46283</v>
      </c>
      <c r="O5" s="394"/>
      <c r="P5" s="394"/>
      <c r="R5" s="85"/>
      <c r="S5" s="266"/>
    </row>
    <row r="6" spans="1:22 16383:16384" ht="15" customHeight="1" x14ac:dyDescent="0.4">
      <c r="A6" s="400" t="s">
        <v>525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Salman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535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</v>
      </c>
      <c r="I19" s="236">
        <f t="shared" si="0"/>
        <v>145.28</v>
      </c>
      <c r="J19" s="272">
        <f t="shared" si="1"/>
        <v>11.622400000000001</v>
      </c>
      <c r="K19" s="128">
        <f t="shared" si="1"/>
        <v>5.0848000000000004</v>
      </c>
      <c r="L19" s="119">
        <f t="shared" si="1"/>
        <v>0</v>
      </c>
      <c r="M19" s="230">
        <f t="shared" si="2"/>
        <v>128.5728</v>
      </c>
      <c r="N19" s="277">
        <f t="shared" si="3"/>
        <v>27.457627118644069</v>
      </c>
      <c r="O19" s="239">
        <f t="shared" si="4"/>
        <v>0.78015213559322039</v>
      </c>
      <c r="P19" s="119">
        <f t="shared" si="5"/>
        <v>156.8105792542373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</v>
      </c>
      <c r="I20" s="236">
        <f t="shared" si="0"/>
        <v>72.64</v>
      </c>
      <c r="J20" s="272">
        <f t="shared" si="1"/>
        <v>5.8112000000000004</v>
      </c>
      <c r="K20" s="128">
        <f t="shared" si="1"/>
        <v>2.5424000000000002</v>
      </c>
      <c r="L20" s="119">
        <f t="shared" si="1"/>
        <v>0</v>
      </c>
      <c r="M20" s="230">
        <f t="shared" si="2"/>
        <v>64.2864</v>
      </c>
      <c r="N20" s="277">
        <f t="shared" si="3"/>
        <v>13.728813559322035</v>
      </c>
      <c r="O20" s="239">
        <f t="shared" si="4"/>
        <v>0.39007606779661019</v>
      </c>
      <c r="P20" s="119">
        <f t="shared" si="5"/>
        <v>78.405289627118648</v>
      </c>
      <c r="Q20" s="319"/>
      <c r="R20">
        <f>P20/21</f>
        <v>3.7335852203389832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</v>
      </c>
      <c r="I21" s="236">
        <f t="shared" si="0"/>
        <v>145.28</v>
      </c>
      <c r="J21" s="272">
        <f t="shared" si="1"/>
        <v>11.622400000000001</v>
      </c>
      <c r="K21" s="128">
        <f t="shared" si="1"/>
        <v>5.0848000000000004</v>
      </c>
      <c r="L21" s="119">
        <f t="shared" si="1"/>
        <v>0</v>
      </c>
      <c r="M21" s="230">
        <f t="shared" si="2"/>
        <v>128.5728</v>
      </c>
      <c r="N21" s="277">
        <f t="shared" si="3"/>
        <v>27.457627118644069</v>
      </c>
      <c r="O21" s="239">
        <f t="shared" si="4"/>
        <v>0.78015213559322039</v>
      </c>
      <c r="P21" s="119">
        <f t="shared" si="5"/>
        <v>156.8105792542373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5</v>
      </c>
      <c r="I25" s="114">
        <f t="shared" si="7"/>
        <v>363.20000000000005</v>
      </c>
      <c r="J25" s="274">
        <f>SUM(J16:J24)</f>
        <v>29.056000000000004</v>
      </c>
      <c r="K25" s="275">
        <f t="shared" si="7"/>
        <v>12.712</v>
      </c>
      <c r="L25" s="276">
        <f t="shared" si="7"/>
        <v>0</v>
      </c>
      <c r="M25" s="232">
        <f t="shared" si="7"/>
        <v>321.43200000000002</v>
      </c>
      <c r="N25" s="233">
        <f>SUM(N16:N24)</f>
        <v>68.644067796610173</v>
      </c>
      <c r="O25" s="101">
        <f>SUM(O16:O24)</f>
        <v>1.950380338983051</v>
      </c>
      <c r="P25" s="234">
        <f>SUM(P16:P24)</f>
        <v>392.02644813559323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363.20000000000005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29.056000000000004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12.712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321.43200000000007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68.644067796610173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390.07606779661023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1.9503803389830512</v>
      </c>
    </row>
    <row r="35" spans="2:16" ht="15.75" customHeight="1" thickBot="1" x14ac:dyDescent="0.4">
      <c r="N35" s="374" t="s">
        <v>88</v>
      </c>
      <c r="O35" s="375"/>
      <c r="P35" s="297">
        <f>+P33+P34</f>
        <v>392.02644813559328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46283</v>
      </c>
      <c r="O5" s="394"/>
      <c r="P5" s="394"/>
      <c r="R5" s="85"/>
      <c r="S5" s="266"/>
    </row>
    <row r="6" spans="1:22 16383:16384" ht="15" customHeight="1" x14ac:dyDescent="0.4">
      <c r="A6" s="400" t="s">
        <v>526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Salman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535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</v>
      </c>
      <c r="I19" s="236">
        <f t="shared" si="0"/>
        <v>145.28</v>
      </c>
      <c r="J19" s="272">
        <f t="shared" si="1"/>
        <v>11.622400000000001</v>
      </c>
      <c r="K19" s="128">
        <f t="shared" si="1"/>
        <v>5.0848000000000004</v>
      </c>
      <c r="L19" s="119">
        <f t="shared" si="1"/>
        <v>0</v>
      </c>
      <c r="M19" s="230">
        <f t="shared" si="2"/>
        <v>128.5728</v>
      </c>
      <c r="N19" s="277">
        <f t="shared" si="3"/>
        <v>27.457627118644069</v>
      </c>
      <c r="O19" s="239">
        <f t="shared" si="4"/>
        <v>0.78015213559322039</v>
      </c>
      <c r="P19" s="119">
        <f t="shared" si="5"/>
        <v>156.8105792542373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</v>
      </c>
      <c r="I20" s="236">
        <f t="shared" si="0"/>
        <v>72.64</v>
      </c>
      <c r="J20" s="272">
        <f t="shared" si="1"/>
        <v>5.8112000000000004</v>
      </c>
      <c r="K20" s="128">
        <f t="shared" si="1"/>
        <v>2.5424000000000002</v>
      </c>
      <c r="L20" s="119">
        <f t="shared" si="1"/>
        <v>0</v>
      </c>
      <c r="M20" s="230">
        <f t="shared" si="2"/>
        <v>64.2864</v>
      </c>
      <c r="N20" s="277">
        <f t="shared" si="3"/>
        <v>13.728813559322035</v>
      </c>
      <c r="O20" s="239">
        <f t="shared" si="4"/>
        <v>0.39007606779661019</v>
      </c>
      <c r="P20" s="119">
        <f t="shared" si="5"/>
        <v>78.405289627118648</v>
      </c>
      <c r="Q20" s="319"/>
      <c r="R20">
        <f>P20/21</f>
        <v>3.7335852203389832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</v>
      </c>
      <c r="I21" s="236">
        <f t="shared" si="0"/>
        <v>145.28</v>
      </c>
      <c r="J21" s="272">
        <f t="shared" si="1"/>
        <v>11.622400000000001</v>
      </c>
      <c r="K21" s="128">
        <f t="shared" si="1"/>
        <v>5.0848000000000004</v>
      </c>
      <c r="L21" s="119">
        <f t="shared" si="1"/>
        <v>0</v>
      </c>
      <c r="M21" s="230">
        <f t="shared" si="2"/>
        <v>128.5728</v>
      </c>
      <c r="N21" s="277">
        <f t="shared" si="3"/>
        <v>27.457627118644069</v>
      </c>
      <c r="O21" s="239">
        <f t="shared" si="4"/>
        <v>0.78015213559322039</v>
      </c>
      <c r="P21" s="119">
        <f t="shared" si="5"/>
        <v>156.8105792542373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5</v>
      </c>
      <c r="I25" s="114">
        <f t="shared" si="7"/>
        <v>363.20000000000005</v>
      </c>
      <c r="J25" s="274">
        <f>SUM(J16:J24)</f>
        <v>29.056000000000004</v>
      </c>
      <c r="K25" s="275">
        <f t="shared" si="7"/>
        <v>12.712</v>
      </c>
      <c r="L25" s="276">
        <f t="shared" si="7"/>
        <v>0</v>
      </c>
      <c r="M25" s="232">
        <f t="shared" si="7"/>
        <v>321.43200000000002</v>
      </c>
      <c r="N25" s="233">
        <f>SUM(N16:N24)</f>
        <v>68.644067796610173</v>
      </c>
      <c r="O25" s="101">
        <f>SUM(O16:O24)</f>
        <v>1.950380338983051</v>
      </c>
      <c r="P25" s="234">
        <f>SUM(P16:P24)</f>
        <v>392.02644813559323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363.20000000000005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29.056000000000004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12.712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321.43200000000007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68.644067796610173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390.07606779661023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1.9503803389830512</v>
      </c>
    </row>
    <row r="35" spans="2:16" ht="15.75" customHeight="1" thickBot="1" x14ac:dyDescent="0.4">
      <c r="N35" s="374" t="s">
        <v>88</v>
      </c>
      <c r="O35" s="375"/>
      <c r="P35" s="297">
        <f>+P33+P34</f>
        <v>392.02644813559328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46283</v>
      </c>
      <c r="O5" s="394"/>
      <c r="P5" s="394"/>
      <c r="R5" s="85"/>
      <c r="S5" s="266"/>
    </row>
    <row r="6" spans="1:22 16383:16384" ht="15" customHeight="1" x14ac:dyDescent="0.4">
      <c r="A6" s="400" t="s">
        <v>527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Salman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535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</v>
      </c>
      <c r="I19" s="236">
        <f t="shared" si="0"/>
        <v>145.28</v>
      </c>
      <c r="J19" s="272">
        <f t="shared" si="1"/>
        <v>11.622400000000001</v>
      </c>
      <c r="K19" s="128">
        <f t="shared" si="1"/>
        <v>5.0848000000000004</v>
      </c>
      <c r="L19" s="119">
        <f t="shared" si="1"/>
        <v>0</v>
      </c>
      <c r="M19" s="230">
        <f t="shared" si="2"/>
        <v>128.5728</v>
      </c>
      <c r="N19" s="277">
        <f t="shared" si="3"/>
        <v>27.457627118644069</v>
      </c>
      <c r="O19" s="239">
        <f t="shared" si="4"/>
        <v>0.78015213559322039</v>
      </c>
      <c r="P19" s="119">
        <f t="shared" si="5"/>
        <v>156.8105792542373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</v>
      </c>
      <c r="I20" s="236">
        <f t="shared" si="0"/>
        <v>145.28</v>
      </c>
      <c r="J20" s="272">
        <f t="shared" si="1"/>
        <v>11.622400000000001</v>
      </c>
      <c r="K20" s="128">
        <f t="shared" si="1"/>
        <v>5.0848000000000004</v>
      </c>
      <c r="L20" s="119">
        <f t="shared" si="1"/>
        <v>0</v>
      </c>
      <c r="M20" s="230">
        <f t="shared" si="2"/>
        <v>128.5728</v>
      </c>
      <c r="N20" s="277">
        <f t="shared" si="3"/>
        <v>27.457627118644069</v>
      </c>
      <c r="O20" s="239">
        <f t="shared" si="4"/>
        <v>0.78015213559322039</v>
      </c>
      <c r="P20" s="119">
        <f t="shared" si="5"/>
        <v>156.8105792542373</v>
      </c>
      <c r="Q20" s="319"/>
      <c r="R20">
        <f>P20/21</f>
        <v>7.4671704406779664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</v>
      </c>
      <c r="I21" s="236">
        <f t="shared" si="0"/>
        <v>72.64</v>
      </c>
      <c r="J21" s="272">
        <f t="shared" si="1"/>
        <v>5.8112000000000004</v>
      </c>
      <c r="K21" s="128">
        <f t="shared" si="1"/>
        <v>2.5424000000000002</v>
      </c>
      <c r="L21" s="119">
        <f t="shared" si="1"/>
        <v>0</v>
      </c>
      <c r="M21" s="230">
        <f t="shared" si="2"/>
        <v>64.2864</v>
      </c>
      <c r="N21" s="277">
        <f t="shared" si="3"/>
        <v>13.728813559322035</v>
      </c>
      <c r="O21" s="239">
        <f t="shared" si="4"/>
        <v>0.39007606779661019</v>
      </c>
      <c r="P21" s="119">
        <f t="shared" si="5"/>
        <v>78.405289627118648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5</v>
      </c>
      <c r="I25" s="114">
        <f t="shared" si="7"/>
        <v>363.2</v>
      </c>
      <c r="J25" s="274">
        <f>SUM(J16:J24)</f>
        <v>29.056000000000001</v>
      </c>
      <c r="K25" s="275">
        <f t="shared" si="7"/>
        <v>12.712000000000002</v>
      </c>
      <c r="L25" s="276">
        <f t="shared" si="7"/>
        <v>0</v>
      </c>
      <c r="M25" s="232">
        <f t="shared" si="7"/>
        <v>321.43200000000002</v>
      </c>
      <c r="N25" s="233">
        <f>SUM(N16:N24)</f>
        <v>68.644067796610173</v>
      </c>
      <c r="O25" s="101">
        <f>SUM(O16:O24)</f>
        <v>1.950380338983051</v>
      </c>
      <c r="P25" s="234">
        <f>SUM(P16:P24)</f>
        <v>392.02644813559323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363.2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29.056000000000001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12.712000000000002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321.43200000000002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68.644067796610173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390.07606779661018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1.950380338983051</v>
      </c>
    </row>
    <row r="35" spans="2:16" ht="15.75" customHeight="1" thickBot="1" x14ac:dyDescent="0.4">
      <c r="N35" s="374" t="s">
        <v>88</v>
      </c>
      <c r="O35" s="375"/>
      <c r="P35" s="297">
        <f>+P33+P34</f>
        <v>392.02644813559323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46283</v>
      </c>
      <c r="O5" s="394"/>
      <c r="P5" s="394"/>
      <c r="R5" s="85"/>
      <c r="S5" s="266"/>
    </row>
    <row r="6" spans="1:22 16383:16384" ht="15" customHeight="1" x14ac:dyDescent="0.4">
      <c r="A6" s="400" t="s">
        <v>528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Salman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535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</v>
      </c>
      <c r="I19" s="236">
        <f t="shared" si="0"/>
        <v>72.64</v>
      </c>
      <c r="J19" s="272">
        <f t="shared" si="1"/>
        <v>5.8112000000000004</v>
      </c>
      <c r="K19" s="128">
        <f t="shared" si="1"/>
        <v>2.5424000000000002</v>
      </c>
      <c r="L19" s="119">
        <f t="shared" si="1"/>
        <v>0</v>
      </c>
      <c r="M19" s="230">
        <f t="shared" si="2"/>
        <v>64.2864</v>
      </c>
      <c r="N19" s="277">
        <f t="shared" si="3"/>
        <v>13.728813559322035</v>
      </c>
      <c r="O19" s="239">
        <f t="shared" si="4"/>
        <v>0.39007606779661019</v>
      </c>
      <c r="P19" s="119">
        <f t="shared" si="5"/>
        <v>78.405289627118648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</v>
      </c>
      <c r="I20" s="236">
        <f t="shared" si="0"/>
        <v>145.28</v>
      </c>
      <c r="J20" s="272">
        <f t="shared" si="1"/>
        <v>11.622400000000001</v>
      </c>
      <c r="K20" s="128">
        <f t="shared" si="1"/>
        <v>5.0848000000000004</v>
      </c>
      <c r="L20" s="119">
        <f t="shared" si="1"/>
        <v>0</v>
      </c>
      <c r="M20" s="230">
        <f t="shared" si="2"/>
        <v>128.5728</v>
      </c>
      <c r="N20" s="277">
        <f t="shared" si="3"/>
        <v>27.457627118644069</v>
      </c>
      <c r="O20" s="239">
        <f t="shared" si="4"/>
        <v>0.78015213559322039</v>
      </c>
      <c r="P20" s="119">
        <f t="shared" si="5"/>
        <v>156.8105792542373</v>
      </c>
      <c r="Q20" s="319"/>
      <c r="R20">
        <f>P20/21</f>
        <v>7.4671704406779664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</v>
      </c>
      <c r="I21" s="236">
        <f t="shared" si="0"/>
        <v>145.28</v>
      </c>
      <c r="J21" s="272">
        <f t="shared" si="1"/>
        <v>11.622400000000001</v>
      </c>
      <c r="K21" s="128">
        <f t="shared" si="1"/>
        <v>5.0848000000000004</v>
      </c>
      <c r="L21" s="119">
        <f t="shared" si="1"/>
        <v>0</v>
      </c>
      <c r="M21" s="230">
        <f t="shared" si="2"/>
        <v>128.5728</v>
      </c>
      <c r="N21" s="277">
        <f t="shared" si="3"/>
        <v>27.457627118644069</v>
      </c>
      <c r="O21" s="239">
        <f t="shared" si="4"/>
        <v>0.78015213559322039</v>
      </c>
      <c r="P21" s="119">
        <f t="shared" si="5"/>
        <v>156.8105792542373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5</v>
      </c>
      <c r="I25" s="114">
        <f t="shared" si="7"/>
        <v>363.20000000000005</v>
      </c>
      <c r="J25" s="274">
        <f>SUM(J16:J24)</f>
        <v>29.056000000000004</v>
      </c>
      <c r="K25" s="275">
        <f t="shared" si="7"/>
        <v>12.712</v>
      </c>
      <c r="L25" s="276">
        <f t="shared" si="7"/>
        <v>0</v>
      </c>
      <c r="M25" s="232">
        <f t="shared" si="7"/>
        <v>321.43200000000002</v>
      </c>
      <c r="N25" s="233">
        <f>SUM(N16:N24)</f>
        <v>68.644067796610173</v>
      </c>
      <c r="O25" s="101">
        <f>SUM(O16:O24)</f>
        <v>1.950380338983051</v>
      </c>
      <c r="P25" s="234">
        <f>SUM(P16:P24)</f>
        <v>392.02644813559323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363.20000000000005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29.056000000000004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12.712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321.43200000000007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68.644067796610173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390.07606779661023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1.9503803389830512</v>
      </c>
    </row>
    <row r="35" spans="2:16" ht="15.75" customHeight="1" thickBot="1" x14ac:dyDescent="0.4">
      <c r="N35" s="374" t="s">
        <v>88</v>
      </c>
      <c r="O35" s="375"/>
      <c r="P35" s="297">
        <f>+P33+P34</f>
        <v>392.02644813559328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topLeftCell="A4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46283</v>
      </c>
      <c r="O5" s="394"/>
      <c r="P5" s="394"/>
      <c r="R5" s="85"/>
      <c r="S5" s="266"/>
    </row>
    <row r="6" spans="1:22 16383:16384" ht="15" customHeight="1" x14ac:dyDescent="0.4">
      <c r="A6" s="400" t="s">
        <v>529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Salman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535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</v>
      </c>
      <c r="I19" s="236">
        <f t="shared" si="0"/>
        <v>72.64</v>
      </c>
      <c r="J19" s="272">
        <f t="shared" si="1"/>
        <v>5.8112000000000004</v>
      </c>
      <c r="K19" s="128">
        <f t="shared" si="1"/>
        <v>2.5424000000000002</v>
      </c>
      <c r="L19" s="119">
        <f t="shared" si="1"/>
        <v>0</v>
      </c>
      <c r="M19" s="230">
        <f t="shared" si="2"/>
        <v>64.2864</v>
      </c>
      <c r="N19" s="277">
        <f t="shared" si="3"/>
        <v>13.728813559322035</v>
      </c>
      <c r="O19" s="239">
        <f t="shared" si="4"/>
        <v>0.39007606779661019</v>
      </c>
      <c r="P19" s="119">
        <f t="shared" si="5"/>
        <v>78.405289627118648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</v>
      </c>
      <c r="I20" s="236">
        <f t="shared" si="0"/>
        <v>145.28</v>
      </c>
      <c r="J20" s="272">
        <f t="shared" si="1"/>
        <v>11.622400000000001</v>
      </c>
      <c r="K20" s="128">
        <f t="shared" si="1"/>
        <v>5.0848000000000004</v>
      </c>
      <c r="L20" s="119">
        <f t="shared" si="1"/>
        <v>0</v>
      </c>
      <c r="M20" s="230">
        <f t="shared" si="2"/>
        <v>128.5728</v>
      </c>
      <c r="N20" s="277">
        <f t="shared" si="3"/>
        <v>27.457627118644069</v>
      </c>
      <c r="O20" s="239">
        <f t="shared" si="4"/>
        <v>0.78015213559322039</v>
      </c>
      <c r="P20" s="119">
        <f t="shared" si="5"/>
        <v>156.8105792542373</v>
      </c>
      <c r="Q20" s="319"/>
      <c r="R20">
        <f>P20/21</f>
        <v>7.4671704406779664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</v>
      </c>
      <c r="I21" s="236">
        <f t="shared" si="0"/>
        <v>145.28</v>
      </c>
      <c r="J21" s="272">
        <f t="shared" si="1"/>
        <v>11.622400000000001</v>
      </c>
      <c r="K21" s="128">
        <f t="shared" si="1"/>
        <v>5.0848000000000004</v>
      </c>
      <c r="L21" s="119">
        <f t="shared" si="1"/>
        <v>0</v>
      </c>
      <c r="M21" s="230">
        <f t="shared" si="2"/>
        <v>128.5728</v>
      </c>
      <c r="N21" s="277">
        <f t="shared" si="3"/>
        <v>27.457627118644069</v>
      </c>
      <c r="O21" s="239">
        <f t="shared" si="4"/>
        <v>0.78015213559322039</v>
      </c>
      <c r="P21" s="119">
        <f t="shared" si="5"/>
        <v>156.8105792542373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5</v>
      </c>
      <c r="I25" s="114">
        <f t="shared" si="7"/>
        <v>363.20000000000005</v>
      </c>
      <c r="J25" s="274">
        <f>SUM(J16:J24)</f>
        <v>29.056000000000004</v>
      </c>
      <c r="K25" s="275">
        <f t="shared" si="7"/>
        <v>12.712</v>
      </c>
      <c r="L25" s="276">
        <f t="shared" si="7"/>
        <v>0</v>
      </c>
      <c r="M25" s="232">
        <f t="shared" si="7"/>
        <v>321.43200000000002</v>
      </c>
      <c r="N25" s="233">
        <f>SUM(N16:N24)</f>
        <v>68.644067796610173</v>
      </c>
      <c r="O25" s="101">
        <f>SUM(O16:O24)</f>
        <v>1.950380338983051</v>
      </c>
      <c r="P25" s="234">
        <f>SUM(P16:P24)</f>
        <v>392.02644813559323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363.20000000000005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29.056000000000004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12.712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321.43200000000007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68.644067796610173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390.07606779661023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1.9503803389830512</v>
      </c>
    </row>
    <row r="35" spans="2:16" ht="15.75" customHeight="1" thickBot="1" x14ac:dyDescent="0.4">
      <c r="N35" s="374" t="s">
        <v>88</v>
      </c>
      <c r="O35" s="375"/>
      <c r="P35" s="297">
        <f>+P33+P34</f>
        <v>392.02644813559328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46283</v>
      </c>
      <c r="O5" s="394"/>
      <c r="P5" s="394"/>
      <c r="R5" s="85"/>
      <c r="S5" s="266"/>
    </row>
    <row r="6" spans="1:22 16383:16384" ht="15" customHeight="1" x14ac:dyDescent="0.4">
      <c r="A6" s="400" t="s">
        <v>530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Salman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535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</v>
      </c>
      <c r="I19" s="236">
        <f t="shared" si="0"/>
        <v>145.28</v>
      </c>
      <c r="J19" s="272">
        <f t="shared" si="1"/>
        <v>11.622400000000001</v>
      </c>
      <c r="K19" s="128">
        <f t="shared" si="1"/>
        <v>5.0848000000000004</v>
      </c>
      <c r="L19" s="119">
        <f t="shared" si="1"/>
        <v>0</v>
      </c>
      <c r="M19" s="230">
        <f t="shared" si="2"/>
        <v>128.5728</v>
      </c>
      <c r="N19" s="277">
        <f t="shared" si="3"/>
        <v>27.457627118644069</v>
      </c>
      <c r="O19" s="239">
        <f t="shared" si="4"/>
        <v>0.78015213559322039</v>
      </c>
      <c r="P19" s="119">
        <f t="shared" si="5"/>
        <v>156.8105792542373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</v>
      </c>
      <c r="I20" s="236">
        <f t="shared" si="0"/>
        <v>72.64</v>
      </c>
      <c r="J20" s="272">
        <f t="shared" si="1"/>
        <v>5.8112000000000004</v>
      </c>
      <c r="K20" s="128">
        <f t="shared" si="1"/>
        <v>2.5424000000000002</v>
      </c>
      <c r="L20" s="119">
        <f t="shared" si="1"/>
        <v>0</v>
      </c>
      <c r="M20" s="230">
        <f t="shared" si="2"/>
        <v>64.2864</v>
      </c>
      <c r="N20" s="277">
        <f t="shared" si="3"/>
        <v>13.728813559322035</v>
      </c>
      <c r="O20" s="239">
        <f t="shared" si="4"/>
        <v>0.39007606779661019</v>
      </c>
      <c r="P20" s="119">
        <f t="shared" si="5"/>
        <v>78.405289627118648</v>
      </c>
      <c r="Q20" s="319"/>
      <c r="R20">
        <f>P20/21</f>
        <v>3.7335852203389832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</v>
      </c>
      <c r="I21" s="236">
        <f t="shared" si="0"/>
        <v>145.28</v>
      </c>
      <c r="J21" s="272">
        <f t="shared" si="1"/>
        <v>11.622400000000001</v>
      </c>
      <c r="K21" s="128">
        <f t="shared" si="1"/>
        <v>5.0848000000000004</v>
      </c>
      <c r="L21" s="119">
        <f t="shared" si="1"/>
        <v>0</v>
      </c>
      <c r="M21" s="230">
        <f t="shared" si="2"/>
        <v>128.5728</v>
      </c>
      <c r="N21" s="277">
        <f t="shared" si="3"/>
        <v>27.457627118644069</v>
      </c>
      <c r="O21" s="239">
        <f t="shared" si="4"/>
        <v>0.78015213559322039</v>
      </c>
      <c r="P21" s="119">
        <f t="shared" si="5"/>
        <v>156.8105792542373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5</v>
      </c>
      <c r="I25" s="114">
        <f t="shared" si="7"/>
        <v>363.20000000000005</v>
      </c>
      <c r="J25" s="274">
        <f>SUM(J16:J24)</f>
        <v>29.056000000000004</v>
      </c>
      <c r="K25" s="275">
        <f t="shared" si="7"/>
        <v>12.712</v>
      </c>
      <c r="L25" s="276">
        <f t="shared" si="7"/>
        <v>0</v>
      </c>
      <c r="M25" s="232">
        <f t="shared" si="7"/>
        <v>321.43200000000002</v>
      </c>
      <c r="N25" s="233">
        <f>SUM(N16:N24)</f>
        <v>68.644067796610173</v>
      </c>
      <c r="O25" s="101">
        <f>SUM(O16:O24)</f>
        <v>1.950380338983051</v>
      </c>
      <c r="P25" s="234">
        <f>SUM(P16:P24)</f>
        <v>392.02644813559323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363.20000000000005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29.056000000000004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12.712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321.43200000000007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68.644067796610173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390.07606779661023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1.9503803389830512</v>
      </c>
    </row>
    <row r="35" spans="2:16" ht="15.75" customHeight="1" thickBot="1" x14ac:dyDescent="0.4">
      <c r="N35" s="374" t="s">
        <v>88</v>
      </c>
      <c r="O35" s="375"/>
      <c r="P35" s="297">
        <f>+P33+P34</f>
        <v>392.02644813559328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46283</v>
      </c>
      <c r="O5" s="394"/>
      <c r="P5" s="394"/>
      <c r="R5" s="85"/>
      <c r="S5" s="266"/>
    </row>
    <row r="6" spans="1:22 16383:16384" ht="15" customHeight="1" x14ac:dyDescent="0.4">
      <c r="A6" s="400" t="s">
        <v>531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Salman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535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</v>
      </c>
      <c r="I19" s="236">
        <f t="shared" si="0"/>
        <v>145.28</v>
      </c>
      <c r="J19" s="272">
        <f t="shared" si="1"/>
        <v>11.622400000000001</v>
      </c>
      <c r="K19" s="128">
        <f t="shared" si="1"/>
        <v>5.0848000000000004</v>
      </c>
      <c r="L19" s="119">
        <f t="shared" si="1"/>
        <v>0</v>
      </c>
      <c r="M19" s="230">
        <f t="shared" si="2"/>
        <v>128.5728</v>
      </c>
      <c r="N19" s="277">
        <f t="shared" si="3"/>
        <v>27.457627118644069</v>
      </c>
      <c r="O19" s="239">
        <f t="shared" si="4"/>
        <v>0.78015213559322039</v>
      </c>
      <c r="P19" s="119">
        <f t="shared" si="5"/>
        <v>156.8105792542373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>
        <v>2</v>
      </c>
      <c r="I21" s="236">
        <f t="shared" si="0"/>
        <v>145.28</v>
      </c>
      <c r="J21" s="272">
        <f t="shared" si="1"/>
        <v>11.622400000000001</v>
      </c>
      <c r="K21" s="128">
        <f t="shared" si="1"/>
        <v>5.0848000000000004</v>
      </c>
      <c r="L21" s="119">
        <f t="shared" si="1"/>
        <v>0</v>
      </c>
      <c r="M21" s="230">
        <f t="shared" si="2"/>
        <v>128.5728</v>
      </c>
      <c r="N21" s="277">
        <f t="shared" si="3"/>
        <v>27.457627118644069</v>
      </c>
      <c r="O21" s="239">
        <f t="shared" si="4"/>
        <v>0.78015213559322039</v>
      </c>
      <c r="P21" s="119">
        <f t="shared" si="5"/>
        <v>156.8105792542373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4</v>
      </c>
      <c r="I25" s="114">
        <f t="shared" si="7"/>
        <v>290.56</v>
      </c>
      <c r="J25" s="274">
        <f>SUM(J16:J24)</f>
        <v>23.244800000000001</v>
      </c>
      <c r="K25" s="275">
        <f t="shared" si="7"/>
        <v>10.169600000000001</v>
      </c>
      <c r="L25" s="276">
        <f t="shared" si="7"/>
        <v>0</v>
      </c>
      <c r="M25" s="232">
        <f t="shared" si="7"/>
        <v>257.1456</v>
      </c>
      <c r="N25" s="233">
        <f>SUM(N16:N24)</f>
        <v>54.915254237288138</v>
      </c>
      <c r="O25" s="101">
        <f>SUM(O16:O24)</f>
        <v>1.5603042711864408</v>
      </c>
      <c r="P25" s="234">
        <f>SUM(P16:P24)</f>
        <v>313.62115850847459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290.56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23.244800000000001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10.169600000000001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257.1456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54.915254237288138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312.06085423728814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1.5603042711864408</v>
      </c>
    </row>
    <row r="35" spans="2:16" ht="15.75" customHeight="1" thickBot="1" x14ac:dyDescent="0.4">
      <c r="N35" s="374" t="s">
        <v>88</v>
      </c>
      <c r="O35" s="375"/>
      <c r="P35" s="297">
        <f>+P33+P34</f>
        <v>313.62115850847459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46283</v>
      </c>
      <c r="O5" s="394"/>
      <c r="P5" s="394"/>
      <c r="R5" s="85"/>
      <c r="S5" s="266"/>
    </row>
    <row r="6" spans="1:22 16383:16384" ht="15" customHeight="1" x14ac:dyDescent="0.4">
      <c r="A6" s="400" t="s">
        <v>532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Salman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535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3</v>
      </c>
      <c r="I19" s="236">
        <f t="shared" si="0"/>
        <v>217.92000000000002</v>
      </c>
      <c r="J19" s="272">
        <f t="shared" si="1"/>
        <v>17.433600000000002</v>
      </c>
      <c r="K19" s="128">
        <f t="shared" si="1"/>
        <v>7.6272000000000011</v>
      </c>
      <c r="L19" s="119">
        <f t="shared" si="1"/>
        <v>0</v>
      </c>
      <c r="M19" s="230">
        <f t="shared" si="2"/>
        <v>192.85920000000002</v>
      </c>
      <c r="N19" s="277">
        <f t="shared" si="3"/>
        <v>41.186440677966104</v>
      </c>
      <c r="O19" s="239">
        <f t="shared" si="4"/>
        <v>1.1702282033898306</v>
      </c>
      <c r="P19" s="119">
        <f t="shared" si="5"/>
        <v>235.21586888135593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</v>
      </c>
      <c r="I21" s="236">
        <f t="shared" si="0"/>
        <v>72.64</v>
      </c>
      <c r="J21" s="272">
        <f t="shared" si="1"/>
        <v>5.8112000000000004</v>
      </c>
      <c r="K21" s="128">
        <f t="shared" si="1"/>
        <v>2.5424000000000002</v>
      </c>
      <c r="L21" s="119">
        <f t="shared" si="1"/>
        <v>0</v>
      </c>
      <c r="M21" s="230">
        <f t="shared" si="2"/>
        <v>64.2864</v>
      </c>
      <c r="N21" s="277">
        <f t="shared" si="3"/>
        <v>13.728813559322035</v>
      </c>
      <c r="O21" s="239">
        <f t="shared" si="4"/>
        <v>0.39007606779661019</v>
      </c>
      <c r="P21" s="119">
        <f t="shared" si="5"/>
        <v>78.405289627118648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4</v>
      </c>
      <c r="I25" s="114">
        <f t="shared" si="7"/>
        <v>290.56</v>
      </c>
      <c r="J25" s="274">
        <f>SUM(J16:J24)</f>
        <v>23.244800000000001</v>
      </c>
      <c r="K25" s="275">
        <f t="shared" si="7"/>
        <v>10.169600000000001</v>
      </c>
      <c r="L25" s="276">
        <f t="shared" si="7"/>
        <v>0</v>
      </c>
      <c r="M25" s="232">
        <f t="shared" si="7"/>
        <v>257.1456</v>
      </c>
      <c r="N25" s="233">
        <f>SUM(N16:N24)</f>
        <v>54.915254237288138</v>
      </c>
      <c r="O25" s="101">
        <f>SUM(O16:O24)</f>
        <v>1.5603042711864408</v>
      </c>
      <c r="P25" s="234">
        <f>SUM(P16:P24)</f>
        <v>313.62115850847459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290.56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23.244800000000001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10.169600000000001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257.1456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54.915254237288138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312.06085423728814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1.5603042711864408</v>
      </c>
    </row>
    <row r="35" spans="2:16" ht="15.75" customHeight="1" thickBot="1" x14ac:dyDescent="0.4">
      <c r="N35" s="374" t="s">
        <v>88</v>
      </c>
      <c r="O35" s="375"/>
      <c r="P35" s="297">
        <f>+P33+P34</f>
        <v>313.62115850847459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46283</v>
      </c>
      <c r="O5" s="394"/>
      <c r="P5" s="394"/>
      <c r="R5" s="85"/>
      <c r="S5" s="266"/>
    </row>
    <row r="6" spans="1:22 16383:16384" ht="15" customHeight="1" x14ac:dyDescent="0.4">
      <c r="A6" s="400" t="s">
        <v>533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Salman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535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3</v>
      </c>
      <c r="I19" s="236">
        <f t="shared" si="0"/>
        <v>217.92000000000002</v>
      </c>
      <c r="J19" s="272">
        <f t="shared" si="1"/>
        <v>17.433600000000002</v>
      </c>
      <c r="K19" s="128">
        <f t="shared" si="1"/>
        <v>7.6272000000000011</v>
      </c>
      <c r="L19" s="119">
        <f t="shared" si="1"/>
        <v>0</v>
      </c>
      <c r="M19" s="230">
        <f t="shared" si="2"/>
        <v>192.85920000000002</v>
      </c>
      <c r="N19" s="277">
        <f t="shared" si="3"/>
        <v>41.186440677966104</v>
      </c>
      <c r="O19" s="239">
        <f t="shared" si="4"/>
        <v>1.1702282033898306</v>
      </c>
      <c r="P19" s="119">
        <f t="shared" si="5"/>
        <v>235.21586888135593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3</v>
      </c>
      <c r="I25" s="114">
        <f t="shared" si="7"/>
        <v>217.92000000000002</v>
      </c>
      <c r="J25" s="274">
        <f>SUM(J16:J24)</f>
        <v>17.433600000000002</v>
      </c>
      <c r="K25" s="275">
        <f t="shared" si="7"/>
        <v>7.6272000000000011</v>
      </c>
      <c r="L25" s="276">
        <f t="shared" si="7"/>
        <v>0</v>
      </c>
      <c r="M25" s="232">
        <f t="shared" si="7"/>
        <v>192.85920000000002</v>
      </c>
      <c r="N25" s="233">
        <f>SUM(N16:N24)</f>
        <v>41.186440677966104</v>
      </c>
      <c r="O25" s="101">
        <f>SUM(O16:O24)</f>
        <v>1.1702282033898306</v>
      </c>
      <c r="P25" s="234">
        <f>SUM(P16:P24)</f>
        <v>235.21586888135593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217.92000000000002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17.433600000000002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7.6272000000000011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192.85920000000002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41.186440677966104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234.04564067796611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1.1702282033898306</v>
      </c>
    </row>
    <row r="35" spans="2:16" ht="15.75" customHeight="1" thickBot="1" x14ac:dyDescent="0.4">
      <c r="N35" s="374" t="s">
        <v>88</v>
      </c>
      <c r="O35" s="375"/>
      <c r="P35" s="297">
        <f>+P33+P34</f>
        <v>235.21586888135593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topLeftCell="A4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46283</v>
      </c>
      <c r="O5" s="394"/>
      <c r="P5" s="394"/>
      <c r="R5" s="85"/>
      <c r="S5" s="266"/>
    </row>
    <row r="6" spans="1:22 16383:16384" ht="18.75" customHeight="1" x14ac:dyDescent="0.4">
      <c r="A6" s="400" t="s">
        <v>534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Salman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535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</v>
      </c>
      <c r="I19" s="236">
        <f t="shared" si="0"/>
        <v>290.56</v>
      </c>
      <c r="J19" s="272">
        <f t="shared" si="1"/>
        <v>23.244800000000001</v>
      </c>
      <c r="K19" s="128">
        <f t="shared" si="1"/>
        <v>10.169600000000001</v>
      </c>
      <c r="L19" s="119">
        <f t="shared" si="1"/>
        <v>0</v>
      </c>
      <c r="M19" s="230">
        <f t="shared" si="2"/>
        <v>257.1456</v>
      </c>
      <c r="N19" s="277">
        <f t="shared" si="3"/>
        <v>54.915254237288138</v>
      </c>
      <c r="O19" s="239">
        <f t="shared" si="4"/>
        <v>1.5603042711864408</v>
      </c>
      <c r="P19" s="119">
        <f t="shared" si="5"/>
        <v>313.62115850847459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4</v>
      </c>
      <c r="I25" s="114">
        <f t="shared" si="7"/>
        <v>290.56</v>
      </c>
      <c r="J25" s="274">
        <f>SUM(J16:J24)</f>
        <v>23.244800000000001</v>
      </c>
      <c r="K25" s="275">
        <f t="shared" si="7"/>
        <v>10.169600000000001</v>
      </c>
      <c r="L25" s="276">
        <f t="shared" si="7"/>
        <v>0</v>
      </c>
      <c r="M25" s="232">
        <f t="shared" si="7"/>
        <v>257.1456</v>
      </c>
      <c r="N25" s="233">
        <f>SUM(N16:N24)</f>
        <v>54.915254237288138</v>
      </c>
      <c r="O25" s="101">
        <f>SUM(O16:O24)</f>
        <v>1.5603042711864408</v>
      </c>
      <c r="P25" s="234">
        <f>SUM(P16:P24)</f>
        <v>313.62115850847459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290.56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23.244800000000001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10.169600000000001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257.1456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54.915254237288138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312.06085423728814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1.5603042711864408</v>
      </c>
    </row>
    <row r="35" spans="2:16" ht="15.75" customHeight="1" thickBot="1" x14ac:dyDescent="0.4">
      <c r="N35" s="374" t="s">
        <v>88</v>
      </c>
      <c r="O35" s="375"/>
      <c r="P35" s="297">
        <f>+P33+P34</f>
        <v>313.62115850847459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46283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Salman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535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46283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Salman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46283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Salman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46283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Salman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46283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Salman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46283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Salman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46283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Salman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46283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Salman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46283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Salman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46283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 xml:space="preserve">Salman 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3" t="s">
        <v>91</v>
      </c>
      <c r="B2" s="393"/>
      <c r="C2" s="393"/>
    </row>
    <row r="3" spans="1:18 16382:16383" ht="15" customHeight="1" x14ac:dyDescent="0.35">
      <c r="A3" s="394" t="s">
        <v>92</v>
      </c>
      <c r="B3" s="394"/>
      <c r="C3" s="394"/>
      <c r="F3" s="85"/>
      <c r="G3" s="1"/>
      <c r="J3" s="395" t="s">
        <v>43</v>
      </c>
      <c r="K3" s="395"/>
      <c r="L3" s="395"/>
      <c r="M3" s="394"/>
      <c r="N3" s="394"/>
      <c r="O3" s="394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4" t="s">
        <v>65</v>
      </c>
      <c r="B4" s="394"/>
      <c r="C4" s="394"/>
      <c r="F4" s="85"/>
      <c r="G4" s="1"/>
      <c r="J4" s="395" t="s">
        <v>44</v>
      </c>
      <c r="K4" s="395"/>
      <c r="L4" s="395"/>
      <c r="M4" s="398">
        <f ca="1">TODAY()+1</f>
        <v>46284</v>
      </c>
      <c r="N4" s="398"/>
      <c r="O4" s="398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9" t="s">
        <v>93</v>
      </c>
      <c r="B5" s="399"/>
      <c r="C5" s="399"/>
      <c r="F5" s="85"/>
      <c r="G5" s="1"/>
      <c r="J5" s="395" t="s">
        <v>45</v>
      </c>
      <c r="K5" s="395"/>
      <c r="L5" s="395"/>
      <c r="M5" s="398">
        <f ca="1">M4-1</f>
        <v>46283</v>
      </c>
      <c r="N5" s="394"/>
      <c r="O5" s="394"/>
      <c r="Q5" s="85"/>
      <c r="R5" s="1"/>
    </row>
    <row r="6" spans="1:18 16382:16383" ht="15" customHeight="1" x14ac:dyDescent="0.35">
      <c r="A6" s="395" t="s">
        <v>94</v>
      </c>
      <c r="B6" s="395"/>
      <c r="C6" s="395"/>
      <c r="F6" s="85"/>
      <c r="G6" s="86"/>
      <c r="J6" s="395" t="s">
        <v>69</v>
      </c>
      <c r="K6" s="395"/>
      <c r="L6" s="395"/>
      <c r="M6" s="397" t="s">
        <v>62</v>
      </c>
      <c r="N6" s="397"/>
      <c r="O6" s="397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5" t="s">
        <v>73</v>
      </c>
      <c r="B7" s="395"/>
      <c r="C7" s="395"/>
      <c r="F7" s="85"/>
      <c r="G7" s="86"/>
      <c r="J7" s="395" t="s">
        <v>66</v>
      </c>
      <c r="K7" s="395"/>
      <c r="L7" s="395"/>
      <c r="M7" s="397" t="s">
        <v>70</v>
      </c>
      <c r="N7" s="397"/>
      <c r="O7" s="397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401" t="s">
        <v>95</v>
      </c>
      <c r="B8" s="401"/>
      <c r="C8" s="401"/>
      <c r="F8" s="85"/>
      <c r="G8" s="86"/>
      <c r="J8" s="395" t="s">
        <v>67</v>
      </c>
      <c r="K8" s="395"/>
      <c r="L8" s="395"/>
      <c r="M8" s="397" t="s">
        <v>71</v>
      </c>
      <c r="N8" s="397"/>
      <c r="O8" s="397"/>
      <c r="Q8" s="85"/>
      <c r="R8" s="86"/>
    </row>
    <row r="9" spans="1:18 16382:16383" x14ac:dyDescent="0.35">
      <c r="A9" s="401" t="s">
        <v>96</v>
      </c>
      <c r="B9" s="401"/>
      <c r="C9" s="401"/>
      <c r="F9" s="85"/>
      <c r="G9" s="86"/>
      <c r="J9" s="395" t="s">
        <v>68</v>
      </c>
      <c r="K9" s="395"/>
      <c r="L9" s="395"/>
      <c r="M9" s="397" t="s">
        <v>104</v>
      </c>
      <c r="N9" s="397"/>
      <c r="O9" s="397"/>
      <c r="Q9" s="85"/>
      <c r="R9" s="86"/>
      <c r="XFC9" t="s">
        <v>49</v>
      </c>
    </row>
    <row r="10" spans="1:18 16382:16383" x14ac:dyDescent="0.35">
      <c r="A10" s="401" t="s">
        <v>97</v>
      </c>
      <c r="B10" s="401"/>
      <c r="C10" s="401"/>
      <c r="F10" s="85"/>
      <c r="G10" s="1"/>
      <c r="J10" s="395" t="s">
        <v>46</v>
      </c>
      <c r="K10" s="395"/>
      <c r="L10" s="395"/>
      <c r="M10" s="394" t="s">
        <v>47</v>
      </c>
      <c r="N10" s="394"/>
      <c r="O10" s="394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5" t="s">
        <v>48</v>
      </c>
      <c r="K11" s="395"/>
      <c r="L11" s="395"/>
      <c r="M11" s="394" t="s">
        <v>49</v>
      </c>
      <c r="N11" s="394"/>
      <c r="O11" s="394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5" t="s">
        <v>50</v>
      </c>
      <c r="K12" s="395"/>
      <c r="L12" s="395"/>
      <c r="M12" s="394"/>
      <c r="N12" s="394"/>
      <c r="O12" s="394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5" t="s">
        <v>51</v>
      </c>
      <c r="B14" s="346"/>
      <c r="C14" s="349" t="s">
        <v>90</v>
      </c>
      <c r="D14" s="88" t="s">
        <v>52</v>
      </c>
      <c r="E14" s="95" t="s">
        <v>74</v>
      </c>
      <c r="F14" s="115" t="s">
        <v>53</v>
      </c>
      <c r="G14" s="392" t="s">
        <v>54</v>
      </c>
      <c r="H14" s="354"/>
      <c r="I14" s="355" t="s">
        <v>77</v>
      </c>
      <c r="J14" s="353" t="s">
        <v>55</v>
      </c>
      <c r="K14" s="354"/>
      <c r="L14" s="355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7"/>
      <c r="B15" s="348"/>
      <c r="C15" s="350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6"/>
      <c r="J15" s="144" t="s">
        <v>39</v>
      </c>
      <c r="K15" s="145" t="s">
        <v>59</v>
      </c>
      <c r="L15" s="356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1"/>
      <c r="M28" s="368" t="s">
        <v>60</v>
      </c>
      <c r="N28" s="369"/>
      <c r="O28" s="139">
        <f>I25</f>
        <v>1452.8</v>
      </c>
    </row>
    <row r="29" spans="1:18 16383:16383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4"/>
      <c r="M29" s="370" t="s">
        <v>85</v>
      </c>
      <c r="N29" s="371"/>
      <c r="O29" s="140">
        <f>K25</f>
        <v>0</v>
      </c>
    </row>
    <row r="30" spans="1:18 16383:16383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4"/>
      <c r="M30" s="370" t="s">
        <v>86</v>
      </c>
      <c r="N30" s="371"/>
      <c r="O30" s="140">
        <f>J25</f>
        <v>50.848000000000006</v>
      </c>
    </row>
    <row r="31" spans="1:18 16383:16383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4"/>
      <c r="L31" s="131"/>
      <c r="M31" s="370" t="s">
        <v>87</v>
      </c>
      <c r="N31" s="371"/>
      <c r="O31" s="140">
        <f>O28-O29-O30</f>
        <v>1401.952</v>
      </c>
    </row>
    <row r="32" spans="1:18 16383:16383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4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4"/>
      <c r="L33" s="131"/>
      <c r="M33" s="372" t="s">
        <v>76</v>
      </c>
      <c r="N33" s="373"/>
      <c r="O33" s="140">
        <f>O31+O32</f>
        <v>1710.3814400000001</v>
      </c>
    </row>
    <row r="34" spans="2:15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7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4" t="s">
        <v>88</v>
      </c>
      <c r="N35" s="375"/>
      <c r="O35" s="141">
        <f>O28-O29+O31+O34</f>
        <v>2897.511536</v>
      </c>
    </row>
    <row r="36" spans="2:15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5" t="s">
        <v>439</v>
      </c>
      <c r="E1" s="337" t="s">
        <v>58</v>
      </c>
      <c r="F1" s="337"/>
      <c r="G1" s="338" t="s">
        <v>440</v>
      </c>
      <c r="H1" s="338"/>
      <c r="I1" s="406" t="s">
        <v>441</v>
      </c>
      <c r="J1" s="406"/>
      <c r="K1" s="406" t="s">
        <v>442</v>
      </c>
      <c r="L1" s="406"/>
      <c r="M1" s="402" t="s">
        <v>484</v>
      </c>
      <c r="N1" s="403"/>
      <c r="O1" s="404"/>
    </row>
    <row r="2" spans="3:24" ht="29" x14ac:dyDescent="0.35">
      <c r="C2" s="337"/>
      <c r="D2" s="405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7" t="s">
        <v>476</v>
      </c>
      <c r="D6" s="407"/>
      <c r="E6" s="407"/>
      <c r="F6" s="407"/>
      <c r="G6" s="407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9" t="s">
        <v>58</v>
      </c>
      <c r="F7" s="409"/>
      <c r="G7" s="410" t="s">
        <v>440</v>
      </c>
      <c r="H7" s="338"/>
      <c r="I7" s="339" t="s">
        <v>441</v>
      </c>
      <c r="J7" s="340"/>
      <c r="K7" s="339" t="s">
        <v>442</v>
      </c>
      <c r="L7" s="340"/>
      <c r="M7" s="402" t="s">
        <v>484</v>
      </c>
      <c r="N7" s="403"/>
      <c r="O7" s="404"/>
      <c r="P7" s="256" t="s">
        <v>475</v>
      </c>
      <c r="Q7" s="242" t="s">
        <v>473</v>
      </c>
      <c r="R7" s="405" t="s">
        <v>475</v>
      </c>
      <c r="S7" s="405" t="s">
        <v>485</v>
      </c>
      <c r="T7" s="411" t="s">
        <v>486</v>
      </c>
      <c r="U7" s="411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5"/>
      <c r="S8" s="405"/>
      <c r="T8" s="410"/>
      <c r="U8" s="410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8" t="s">
        <v>477</v>
      </c>
      <c r="D12" s="408"/>
      <c r="E12" s="408"/>
      <c r="F12" s="408"/>
      <c r="G12" s="408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2" t="s">
        <v>484</v>
      </c>
      <c r="N13" s="403"/>
      <c r="O13" s="404"/>
      <c r="P13" s="256" t="s">
        <v>475</v>
      </c>
      <c r="Q13" s="242" t="s">
        <v>473</v>
      </c>
      <c r="R13" s="405" t="s">
        <v>475</v>
      </c>
      <c r="S13" s="405" t="s">
        <v>485</v>
      </c>
      <c r="T13" s="411" t="s">
        <v>486</v>
      </c>
      <c r="U13" s="411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5"/>
      <c r="S14" s="405"/>
      <c r="T14" s="410"/>
      <c r="U14" s="410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7" t="s">
        <v>478</v>
      </c>
      <c r="D19" s="407"/>
      <c r="E19" s="407"/>
      <c r="F19" s="407"/>
      <c r="G19" s="407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2" t="s">
        <v>484</v>
      </c>
      <c r="N20" s="403"/>
      <c r="O20" s="404"/>
      <c r="P20" s="256" t="s">
        <v>475</v>
      </c>
      <c r="Q20" s="242" t="s">
        <v>473</v>
      </c>
      <c r="R20" s="405" t="s">
        <v>475</v>
      </c>
      <c r="S20" s="405" t="s">
        <v>485</v>
      </c>
      <c r="T20" s="411" t="s">
        <v>486</v>
      </c>
      <c r="U20" s="411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5"/>
      <c r="S21" s="405"/>
      <c r="T21" s="410"/>
      <c r="U21" s="410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7" t="s">
        <v>479</v>
      </c>
      <c r="D26" s="407"/>
      <c r="E26" s="407"/>
      <c r="F26" s="407"/>
      <c r="G26" s="407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2" t="s">
        <v>484</v>
      </c>
      <c r="N27" s="403"/>
      <c r="O27" s="404"/>
      <c r="P27" s="256" t="s">
        <v>475</v>
      </c>
      <c r="Q27" s="242" t="s">
        <v>473</v>
      </c>
      <c r="R27" s="405" t="s">
        <v>475</v>
      </c>
      <c r="S27" s="405" t="s">
        <v>485</v>
      </c>
      <c r="T27" s="411" t="s">
        <v>486</v>
      </c>
      <c r="U27" s="411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5"/>
      <c r="S28" s="405"/>
      <c r="T28" s="410"/>
      <c r="U28" s="410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5" t="s">
        <v>439</v>
      </c>
      <c r="D1" s="337" t="s">
        <v>58</v>
      </c>
      <c r="E1" s="337"/>
      <c r="F1" s="338" t="s">
        <v>440</v>
      </c>
      <c r="G1" s="338"/>
      <c r="H1" s="406" t="s">
        <v>441</v>
      </c>
      <c r="I1" s="406"/>
      <c r="J1" s="406" t="s">
        <v>442</v>
      </c>
      <c r="K1" s="406"/>
      <c r="L1" s="402" t="s">
        <v>484</v>
      </c>
      <c r="M1" s="403"/>
      <c r="N1" s="404"/>
    </row>
    <row r="2" spans="2:17" ht="29" x14ac:dyDescent="0.35">
      <c r="B2" s="337"/>
      <c r="C2" s="405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3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4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4"/>
      <c r="G60" s="160" t="s">
        <v>195</v>
      </c>
      <c r="H60" s="161" t="s">
        <v>100</v>
      </c>
    </row>
    <row r="61" spans="5:8" x14ac:dyDescent="0.35">
      <c r="E61" s="159" t="s">
        <v>192</v>
      </c>
      <c r="F61" s="414"/>
      <c r="G61" s="160" t="s">
        <v>196</v>
      </c>
      <c r="H61" s="161" t="s">
        <v>98</v>
      </c>
    </row>
    <row r="62" spans="5:8" x14ac:dyDescent="0.35">
      <c r="E62" s="159" t="s">
        <v>192</v>
      </c>
      <c r="F62" s="414"/>
      <c r="G62" s="160" t="s">
        <v>197</v>
      </c>
      <c r="H62" s="161" t="s">
        <v>101</v>
      </c>
    </row>
    <row r="63" spans="5:8" x14ac:dyDescent="0.35">
      <c r="E63" s="159" t="s">
        <v>192</v>
      </c>
      <c r="F63" s="414"/>
      <c r="G63" s="160" t="s">
        <v>198</v>
      </c>
      <c r="H63" s="161" t="s">
        <v>102</v>
      </c>
    </row>
    <row r="64" spans="5:8" x14ac:dyDescent="0.35">
      <c r="E64" s="159" t="s">
        <v>192</v>
      </c>
      <c r="F64" s="414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4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4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4"/>
      <c r="G121" s="160" t="s">
        <v>273</v>
      </c>
      <c r="H121" s="161" t="s">
        <v>98</v>
      </c>
    </row>
    <row r="122" spans="5:8" x14ac:dyDescent="0.35">
      <c r="E122" s="159" t="s">
        <v>269</v>
      </c>
      <c r="F122" s="414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4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4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4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4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4"/>
      <c r="G241" s="160" t="s">
        <v>432</v>
      </c>
      <c r="H241" s="161" t="s">
        <v>98</v>
      </c>
    </row>
    <row r="242" spans="5:8" x14ac:dyDescent="0.35">
      <c r="E242" s="159" t="s">
        <v>428</v>
      </c>
      <c r="F242" s="414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4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4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2026-09-18T11:36:55Z</dcterms:modified>
</cp:coreProperties>
</file>