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A1CC174-0D22-44CF-B5FC-7C26EA242027}" xr6:coauthVersionLast="47" xr6:coauthVersionMax="47" xr10:uidLastSave="{00000000-0000-0000-0000-000000000000}"/>
  <bookViews>
    <workbookView xWindow="-110" yWindow="-110" windowWidth="19420" windowHeight="10420" tabRatio="948" firstSheet="3" activeTab="11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<sst xmlns="http://schemas.openxmlformats.org/spreadsheetml/2006/main" count="3948" uniqueCount="528">
  <si>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</si>
  <si>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</si>
  <si>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</si>
  <si>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</si>
  <si>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</si>
  <si>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</si>
  <si>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</si>
  <si>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</si>
  <si>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</si>
  <si>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</si>
  <si>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</si>
  <si>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</si>
  <si>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</si>
  <si>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</si>
  <si>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</si>
  <si>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</si>
  <si>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</si>
  <si>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</si>
  <si>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</si>
  <si>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</si>
  <si>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</si>
  <si>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</si>
  <si>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</si>
  <si>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</si>
  <si>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</si>
  <si>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</si>
  <si>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</si>
  <si>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</si>
  <si>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</si>
  <si>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</si>
  <si>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</si>
  <si>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</si>
  <si>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</si>
  <si>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</si>
  <si>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</si>
  <si>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</si>
  <si>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</si>
  <si>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</si>
  <si>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</si>
  <si>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</si>
  <si>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</si>
  <si>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</si>
  <si>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</si>
  <si>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</si>
  <si>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</si>
  <si>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</si>
  <si>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</si>
  <si>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</si>
  <si>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</si>
  <si>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</si>
  <si>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</si>
  <si>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</si>
  <si>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</si>
  <si>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</si>
  <si>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</si>
  <si>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</si>
  <si>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</si>
  <si>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</si>
  <si>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</si>
  <si>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</si>
  <si>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</si>
  <si>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</si>
  <si>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</si>
  <si>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</si>
  <si>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</si>
  <si>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</si>
  <si>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</si>
  <si>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</si>
  <si>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</si>
  <si>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</si>
  <si>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</si>
  <si>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</si>
  <si>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</si>
  <si>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</si>
  <si>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</si>
  <si>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</si>
  <si>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</si>
  <si>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</si>
  <si>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</si>
  <si>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</si>
  <si>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</si>
  <si>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</si>
  <si>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</si>
  <si>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</si>
  <si>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</si>
  <si>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</si>
  <si>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</si>
  <si>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</si>
  <si>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</si>
  <si>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</si>
  <si>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</si>
  <si>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</si>
  <si>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</si>
  <si>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</si>
  <si>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</si>
  <si>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</si>
  <si>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</si>
  <si>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</si>
  <si>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</si>
  <si>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</si>
  <si>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</si>
  <si>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</si>
  <si>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</si>
  <si>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</si>
  <si>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</si>
  <si>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</si>
  <si>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</si>
  <si>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</si>
  <si>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</si>
  <si>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</si>
  <si>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</si>
  <si>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</si>
  <si>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</si>
  <si>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</si>
  <si>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</si>
  <si>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</si>
  <si>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</si>
  <si>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</si>
  <si>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</si>
  <si>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</si>
  <si>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</si>
  <si>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</si>
  <si>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</si>
  <si>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</si>
  <si>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</si>
  <si>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</si>
  <si>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</si>
  <si>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</si>
  <si>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</si>
  <si>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</si>
  <si>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</si>
  <si>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</si>
  <si>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</si>
  <si>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</si>
  <si>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</si>
  <si>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</si>
  <si>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</si>
  <si>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</si>
  <si>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</si>
  <si>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</si>
  <si>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</si>
  <si>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</si>
  <si>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</si>
  <si>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</si>
  <si>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</si>
  <si>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</si>
  <si>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</si>
  <si>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</si>
  <si>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</si>
  <si>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</si>
  <si>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</si>
  <si>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</si>
  <si>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</si>
  <si>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</si>
  <si>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</si>
  <si>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</si>
  <si>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</si>
  <si>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</si>
  <si>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</si>
  <si>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</si>
  <si>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</si>
  <si>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</si>
  <si>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</si>
  <si>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</si>
  <si>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</si>
  <si>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</si>
  <si>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</si>
  <si>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</si>
  <si>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</si>
  <si>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</si>
  <si>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</si>
  <si>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</si>
  <si>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</si>
  <si>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</si>
  <si>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</si>
  <si>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</si>
  <si>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</si>
  <si>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</si>
  <si>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</si>
  <si>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</si>
  <si>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</si>
  <si>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</si>
  <si>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</si>
  <si>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</si>
  <si>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</si>
  <si>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</si>
  <si>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</si>
  <si>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</si>
  <si>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</si>
  <si>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</si>
  <si>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</si>
  <si>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</si>
  <si>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</si>
  <si>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</si>
  <si>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</si>
  <si>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</si>
  <si>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</si>
  <si>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</si>
  <si>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</si>
  <si>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</si>
  <si>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</si>
  <si>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</si>
  <si>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</si>
  <si>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</si>
  <si>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</si>
  <si>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</si>
  <si>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</si>
  <si>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</si>
  <si>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</si>
  <si>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</si>
  <si>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</si>
  <si>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</si>
  <si>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</si>
  <si>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</si>
  <si>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</si>
  <si>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</si>
  <si>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</si>
  <si>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</si>
  <si>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</si>
  <si>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</si>
  <si>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</si>
  <si>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</si>
  <si>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</si>
  <si>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</si>
  <si>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</si>
  <si>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</si>
  <si>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</si>
  <si>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</si>
  <si>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</si>
  <si>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</si>
  <si>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</si>
  <si>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</si>
  <si>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</si>
  <si>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</si>
  <si>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</si>
  <si>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</si>
  <si>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</si>
  <si>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</si>
  <si>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</si>
  <si>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</si>
  <si>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</si>
  <si>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</si>
  <si>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</si>
  <si>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</si>
  <si>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</si>
  <si>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</si>
  <si>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</si>
  <si>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</si>
  <si>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</si>
  <si>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</si>
  <si>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</si>
  <si>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</si>
  <si>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</si>
  <si>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</si>
  <si>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</si>
  <si>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</si>
  <si>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</si>
  <si>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</si>
  <si>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</si>
  <si>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</si>
  <si>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</si>
  <si>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</si>
  <si>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</si>
  <si>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</si>
  <si>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</si>
  <si>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</si>
  <si>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</si>
  <si>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</si>
  <si>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</si>
  <si>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</si>
  <si>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</si>
  <si>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</si>
  <si>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</si>
  <si>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</si>
  <si>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</si>
  <si>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</si>
  <si>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</si>
  <si>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</si>
  <si>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</si>
  <si>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</si>
  <si>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</si>
  <si>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</si>
  <si>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</si>
  <si>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</si>
  <si>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</si>
  <si>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</si>
  <si>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</si>
  <si>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</si>
  <si>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</si>
  <si>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</si>
  <si>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</si>
  <si>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</si>
  <si>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</si>
  <si>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</si>
  <si>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</si>
  <si>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</si>
  <si>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</si>
  <si>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</si>
  <si>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</si>
  <si>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</si>
  <si>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</si>
  <si>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</si>
  <si>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</si>
  <si>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</si>
  <si>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</si>
  <si>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</si>
  <si>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</si>
  <si>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</si>
  <si>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</si>
  <si>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</si>
  <si>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</si>
  <si>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</si>
  <si>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</si>
  <si>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</si>
  <si>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</si>
  <si>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</si>
  <si>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</si>
  <si>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</si>
  <si>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</si>
  <si>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</si>
  <si>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</si>
  <si>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</si>
  <si>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</si>
  <si>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</si>
  <si>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</si>
  <si>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</si>
  <si>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</si>
  <si>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</si>
  <si>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</si>
  <si>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</si>
  <si>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</si>
  <si>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</si>
  <si>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</si>
  <si>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</si>
  <si>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</si>
  <si>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</si>
  <si>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</si>
  <si>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</si>
  <si>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</si>
  <si>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</si>
  <si>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</si>
  <si>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</si>
  <si>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</si>
  <si>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</si>
  <si>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</si>
  <si>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</si>
  <si>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</si>
  <si>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</si>
  <si>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</si>
  <si>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</si>
  <si>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</si>
  <si>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</si>
  <si>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</si>
  <si>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</si>
  <si>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</si>
  <si>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</si>
  <si>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</si>
  <si>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</si>
  <si>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</si>
  <si>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</si>
  <si>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</si>
  <si>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</si>
  <si>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</si>
  <si>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</si>
  <si>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</si>
  <si>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</si>
  <si>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</si>
  <si>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</si>
  <si>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</si>
  <si>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</si>
  <si>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</si>
  <si>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</si>
  <si>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</si>
  <si>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</si>
  <si>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</si>
  <si>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</si>
  <si>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</si>
  <si>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</si>
  <si>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</si>
  <si>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</si>
  <si>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</si>
  <si>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</si>
  <si>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</si>
  <si>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</si>
  <si>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</si>
  <si>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</si>
  <si>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</si>
  <si>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</si>
  <si>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</si>
  <si>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</si>
  <si>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</si>
  <si>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</si>
  <si>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</si>
  <si>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</si>
  <si>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</si>
  <si>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</si>
  <si>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</si>
  <si>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</si>
  <si>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</si>
  <si>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</si>
  <si>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</si>
  <si>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</si>
  <si>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</si>
  <si>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</si>
  <si>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</si>
  <si>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</si>
  <si>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</si>
  <si>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</si>
  <si>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</si>
  <si>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</si>
  <si>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</si>
  <si>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</si>
  <si>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</si>
  <si>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</si>
  <si>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</si>
  <si>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</si>
  <si>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</si>
  <si>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</si>
  <si>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</si>
  <si>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</si>
  <si>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</si>
  <si>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</si>
  <si>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</si>
  <si>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</si>
  <si>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</si>
  <si>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</si>
  <si>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</si>
  <si>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</si>
  <si>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</si>
  <si>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</si>
  <si>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</si>
  <si>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</si>
  <si>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</si>
  <si>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</si>
  <si>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</si>
  <si>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</si>
  <si>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</si>
  <si>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</si>
  <si>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</si>
  <si>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</si>
  <si>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</si>
  <si>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</si>
  <si>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</si>
  <si>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</si>
  <si>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</si>
  <si>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</si>
  <si>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</si>
  <si>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</si>
  <si>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</si>
  <si>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</si>
  <si>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</si>
  <si>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</si>
  <si>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</si>
  <si>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</si>
  <si>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</si>
  <si>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</si>
  <si>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</si>
  <si>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</si>
  <si>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</si>
  <si>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</si>
  <si>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</si>
  <si>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</si>
  <si>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</si>
  <si>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</si>
  <si>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</si>
  <si>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</si>
  <si>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</si>
  <si>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</si>
  <si>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</si>
  <si>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</si>
  <si>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</si>
  <si>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</si>
  <si>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</si>
  <si>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</si>
  <si>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</si>
  <si>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</si>
  <si>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</si>
  <si>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</si>
  <si>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</si>
  <si>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</si>
  <si>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</si>
  <si>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</si>
  <si>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</si>
  <si>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</si>
  <si>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</si>
  <si>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</si>
  <si>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</si>
  <si>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</si>
  <si>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</si>
  <si>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</si>
  <si>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</si>
  <si>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</si>
  <si>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</si>
  <si>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</si>
  <si>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</si>
  <si>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</si>
  <si>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</si>
  <si>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</si>
  <si>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</si>
  <si>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</si>
  <si>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</si>
  <si>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</si>
  <si>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</si>
  <si>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</si>
  <si>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</si>
  <si>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</si>
  <si>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</si>
  <si>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</si>
  <si>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</si>
  <si>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</si>
  <si>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</si>
  <si>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</si>
  <si>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</si>
  <si>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Zeshan </t>
  </si>
  <si>
    <t xml:space="preserve">24/7 Mart </t>
  </si>
  <si>
    <t>Address: DHA</t>
  </si>
  <si>
    <t>CV Store</t>
  </si>
  <si>
    <t xml:space="preserve">Captain Mart </t>
  </si>
  <si>
    <t xml:space="preserve">Afzal Mart </t>
  </si>
  <si>
    <t>MB Store</t>
  </si>
  <si>
    <t>DM Store</t>
  </si>
  <si>
    <t>Al Jalil Store</t>
  </si>
  <si>
    <t xml:space="preserve">Bin Sohan </t>
  </si>
  <si>
    <t>Ajwa Store</t>
  </si>
  <si>
    <t>Marwa Store</t>
  </si>
  <si>
    <t>Ali Store</t>
  </si>
  <si>
    <t xml:space="preserve">S Mart </t>
  </si>
  <si>
    <t>Address: Statelife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</si>
</sst>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5" workbookViewId="0">
      <selection activeCell="T10" sqref="T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24/7 Mart </v>
      </c>
      <c r="T3" s="301">
        <f>+'1'!P35</f>
        <v>392.02644813559323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CV Store</v>
      </c>
      <c r="T4" s="301">
        <f>+'2'!P35</f>
        <v>392.02644813559323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Captain Mart </v>
      </c>
      <c r="T5" s="301">
        <f>+'3'!P35</f>
        <v>392.02644813559323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Afzal Mart </v>
      </c>
      <c r="T6" s="301">
        <f>+'4'!P35</f>
        <v>392.02644813559323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MB Store</v>
      </c>
      <c r="T7" s="301">
        <f>+'5'!P35</f>
        <v>784.05289627118646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10</v>
      </c>
      <c r="I8" s="236">
        <f t="shared" ref="I8:I14" si="0">(G8*D8)*F8+H8*F8</f>
        <v>524.625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41.97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18.361875000000001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464.29312500000003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99.152542372881314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2.8172283368644067</v>
      </c>
      <c r="P8" s="311">
        <f t="shared" ref="P8:P15" si="2">M8+N8+O8</f>
        <v>566.26289570974575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DM Store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15</v>
      </c>
      <c r="I9" s="236">
        <f t="shared" si="0"/>
        <v>786.9375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62.954999999999998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27.542812500000004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696.43968749999999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148.72881355932196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4.22584250529661</v>
      </c>
      <c r="P9" s="311">
        <f t="shared" si="2"/>
        <v>849.39434356461845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Al Jalil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90</v>
      </c>
      <c r="I10" s="236">
        <f t="shared" si="0"/>
        <v>6537.6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639.23199999999997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228.81600000000003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5669.5520000000006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1235.5932203389832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34.525726101694914</v>
      </c>
      <c r="P10" s="311">
        <f t="shared" si="2"/>
        <v>6939.6709464406786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Bin Sohan </v>
      </c>
      <c r="T10" s="301">
        <f>+'8'!P35</f>
        <v>27700.281225762712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90</v>
      </c>
      <c r="I11" s="236">
        <f t="shared" si="0"/>
        <v>6537.6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639.23199999999997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228.81600000000003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5669.5520000000006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1235.5932203389832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34.525726101694914</v>
      </c>
      <c r="P11" s="311">
        <f t="shared" si="2"/>
        <v>6939.6709464406786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Ajwa Store</v>
      </c>
      <c r="T11" s="301">
        <f>+'9'!P35</f>
        <v>849.39434356461845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220</v>
      </c>
      <c r="I12" s="236">
        <f t="shared" si="0"/>
        <v>15980.8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1569.0240000000001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559.32800000000009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13852.447999999999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3020.3389830508477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84.363934915254248</v>
      </c>
      <c r="P12" s="311">
        <f t="shared" si="2"/>
        <v>16957.150917966101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Marwa Store</v>
      </c>
      <c r="T12" s="301">
        <f>+'10'!P35</f>
        <v>849.39434356461845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Ali Store</v>
      </c>
      <c r="T13" s="301">
        <f>+'11'!P35</f>
        <v>283.13144785487287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S Mart </v>
      </c>
      <c r="T14" s="301">
        <f>+'12'!P35</f>
        <v>283.13144785487287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11</v>
      </c>
      <c r="H16" s="113">
        <f t="shared" ref="H16:M16" si="3">SUM(H7:H15)</f>
        <v>440</v>
      </c>
      <c r="I16" s="114">
        <f t="shared" si="3"/>
        <v>31154.5</v>
      </c>
      <c r="J16" s="274">
        <f>SUM(J7:J15)</f>
        <v>3015.3680000000004</v>
      </c>
      <c r="K16" s="275">
        <f t="shared" si="3"/>
        <v>1090.4075000000003</v>
      </c>
      <c r="L16" s="276">
        <f t="shared" si="3"/>
        <v>0</v>
      </c>
      <c r="M16" s="232">
        <f t="shared" si="3"/>
        <v>27048.724499999997</v>
      </c>
      <c r="N16" s="233">
        <f>SUM(N7:N15)</f>
        <v>5888.1355932203396</v>
      </c>
      <c r="O16" s="101">
        <f>SUM(O7:O15)</f>
        <v>164.68430046610172</v>
      </c>
      <c r="P16" s="113">
        <f>SUM(P7:P15)</f>
        <v>33101.544393686439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31154.5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3015.3680000000004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1090.4075000000003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27048.724499999997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5888.1355932203396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32936.860093220334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164.68430046610172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33101.544393686432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33101.544393686439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7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5</v>
      </c>
      <c r="I25" s="114">
        <f t="shared" ref="I25:M25" si="10">SUM(I16:I24)</f>
        <v>363.2</v>
      </c>
      <c r="J25" s="274">
        <f>SUM(J16:J24)</f>
        <v>29.056000000000001</v>
      </c>
      <c r="K25" s="275">
        <f t="shared" si="10"/>
        <v>12.712000000000002</v>
      </c>
      <c r="L25" s="276">
        <f t="shared" si="10"/>
        <v>0</v>
      </c>
      <c r="M25" s="232">
        <f t="shared" si="10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abSelected="1" topLeftCell="A20" workbookViewId="0">
      <selection activeCell="R32" sqref="R3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581.12</v>
      </c>
      <c r="K19" s="128">
        <f t="shared" si="1"/>
        <v>203.39200000000002</v>
      </c>
      <c r="L19" s="119">
        <f t="shared" si="1"/>
        <v>0</v>
      </c>
      <c r="M19" s="230">
        <f t="shared" si="2"/>
        <v>5026.6880000000001</v>
      </c>
      <c r="N19" s="277">
        <f t="shared" si="3"/>
        <v>1098.3050847457628</v>
      </c>
      <c r="O19" s="239">
        <f t="shared" si="4"/>
        <v>30.624965423728813</v>
      </c>
      <c r="P19" s="119">
        <f t="shared" si="5"/>
        <v>6155.6180501694917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119">
        <f t="shared" si="5"/>
        <v>6155.6180501694917</v>
      </c>
      <c r="Q20" s="319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1452.8000000000002</v>
      </c>
      <c r="K21" s="128">
        <f t="shared" si="1"/>
        <v>508.48000000000008</v>
      </c>
      <c r="L21" s="119">
        <f t="shared" si="1"/>
        <v>0</v>
      </c>
      <c r="M21" s="230">
        <f t="shared" si="2"/>
        <v>12566.72</v>
      </c>
      <c r="N21" s="277">
        <f t="shared" si="3"/>
        <v>2745.7627118644068</v>
      </c>
      <c r="O21" s="239">
        <f t="shared" si="4"/>
        <v>76.562413559322039</v>
      </c>
      <c r="P21" s="119">
        <f t="shared" si="5"/>
        <v>15389.045125423729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360</v>
      </c>
      <c r="I25" s="114">
        <f t="shared" si="7"/>
        <v>26150.400000000001</v>
      </c>
      <c r="J25" s="274">
        <f>SUM(J16:J24)</f>
        <v>2615.04</v>
      </c>
      <c r="K25" s="275">
        <f t="shared" si="7"/>
        <v>915.26400000000012</v>
      </c>
      <c r="L25" s="276">
        <f t="shared" si="7"/>
        <v>0</v>
      </c>
      <c r="M25" s="232">
        <f t="shared" si="7"/>
        <v>22620.095999999998</v>
      </c>
      <c r="N25" s="233">
        <f>SUM(N16:N24)</f>
        <v>4942.3728813559319</v>
      </c>
      <c r="O25" s="101">
        <f>SUM(O16:O24)</f>
        <v>137.81234440677966</v>
      </c>
      <c r="P25" s="234">
        <f>SUM(P16:P24)</f>
        <v>27700.281225762712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26150.400000000001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2615.04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915.26400000000012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22620.096000000001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4942.3728813559319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27562.468881355933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137.81234440677966</v>
      </c>
    </row>
    <row r="35" spans="2:16" ht="15.75" customHeight="1" thickBot="1" x14ac:dyDescent="0.4">
      <c r="N35" s="345" t="s">
        <v>88</v>
      </c>
      <c r="O35" s="346"/>
      <c r="P35" s="297">
        <f>+P33+P34</f>
        <v>27700.281225762712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"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</v>
      </c>
      <c r="I25" s="114">
        <f t="shared" si="7"/>
        <v>786.9375</v>
      </c>
      <c r="J25" s="274">
        <f>SUM(J16:J24)</f>
        <v>62.954999999999998</v>
      </c>
      <c r="K25" s="275">
        <f t="shared" si="7"/>
        <v>27.542812500000004</v>
      </c>
      <c r="L25" s="276">
        <f t="shared" si="7"/>
        <v>0</v>
      </c>
      <c r="M25" s="232">
        <f t="shared" si="7"/>
        <v>696.43968749999999</v>
      </c>
      <c r="N25" s="233">
        <f>SUM(N16:N24)</f>
        <v>148.72881355932196</v>
      </c>
      <c r="O25" s="101">
        <f>SUM(O16:O24)</f>
        <v>4.22584250529661</v>
      </c>
      <c r="P25" s="234">
        <f>SUM(P16:P24)</f>
        <v>849.39434356461845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786.9375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62.954999999999998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27.542812500000004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696.43968749999999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148.72881355932196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845.1685010593219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4.22584250529661</v>
      </c>
    </row>
    <row r="35" spans="2:16" ht="15.75" customHeight="1" thickBot="1" x14ac:dyDescent="0.4">
      <c r="N35" s="345" t="s">
        <v>88</v>
      </c>
      <c r="O35" s="346"/>
      <c r="P35" s="297">
        <f>+P33+P34</f>
        <v>849.39434356461845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</v>
      </c>
      <c r="I25" s="114">
        <f t="shared" si="7"/>
        <v>786.9375</v>
      </c>
      <c r="J25" s="274">
        <f>SUM(J16:J24)</f>
        <v>62.954999999999998</v>
      </c>
      <c r="K25" s="275">
        <f t="shared" si="7"/>
        <v>27.542812500000004</v>
      </c>
      <c r="L25" s="276">
        <f t="shared" si="7"/>
        <v>0</v>
      </c>
      <c r="M25" s="232">
        <f t="shared" si="7"/>
        <v>696.43968749999999</v>
      </c>
      <c r="N25" s="233">
        <f>SUM(N16:N24)</f>
        <v>148.72881355932196</v>
      </c>
      <c r="O25" s="101">
        <f>SUM(O16:O24)</f>
        <v>4.22584250529661</v>
      </c>
      <c r="P25" s="234">
        <f>SUM(P16:P24)</f>
        <v>849.39434356461845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786.9375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62.954999999999998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27.542812500000004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696.43968749999999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148.72881355932196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845.1685010593219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4.22584250529661</v>
      </c>
    </row>
    <row r="35" spans="2:16" ht="15.75" customHeight="1" thickBot="1" x14ac:dyDescent="0.4">
      <c r="N35" s="345" t="s">
        <v>88</v>
      </c>
      <c r="O35" s="346"/>
      <c r="P35" s="297">
        <f>+P33+P34</f>
        <v>849.39434356461845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E11" sqref="E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2026-09-21T04:27:20Z</dcterms:modified>
</cp:coreProperties>
</file>