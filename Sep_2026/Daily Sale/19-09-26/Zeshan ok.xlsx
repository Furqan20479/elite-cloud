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2B33A51-2766-4BAE-B52F-7076E33FC1D5}" xr6:coauthVersionLast="47" xr6:coauthVersionMax="47" xr10:uidLastSave="{00000000-0000-0000-0000-000000000000}"/>
  <bookViews>
    <workbookView xWindow="-110" yWindow="-110" windowWidth="19420" windowHeight="10420" tabRatio="948" firstSheet="3" activeTab="1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<sst xmlns="http://schemas.openxmlformats.org/spreadsheetml/2006/main" count="3948" uniqueCount="528">
  <si>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</si>
  <si>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</si>
  <si>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</si>
  <si>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</si>
  <si>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</si>
  <si>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</si>
  <si>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</si>
  <si>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</si>
  <si>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</si>
  <si>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</si>
  <si>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</si>
  <si>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</si>
  <si>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</si>
  <si>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</si>
  <si>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</si>
  <si>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</si>
  <si>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</si>
  <si>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</si>
  <si>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</si>
  <si>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</si>
  <si>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</si>
  <si>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</si>
  <si>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</si>
  <si>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</si>
  <si>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</si>
  <si>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</si>
  <si>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</si>
  <si>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</si>
  <si>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</si>
  <si>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</si>
  <si>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</si>
  <si>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</si>
  <si>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</si>
  <si>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</si>
  <si>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</si>
  <si>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</si>
  <si>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</si>
  <si>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</si>
  <si>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</si>
  <si>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</si>
  <si>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</si>
  <si>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</si>
  <si>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</si>
  <si>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</si>
  <si>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</si>
  <si>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</si>
  <si>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</si>
  <si>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</si>
  <si>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</si>
  <si>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</si>
  <si>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</si>
  <si>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</si>
  <si>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</si>
  <si>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</si>
  <si>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</si>
  <si>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</si>
  <si>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</si>
  <si>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</si>
  <si>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</si>
  <si>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</si>
  <si>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</si>
  <si>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</si>
  <si>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</si>
  <si>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</si>
  <si>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</si>
  <si>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</si>
  <si>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</si>
  <si>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</si>
  <si>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</si>
  <si>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</si>
  <si>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</si>
  <si>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</si>
  <si>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</si>
  <si>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</si>
  <si>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</si>
  <si>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</si>
  <si>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</si>
  <si>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</si>
  <si>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</si>
  <si>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</si>
  <si>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</si>
  <si>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</si>
  <si>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</si>
  <si>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</si>
  <si>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</si>
  <si>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</si>
  <si>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</si>
  <si>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</si>
  <si>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</si>
  <si>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</si>
  <si>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</si>
  <si>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</si>
  <si>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</si>
  <si>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</si>
  <si>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</si>
  <si>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</si>
  <si>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</si>
  <si>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</si>
  <si>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</si>
  <si>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</si>
  <si>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</si>
  <si>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</si>
  <si>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</si>
  <si>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</si>
  <si>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</si>
  <si>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</si>
  <si>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</si>
  <si>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</si>
  <si>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</si>
  <si>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</si>
  <si>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</si>
  <si>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</si>
  <si>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</si>
  <si>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</si>
  <si>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</si>
  <si>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</si>
  <si>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</si>
  <si>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</si>
  <si>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</si>
  <si>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</si>
  <si>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</si>
  <si>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</si>
  <si>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</si>
  <si>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</si>
  <si>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</si>
  <si>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</si>
  <si>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</si>
  <si>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</si>
  <si>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</si>
  <si>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</si>
  <si>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</si>
  <si>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</si>
  <si>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</si>
  <si>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</si>
  <si>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</si>
  <si>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</si>
  <si>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</si>
  <si>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</si>
  <si>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</si>
  <si>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</si>
  <si>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</si>
  <si>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</si>
  <si>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</si>
  <si>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</si>
  <si>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</si>
  <si>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</si>
  <si>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</si>
  <si>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</si>
  <si>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</si>
  <si>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</si>
  <si>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</si>
  <si>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</si>
  <si>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</si>
  <si>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</si>
  <si>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</si>
  <si>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</si>
  <si>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</si>
  <si>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</si>
  <si>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</si>
  <si>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</si>
  <si>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</si>
  <si>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</si>
  <si>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</si>
  <si>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</si>
  <si>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</si>
  <si>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</si>
  <si>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</si>
  <si>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</si>
  <si>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</si>
  <si>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</si>
  <si>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</si>
  <si>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</si>
  <si>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</si>
  <si>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</si>
  <si>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</si>
  <si>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</si>
  <si>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</si>
  <si>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</si>
  <si>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</si>
  <si>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</si>
  <si>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</si>
  <si>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</si>
  <si>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</si>
  <si>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</si>
  <si>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</si>
  <si>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</si>
  <si>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</si>
  <si>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</si>
  <si>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</si>
  <si>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</si>
  <si>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</si>
  <si>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</si>
  <si>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</si>
  <si>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</si>
  <si>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</si>
  <si>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</si>
  <si>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</si>
  <si>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</si>
  <si>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</si>
  <si>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</si>
  <si>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</si>
  <si>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</si>
  <si>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</si>
  <si>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</si>
  <si>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</si>
  <si>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</si>
  <si>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</si>
  <si>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</si>
  <si>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</si>
  <si>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</si>
  <si>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</si>
  <si>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</si>
  <si>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</si>
  <si>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</si>
  <si>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</si>
  <si>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</si>
  <si>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</si>
  <si>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</si>
  <si>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</si>
  <si>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</si>
  <si>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</si>
  <si>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</si>
  <si>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</si>
  <si>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</si>
  <si>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</si>
  <si>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</si>
  <si>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</si>
  <si>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</si>
  <si>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</si>
  <si>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</si>
  <si>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</si>
  <si>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</si>
  <si>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</si>
  <si>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</si>
  <si>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</si>
  <si>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</si>
  <si>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</si>
  <si>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</si>
  <si>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</si>
  <si>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</si>
  <si>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</si>
  <si>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</si>
  <si>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</si>
  <si>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</si>
  <si>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</si>
  <si>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</si>
  <si>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</si>
  <si>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</si>
  <si>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</si>
  <si>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</si>
  <si>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</si>
  <si>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</si>
  <si>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</si>
  <si>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</si>
  <si>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</si>
  <si>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</si>
  <si>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</si>
  <si>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</si>
  <si>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</si>
  <si>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</si>
  <si>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</si>
  <si>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</si>
  <si>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</si>
  <si>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</si>
  <si>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</si>
  <si>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</si>
  <si>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</si>
  <si>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</si>
  <si>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</si>
  <si>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</si>
  <si>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</si>
  <si>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</si>
  <si>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</si>
  <si>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</si>
  <si>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</si>
  <si>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</si>
  <si>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</si>
  <si>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</si>
  <si>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</si>
  <si>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</si>
  <si>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</si>
  <si>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</si>
  <si>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</si>
  <si>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</si>
  <si>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</si>
  <si>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</si>
  <si>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</si>
  <si>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</si>
  <si>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</si>
  <si>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</si>
  <si>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</si>
  <si>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</si>
  <si>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</si>
  <si>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</si>
  <si>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</si>
  <si>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</si>
  <si>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</si>
  <si>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</si>
  <si>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</si>
  <si>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</si>
  <si>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</si>
  <si>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</si>
  <si>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</si>
  <si>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</si>
  <si>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</si>
  <si>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</si>
  <si>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</si>
  <si>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</si>
  <si>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</si>
  <si>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</si>
  <si>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</si>
  <si>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</si>
  <si>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</si>
  <si>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</si>
  <si>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</si>
  <si>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</si>
  <si>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</si>
  <si>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</si>
  <si>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</si>
  <si>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</si>
  <si>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</si>
  <si>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</si>
  <si>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</si>
  <si>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</si>
  <si>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</si>
  <si>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</si>
  <si>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</si>
  <si>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</si>
  <si>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</si>
  <si>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</si>
  <si>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</si>
  <si>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</si>
  <si>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</si>
  <si>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</si>
  <si>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</si>
  <si>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</si>
  <si>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</si>
  <si>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</si>
  <si>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</si>
  <si>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</si>
  <si>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</si>
  <si>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</si>
  <si>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</si>
  <si>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</si>
  <si>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</si>
  <si>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</si>
  <si>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</si>
  <si>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</si>
  <si>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</si>
  <si>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</si>
  <si>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</si>
  <si>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</si>
  <si>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</si>
  <si>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</si>
  <si>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</si>
  <si>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</si>
  <si>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</si>
  <si>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</si>
  <si>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</si>
  <si>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</si>
  <si>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</si>
  <si>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</si>
  <si>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</si>
  <si>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</si>
  <si>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</si>
  <si>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</si>
  <si>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</si>
  <si>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</si>
  <si>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</si>
  <si>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</si>
  <si>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</si>
  <si>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</si>
  <si>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</si>
  <si>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</si>
  <si>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</si>
  <si>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</si>
  <si>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</si>
  <si>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</si>
  <si>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</si>
  <si>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</si>
  <si>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</si>
  <si>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</si>
  <si>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</si>
  <si>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</si>
  <si>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</si>
  <si>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</si>
  <si>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</si>
  <si>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</si>
  <si>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</si>
  <si>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</si>
  <si>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</si>
  <si>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</si>
  <si>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</si>
  <si>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</si>
  <si>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</si>
  <si>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</si>
  <si>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</si>
  <si>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</si>
  <si>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</si>
  <si>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</si>
  <si>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</si>
  <si>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</si>
  <si>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</si>
  <si>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</si>
  <si>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</si>
  <si>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</si>
  <si>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</si>
  <si>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</si>
  <si>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</si>
  <si>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</si>
  <si>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</si>
  <si>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</si>
  <si>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</si>
  <si>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</si>
  <si>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</si>
  <si>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</si>
  <si>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</si>
  <si>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</si>
  <si>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</si>
  <si>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</si>
  <si>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</si>
  <si>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</si>
  <si>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</si>
  <si>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</si>
  <si>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</si>
  <si>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</si>
  <si>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</si>
  <si>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</si>
  <si>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</si>
  <si>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</si>
  <si>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</si>
  <si>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</si>
  <si>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</si>
  <si>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</si>
  <si>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</si>
  <si>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</si>
  <si>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</si>
  <si>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</si>
  <si>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</si>
  <si>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</si>
  <si>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</si>
  <si>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</si>
  <si>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</si>
  <si>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</si>
  <si>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</si>
  <si>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</si>
  <si>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</si>
  <si>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</si>
  <si>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</si>
  <si>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</si>
  <si>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</si>
  <si>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</si>
  <si>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</si>
  <si>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</si>
  <si>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</si>
  <si>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</si>
  <si>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</si>
  <si>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</si>
  <si>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</si>
  <si>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</si>
  <si>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</si>
  <si>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</si>
  <si>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</si>
  <si>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</si>
  <si>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</si>
  <si>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</si>
  <si>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</si>
  <si>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</si>
  <si>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</si>
  <si>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</si>
  <si>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</si>
  <si>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</si>
  <si>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</si>
  <si>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</si>
  <si>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</si>
  <si>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</si>
  <si>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</si>
  <si>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</si>
  <si>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</si>
  <si>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</si>
  <si>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</si>
  <si>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</si>
  <si>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</si>
  <si>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</si>
  <si>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</si>
  <si>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</si>
  <si>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</si>
  <si>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</si>
  <si>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</si>
  <si>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</si>
  <si>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</si>
  <si>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</si>
  <si>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</si>
  <si>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</si>
  <si>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</si>
  <si>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</si>
  <si>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</si>
  <si>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</si>
  <si>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</si>
  <si>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</si>
  <si>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</si>
  <si>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</si>
  <si>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</si>
  <si>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</si>
  <si>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</si>
  <si>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</si>
  <si>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</si>
  <si>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</si>
  <si>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</si>
  <si>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</si>
  <si>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</si>
  <si>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</si>
  <si>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</si>
  <si>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</si>
  <si>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 xml:space="preserve">24/7 Mart </t>
  </si>
  <si>
    <t>Address: DHA</t>
  </si>
  <si>
    <t>CV Store</t>
  </si>
  <si>
    <t xml:space="preserve">Captain Mart </t>
  </si>
  <si>
    <t xml:space="preserve">Afzal Mart </t>
  </si>
  <si>
    <t>MB Store</t>
  </si>
  <si>
    <t>DM Store</t>
  </si>
  <si>
    <t>Al Jalil Store</t>
  </si>
  <si>
    <t xml:space="preserve">Bin Sohan </t>
  </si>
  <si>
    <t>Ajwa Store</t>
  </si>
  <si>
    <t>Marwa Store</t>
  </si>
  <si>
    <t>Ali Store</t>
  </si>
  <si>
    <t xml:space="preserve">S Mart </t>
  </si>
  <si>
    <t>Address: Statelife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</si>
</sst>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24/7 Mart 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CV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Captain Mart 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Afzal Mart 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MB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DM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Jalil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5669.5520000000006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34.525726101694914</v>
      </c>
      <c r="P10" s="311">
        <f t="shared" si="2"/>
        <v>6939.6709464406786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Bin Sohan </v>
      </c>
      <c r="T10" s="301">
        <f>+'8'!P35</f>
        <v>27700.281225762712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639.23199999999997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5669.5520000000006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34.525726101694914</v>
      </c>
      <c r="P11" s="311">
        <f t="shared" si="2"/>
        <v>6939.6709464406786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Ajwa Store</v>
      </c>
      <c r="T11" s="301">
        <f>+'9'!P35</f>
        <v>849.39434356461845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220</v>
      </c>
      <c r="I12" s="236">
        <f t="shared" si="0"/>
        <v>15980.8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1569.0240000000001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559.32800000000009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13852.447999999999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3020.3389830508477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84.363934915254248</v>
      </c>
      <c r="P12" s="311">
        <f t="shared" si="2"/>
        <v>16957.150917966101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Marwa Store</v>
      </c>
      <c r="T12" s="301">
        <f>+'10'!P35</f>
        <v>849.39434356461845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Ali Store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 Mart 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</v>
      </c>
      <c r="H16" s="113">
        <f t="shared" ref="H16:M16" si="3">SUM(H7:H15)</f>
        <v>440</v>
      </c>
      <c r="I16" s="114">
        <f t="shared" si="3"/>
        <v>31154.5</v>
      </c>
      <c r="J16" s="274">
        <f>SUM(J7:J15)</f>
        <v>3015.3680000000004</v>
      </c>
      <c r="K16" s="275">
        <f t="shared" si="3"/>
        <v>1090.4075000000003</v>
      </c>
      <c r="L16" s="276">
        <f t="shared" si="3"/>
        <v>0</v>
      </c>
      <c r="M16" s="232">
        <f t="shared" si="3"/>
        <v>27048.724499999997</v>
      </c>
      <c r="N16" s="233">
        <f>SUM(N7:N15)</f>
        <v>5888.1355932203396</v>
      </c>
      <c r="O16" s="101">
        <f>SUM(O7:O15)</f>
        <v>164.68430046610172</v>
      </c>
      <c r="P16" s="113">
        <f>SUM(P7:P15)</f>
        <v>33101.544393686439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31154.5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3015.3680000000004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1090.4075000000003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27048.724499999997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5888.1355932203396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32936.860093220334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164.68430046610172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33101.544393686432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33101.544393686439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5" workbookViewId="0">
      <selection activeCell="G21" sqref="G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R32" sqref="R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119">
        <f t="shared" si="5"/>
        <v>15389.045125423729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360</v>
      </c>
      <c r="I25" s="114">
        <f t="shared" si="7"/>
        <v>26150.400000000001</v>
      </c>
      <c r="J25" s="274">
        <f>SUM(J16:J24)</f>
        <v>2615.04</v>
      </c>
      <c r="K25" s="275">
        <f t="shared" si="7"/>
        <v>915.26400000000012</v>
      </c>
      <c r="L25" s="276">
        <f t="shared" si="7"/>
        <v>0</v>
      </c>
      <c r="M25" s="232">
        <f t="shared" si="7"/>
        <v>22620.095999999998</v>
      </c>
      <c r="N25" s="233">
        <f>SUM(N16:N24)</f>
        <v>4942.3728813559319</v>
      </c>
      <c r="O25" s="101">
        <f>SUM(O16:O24)</f>
        <v>137.81234440677966</v>
      </c>
      <c r="P25" s="234">
        <f>SUM(P16:P24)</f>
        <v>27700.281225762712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26150.400000000001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2615.04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915.26400000000012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22620.096000000001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27562.468881355933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137.81234440677966</v>
      </c>
    </row>
    <row r="35" spans="2:16" ht="15.75" customHeight="1" thickBot="1" x14ac:dyDescent="0.4">
      <c r="N35" s="374" t="s">
        <v>88</v>
      </c>
      <c r="O35" s="375"/>
      <c r="P35" s="297">
        <f>+P33+P34</f>
        <v>27700.281225762712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2026-09-30T08:22:15Z</dcterms:modified>
</cp:coreProperties>
</file>