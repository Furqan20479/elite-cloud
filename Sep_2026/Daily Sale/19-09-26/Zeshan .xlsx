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82D2AA5B-CBF5-4B79-95F9-C57838965C46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0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2" l="1"/>
  <c r="N4" i="44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<sst xmlns="http://schemas.openxmlformats.org/spreadsheetml/2006/main" count="3948" uniqueCount="528">
  <si>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</si>
  <si>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</si>
  <si>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</si>
  <si>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</si>
  <si>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</si>
  <si>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</si>
  <si>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</si>
  <si>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</si>
  <si>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</si>
  <si>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</si>
  <si>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</si>
  <si>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</si>
  <si>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</si>
  <si>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</si>
  <si>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</si>
  <si>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</si>
  <si>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</si>
  <si>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</si>
  <si>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</si>
  <si>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</si>
  <si>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</si>
  <si>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</si>
  <si>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</si>
  <si>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</si>
  <si>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</si>
  <si>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</si>
  <si>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</si>
  <si>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</si>
  <si>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</si>
  <si>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</si>
  <si>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</si>
  <si>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</si>
  <si>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</si>
  <si>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</si>
  <si>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</si>
  <si>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</si>
  <si>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</si>
  <si>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</si>
  <si>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</si>
  <si>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</si>
  <si>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</si>
  <si>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</si>
  <si>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</si>
  <si>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</si>
  <si>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</si>
  <si>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</si>
  <si>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</si>
  <si>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</si>
  <si>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</si>
  <si>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</si>
  <si>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</si>
  <si>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</si>
  <si>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</si>
  <si>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</si>
  <si>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</si>
  <si>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</si>
  <si>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</si>
  <si>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</si>
  <si>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</si>
  <si>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</si>
  <si>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</si>
  <si>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</si>
  <si>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</si>
  <si>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</si>
  <si>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</si>
  <si>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</si>
  <si>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</si>
  <si>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</si>
  <si>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</si>
  <si>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</si>
  <si>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</si>
  <si>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</si>
  <si>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</si>
  <si>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</si>
  <si>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</si>
  <si>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</si>
  <si>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</si>
  <si>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</si>
  <si>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</si>
  <si>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</si>
  <si>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</si>
  <si>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</si>
  <si>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</si>
  <si>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</si>
  <si>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</si>
  <si>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</si>
  <si>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</si>
  <si>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</si>
  <si>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</si>
  <si>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</si>
  <si>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</si>
  <si>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</si>
  <si>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</si>
  <si>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</si>
  <si>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</si>
  <si>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</si>
  <si>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</si>
  <si>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</si>
  <si>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</si>
  <si>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</si>
  <si>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</si>
  <si>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</si>
  <si>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</si>
  <si>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</si>
  <si>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</si>
  <si>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</si>
  <si>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</si>
  <si>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</si>
  <si>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</si>
  <si>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</si>
  <si>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</si>
  <si>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</si>
  <si>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</si>
  <si>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</si>
  <si>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</si>
  <si>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</si>
  <si>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</si>
  <si>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</si>
  <si>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</si>
  <si>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</si>
  <si>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</si>
  <si>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</si>
  <si>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</si>
  <si>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</si>
  <si>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</si>
  <si>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</si>
  <si>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</si>
  <si>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</si>
  <si>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</si>
  <si>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</si>
  <si>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</si>
  <si>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</si>
  <si>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</si>
  <si>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</si>
  <si>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</si>
  <si>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</si>
  <si>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</si>
  <si>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</si>
  <si>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</si>
  <si>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</si>
  <si>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</si>
  <si>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</si>
  <si>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</si>
  <si>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</si>
  <si>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</si>
  <si>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</si>
  <si>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</si>
  <si>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</si>
  <si>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</si>
  <si>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</si>
  <si>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</si>
  <si>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</si>
  <si>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</si>
  <si>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</si>
  <si>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</si>
  <si>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</si>
  <si>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</si>
  <si>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</si>
  <si>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</si>
  <si>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</si>
  <si>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</si>
  <si>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</si>
  <si>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</si>
  <si>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</si>
  <si>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</si>
  <si>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</si>
  <si>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</si>
  <si>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</si>
  <si>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</si>
  <si>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</si>
  <si>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</si>
  <si>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</si>
  <si>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</si>
  <si>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</si>
  <si>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</si>
  <si>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</si>
  <si>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</si>
  <si>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</si>
  <si>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</si>
  <si>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</si>
  <si>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</si>
  <si>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</si>
  <si>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</si>
  <si>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</si>
  <si>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</si>
  <si>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</si>
  <si>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</si>
  <si>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</si>
  <si>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</si>
  <si>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</si>
  <si>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</si>
  <si>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</si>
  <si>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</si>
  <si>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</si>
  <si>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</si>
  <si>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</si>
  <si>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</si>
  <si>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</si>
  <si>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</si>
  <si>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</si>
  <si>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</si>
  <si>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</si>
  <si>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</si>
  <si>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</si>
  <si>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</si>
  <si>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</si>
  <si>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</si>
  <si>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</si>
  <si>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</si>
  <si>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</si>
  <si>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</si>
  <si>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</si>
  <si>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</si>
  <si>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</si>
  <si>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</si>
  <si>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</si>
  <si>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</si>
  <si>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</si>
  <si>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</si>
  <si>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</si>
  <si>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</si>
  <si>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</si>
  <si>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</si>
  <si>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</si>
  <si>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</si>
  <si>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</si>
  <si>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</si>
  <si>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</si>
  <si>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</si>
  <si>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</si>
  <si>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</si>
  <si>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</si>
  <si>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</si>
  <si>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</si>
  <si>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</si>
  <si>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</si>
  <si>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</si>
  <si>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</si>
  <si>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</si>
  <si>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</si>
  <si>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</si>
  <si>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</si>
  <si>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</si>
  <si>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</si>
  <si>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</si>
  <si>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</si>
  <si>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</si>
  <si>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</si>
  <si>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</si>
  <si>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</si>
  <si>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</si>
  <si>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</si>
  <si>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</si>
  <si>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</si>
  <si>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</si>
  <si>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</si>
  <si>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</si>
  <si>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</si>
  <si>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</si>
  <si>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</si>
  <si>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</si>
  <si>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</si>
  <si>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</si>
  <si>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</si>
  <si>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</si>
  <si>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</si>
  <si>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</si>
  <si>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</si>
  <si>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</si>
  <si>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</si>
  <si>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</si>
  <si>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</si>
  <si>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</si>
  <si>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</si>
  <si>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</si>
  <si>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</si>
  <si>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</si>
  <si>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</si>
  <si>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</si>
  <si>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</si>
  <si>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</si>
  <si>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</si>
  <si>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</si>
  <si>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</si>
  <si>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</si>
  <si>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</si>
  <si>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</si>
  <si>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</si>
  <si>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</si>
  <si>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</si>
  <si>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</si>
  <si>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</si>
  <si>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</si>
  <si>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</si>
  <si>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</si>
  <si>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</si>
  <si>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</si>
  <si>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</si>
  <si>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</si>
  <si>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</si>
  <si>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</si>
  <si>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</si>
  <si>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</si>
  <si>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</si>
  <si>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</si>
  <si>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</si>
  <si>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</si>
  <si>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</si>
  <si>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</si>
  <si>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</si>
  <si>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</si>
  <si>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</si>
  <si>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</si>
  <si>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</si>
  <si>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</si>
  <si>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</si>
  <si>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</si>
  <si>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</si>
  <si>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</si>
  <si>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</si>
  <si>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</si>
  <si>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</si>
  <si>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</si>
  <si>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</si>
  <si>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</si>
  <si>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</si>
  <si>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</si>
  <si>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</si>
  <si>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</si>
  <si>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</si>
  <si>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</si>
  <si>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</si>
  <si>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</si>
  <si>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</si>
  <si>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</si>
  <si>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</si>
  <si>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</si>
  <si>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</si>
  <si>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</si>
  <si>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</si>
  <si>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</si>
  <si>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</si>
  <si>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</si>
  <si>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</si>
  <si>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</si>
  <si>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</si>
  <si>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</si>
  <si>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</si>
  <si>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</si>
  <si>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</si>
  <si>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</si>
  <si>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</si>
  <si>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</si>
  <si>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</si>
  <si>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</si>
  <si>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</si>
  <si>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</si>
  <si>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</si>
  <si>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</si>
  <si>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</si>
  <si>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</si>
  <si>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</si>
  <si>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</si>
  <si>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</si>
  <si>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</si>
  <si>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</si>
  <si>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</si>
  <si>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</si>
  <si>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</si>
  <si>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</si>
  <si>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</si>
  <si>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</si>
  <si>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</si>
  <si>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</si>
  <si>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</si>
  <si>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</si>
  <si>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</si>
  <si>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</si>
  <si>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</si>
  <si>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</si>
  <si>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</si>
  <si>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</si>
  <si>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</si>
  <si>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</si>
  <si>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</si>
  <si>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</si>
  <si>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</si>
  <si>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</si>
  <si>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</si>
  <si>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</si>
  <si>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</si>
  <si>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</si>
  <si>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</si>
  <si>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</si>
  <si>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</si>
  <si>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</si>
  <si>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</si>
  <si>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</si>
  <si>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</si>
  <si>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</si>
  <si>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</si>
  <si>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</si>
  <si>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</si>
  <si>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</si>
  <si>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</si>
  <si>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</si>
  <si>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</si>
  <si>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</si>
  <si>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</si>
  <si>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</si>
  <si>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</si>
  <si>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</si>
  <si>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</si>
  <si>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</si>
  <si>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</si>
  <si>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</si>
  <si>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</si>
  <si>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</si>
  <si>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</si>
  <si>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</si>
  <si>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</si>
  <si>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</si>
  <si>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</si>
  <si>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</si>
  <si>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</si>
  <si>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</si>
  <si>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</si>
  <si>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</si>
  <si>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</si>
  <si>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</si>
  <si>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</si>
  <si>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</si>
  <si>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</si>
  <si>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</si>
  <si>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</si>
  <si>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</si>
  <si>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</si>
  <si>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</si>
  <si>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</si>
  <si>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</si>
  <si>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</si>
  <si>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</si>
  <si>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</si>
  <si>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</si>
  <si>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</si>
  <si>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</si>
  <si>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</si>
  <si>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</si>
  <si>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</si>
  <si>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</si>
  <si>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</si>
  <si>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</si>
  <si>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</si>
  <si>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</si>
  <si>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</si>
  <si>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</si>
  <si>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</si>
  <si>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</si>
  <si>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</si>
  <si>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</si>
  <si>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</si>
  <si>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</si>
  <si>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</si>
  <si>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</si>
  <si>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</si>
  <si>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</si>
  <si>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</si>
  <si>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</si>
  <si>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</si>
  <si>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</si>
  <si>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</si>
  <si>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</si>
  <si>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</si>
  <si>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</si>
  <si>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</si>
  <si>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</si>
  <si>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</si>
  <si>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</si>
  <si>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</si>
  <si>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</si>
  <si>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</si>
  <si>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</si>
  <si>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</si>
  <si>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</si>
  <si>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</si>
  <si>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</si>
  <si>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</si>
  <si>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</si>
  <si>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</si>
  <si>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</si>
  <si>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</si>
  <si>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</si>
  <si>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</si>
  <si>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</si>
  <si>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</si>
  <si>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</si>
  <si>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</si>
  <si>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</si>
  <si>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</si>
  <si>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</si>
  <si>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</si>
  <si>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</si>
  <si>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</si>
  <si>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</si>
  <si>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</si>
  <si>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</si>
  <si>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</si>
  <si>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</si>
  <si>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</si>
  <si>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</si>
  <si>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</si>
  <si>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</si>
  <si>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</si>
  <si>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Zeshan </t>
  </si>
  <si>
    <t xml:space="preserve">24/7 Mart </t>
  </si>
  <si>
    <t>Address: DHA</t>
  </si>
  <si>
    <t>CV Store</t>
  </si>
  <si>
    <t xml:space="preserve">Captain Mart </t>
  </si>
  <si>
    <t xml:space="preserve">Afzal Mart </t>
  </si>
  <si>
    <t>MB Store</t>
  </si>
  <si>
    <t>DM Store</t>
  </si>
  <si>
    <t>Al Jalil Store</t>
  </si>
  <si>
    <t xml:space="preserve">Bin Sohan </t>
  </si>
  <si>
    <t>Ajwa Store</t>
  </si>
  <si>
    <t>Marwa Store</t>
  </si>
  <si>
    <t>Ali Store</t>
  </si>
  <si>
    <t xml:space="preserve">S Mart </t>
  </si>
  <si>
    <t>Address: Statelife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</si>
</sst>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C4" sqref="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513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46284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 xml:space="preserve">24/7 Mart </v>
      </c>
      <c r="T3" s="301">
        <f>+'1'!P35</f>
        <v>392.02644813559323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CV Store</v>
      </c>
      <c r="T4" s="301">
        <f>+'2'!P35</f>
        <v>392.02644813559323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Captain Mart </v>
      </c>
      <c r="T5" s="301">
        <f>+'3'!P35</f>
        <v>392.02644813559323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 xml:space="preserve">Afzal Mart </v>
      </c>
      <c r="T6" s="301">
        <f>+'4'!P35</f>
        <v>392.02644813559323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15</v>
      </c>
      <c r="I7" s="235">
        <f>(G7*D7)*F7+H7*F7</f>
        <v>786.9375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62.954999999999998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27.542812500000004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696.43968749999999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148.72881355932196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4.22584250529661</v>
      </c>
      <c r="P7" s="310">
        <f>M7+N7+O7</f>
        <v>849.39434356461845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MB Store</v>
      </c>
      <c r="T7" s="301">
        <f>+'5'!P35</f>
        <v>784.05289627118646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10</v>
      </c>
      <c r="I8" s="236">
        <f t="shared" ref="I8:I14" si="0">(G8*D8)*F8+H8*F8</f>
        <v>524.625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41.97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18.361875000000001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464.29312500000003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99.152542372881314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2.8172283368644067</v>
      </c>
      <c r="P8" s="311">
        <f t="shared" ref="P8:P15" si="2">M8+N8+O8</f>
        <v>566.26289570974575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DM Store</v>
      </c>
      <c r="T8" s="301">
        <f>+'6'!P35</f>
        <v>392.02644813559323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15</v>
      </c>
      <c r="I9" s="236">
        <f t="shared" si="0"/>
        <v>786.9375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62.954999999999998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27.542812500000004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696.43968749999999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148.72881355932196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4.22584250529661</v>
      </c>
      <c r="P9" s="311">
        <f t="shared" si="2"/>
        <v>849.39434356461845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Al Jalil Store</v>
      </c>
      <c r="T9" s="301">
        <f>+'7'!P35</f>
        <v>392.02644813559323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90</v>
      </c>
      <c r="I10" s="236">
        <f t="shared" si="0"/>
        <v>6537.6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523.00800000000004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228.81600000000003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5785.7759999999998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1235.5932203389832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35.10684610169492</v>
      </c>
      <c r="P10" s="311">
        <f t="shared" si="2"/>
        <v>7056.4760664406776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 xml:space="preserve">Bin Sohan </v>
      </c>
      <c r="T10" s="301">
        <f>+'8'!P35</f>
        <v>28225.904265762714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90</v>
      </c>
      <c r="I11" s="236">
        <f t="shared" si="0"/>
        <v>6537.6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523.00800000000004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228.81600000000003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5785.7759999999998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1235.5932203389832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35.10684610169492</v>
      </c>
      <c r="P11" s="311">
        <f t="shared" si="2"/>
        <v>7056.4760664406776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Ajwa Store</v>
      </c>
      <c r="T11" s="301">
        <f>+'9'!P35</f>
        <v>849.39434356461845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220</v>
      </c>
      <c r="I12" s="236">
        <f t="shared" si="0"/>
        <v>15980.8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1278.4639999999999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559.32800000000009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14143.008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3020.3389830508477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85.816734915254244</v>
      </c>
      <c r="P12" s="311">
        <f t="shared" si="2"/>
        <v>17249.163717966101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Marwa Store</v>
      </c>
      <c r="T12" s="301">
        <f>+'10'!P35</f>
        <v>849.39434356461845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Ali Store</v>
      </c>
      <c r="T13" s="301">
        <f>+'11'!P35</f>
        <v>283.13144785487287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 xml:space="preserve">S Mart </v>
      </c>
      <c r="T14" s="301">
        <f>+'12'!P35</f>
        <v>283.13144785487287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11</v>
      </c>
      <c r="H16" s="113">
        <f t="shared" ref="H16:M16" si="3">SUM(H7:H15)</f>
        <v>440</v>
      </c>
      <c r="I16" s="114">
        <f t="shared" si="3"/>
        <v>31154.5</v>
      </c>
      <c r="J16" s="274">
        <f>SUM(J7:J15)</f>
        <v>2492.36</v>
      </c>
      <c r="K16" s="275">
        <f t="shared" si="3"/>
        <v>1090.4075000000003</v>
      </c>
      <c r="L16" s="276">
        <f t="shared" si="3"/>
        <v>0</v>
      </c>
      <c r="M16" s="232">
        <f t="shared" si="3"/>
        <v>27571.732499999998</v>
      </c>
      <c r="N16" s="233">
        <f>SUM(N7:N15)</f>
        <v>5888.1355932203396</v>
      </c>
      <c r="O16" s="101">
        <f>SUM(O7:O15)</f>
        <v>167.29934046610171</v>
      </c>
      <c r="P16" s="113">
        <f>SUM(P7:P15)</f>
        <v>33627.167433686438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31154.5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2492.36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1090.4075000000003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27571.732499999998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5888.1355932203396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33459.868093220335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167.29934046610171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33627.167433686438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33627.167433686445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E11" sqref="E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7.2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7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5</v>
      </c>
      <c r="I25" s="114">
        <f t="shared" ref="I25:M25" si="10">SUM(I16:I24)</f>
        <v>363.2</v>
      </c>
      <c r="J25" s="274">
        <f>SUM(J16:J24)</f>
        <v>29.056000000000001</v>
      </c>
      <c r="K25" s="275">
        <f t="shared" si="10"/>
        <v>12.712000000000002</v>
      </c>
      <c r="L25" s="276">
        <f t="shared" si="10"/>
        <v>0</v>
      </c>
      <c r="M25" s="232">
        <f t="shared" si="10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activeCell="E11" sqref="E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activeCell="E11" sqref="E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8.7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E11" sqref="E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527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3" workbookViewId="0">
      <selection activeCell="E11" sqref="E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527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4" workbookViewId="0">
      <selection activeCell="E11" sqref="E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527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5</v>
      </c>
      <c r="I20" s="236">
        <f t="shared" si="0"/>
        <v>363.2</v>
      </c>
      <c r="J20" s="272">
        <f t="shared" si="1"/>
        <v>29.056000000000001</v>
      </c>
      <c r="K20" s="128">
        <f t="shared" si="1"/>
        <v>12.712000000000002</v>
      </c>
      <c r="L20" s="119">
        <f t="shared" si="1"/>
        <v>0</v>
      </c>
      <c r="M20" s="230">
        <f t="shared" si="2"/>
        <v>321.43200000000002</v>
      </c>
      <c r="N20" s="277">
        <f t="shared" si="3"/>
        <v>68.644067796610173</v>
      </c>
      <c r="O20" s="239">
        <f t="shared" si="4"/>
        <v>1.950380338983051</v>
      </c>
      <c r="P20" s="119">
        <f t="shared" si="5"/>
        <v>392.02644813559323</v>
      </c>
      <c r="Q20" s="319"/>
      <c r="R20">
        <f>P20/21</f>
        <v>18.667926101694917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4" workbookViewId="0">
      <selection activeCell="E11" sqref="E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527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5</v>
      </c>
      <c r="I20" s="236">
        <f t="shared" si="0"/>
        <v>363.2</v>
      </c>
      <c r="J20" s="272">
        <f t="shared" si="1"/>
        <v>29.056000000000001</v>
      </c>
      <c r="K20" s="128">
        <f t="shared" si="1"/>
        <v>12.712000000000002</v>
      </c>
      <c r="L20" s="119">
        <f t="shared" si="1"/>
        <v>0</v>
      </c>
      <c r="M20" s="230">
        <f t="shared" si="2"/>
        <v>321.43200000000002</v>
      </c>
      <c r="N20" s="277">
        <f t="shared" si="3"/>
        <v>68.644067796610173</v>
      </c>
      <c r="O20" s="239">
        <f t="shared" si="4"/>
        <v>1.950380338983051</v>
      </c>
      <c r="P20" s="119">
        <f t="shared" si="5"/>
        <v>392.02644813559323</v>
      </c>
      <c r="Q20" s="319"/>
      <c r="R20">
        <f>P20/21</f>
        <v>18.667926101694917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5" workbookViewId="0">
      <selection activeCell="E11" sqref="E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527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</v>
      </c>
      <c r="I19" s="236">
        <f t="shared" si="0"/>
        <v>5811.2</v>
      </c>
      <c r="J19" s="272">
        <f t="shared" si="1"/>
        <v>464.89600000000002</v>
      </c>
      <c r="K19" s="128">
        <f t="shared" si="1"/>
        <v>203.39200000000002</v>
      </c>
      <c r="L19" s="119">
        <f t="shared" si="1"/>
        <v>0</v>
      </c>
      <c r="M19" s="230">
        <f t="shared" si="2"/>
        <v>5142.9120000000003</v>
      </c>
      <c r="N19" s="277">
        <f t="shared" si="3"/>
        <v>1098.3050847457628</v>
      </c>
      <c r="O19" s="239">
        <f t="shared" si="4"/>
        <v>31.206085423728815</v>
      </c>
      <c r="P19" s="119">
        <f t="shared" si="5"/>
        <v>6272.4231701694916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0"/>
        <v>5811.2</v>
      </c>
      <c r="J20" s="272">
        <f t="shared" si="1"/>
        <v>464.89600000000002</v>
      </c>
      <c r="K20" s="128">
        <f t="shared" si="1"/>
        <v>203.39200000000002</v>
      </c>
      <c r="L20" s="119">
        <f t="shared" si="1"/>
        <v>0</v>
      </c>
      <c r="M20" s="230">
        <f t="shared" si="2"/>
        <v>5142.9120000000003</v>
      </c>
      <c r="N20" s="277">
        <f t="shared" si="3"/>
        <v>1098.3050847457628</v>
      </c>
      <c r="O20" s="239">
        <f t="shared" si="4"/>
        <v>31.206085423728815</v>
      </c>
      <c r="P20" s="119">
        <f t="shared" si="5"/>
        <v>6272.4231701694916</v>
      </c>
      <c r="Q20" s="319"/>
      <c r="R20">
        <f>P20/21</f>
        <v>298.68681762711867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200</v>
      </c>
      <c r="I21" s="236">
        <f t="shared" si="0"/>
        <v>14528</v>
      </c>
      <c r="J21" s="272">
        <f t="shared" si="1"/>
        <v>1162.24</v>
      </c>
      <c r="K21" s="128">
        <f t="shared" si="1"/>
        <v>508.48000000000008</v>
      </c>
      <c r="L21" s="119">
        <f t="shared" si="1"/>
        <v>0</v>
      </c>
      <c r="M21" s="230">
        <f t="shared" si="2"/>
        <v>12857.28</v>
      </c>
      <c r="N21" s="277">
        <f t="shared" si="3"/>
        <v>2745.7627118644068</v>
      </c>
      <c r="O21" s="239">
        <f t="shared" si="4"/>
        <v>78.015213559322035</v>
      </c>
      <c r="P21" s="119">
        <f t="shared" si="5"/>
        <v>15681.057925423729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360</v>
      </c>
      <c r="I25" s="114">
        <f t="shared" si="7"/>
        <v>26150.400000000001</v>
      </c>
      <c r="J25" s="274">
        <f>SUM(J16:J24)</f>
        <v>2092.0320000000002</v>
      </c>
      <c r="K25" s="275">
        <f t="shared" si="7"/>
        <v>915.26400000000012</v>
      </c>
      <c r="L25" s="276">
        <f t="shared" si="7"/>
        <v>0</v>
      </c>
      <c r="M25" s="232">
        <f t="shared" si="7"/>
        <v>23143.103999999999</v>
      </c>
      <c r="N25" s="233">
        <f>SUM(N16:N24)</f>
        <v>4942.3728813559319</v>
      </c>
      <c r="O25" s="101">
        <f>SUM(O16:O24)</f>
        <v>140.42738440677965</v>
      </c>
      <c r="P25" s="234">
        <f>SUM(P16:P24)</f>
        <v>28225.904265762714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26150.400000000001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2092.0320000000002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915.26400000000012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23143.104000000003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4942.3728813559319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28085.476881355935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140.42738440677968</v>
      </c>
    </row>
    <row r="35" spans="2:16" ht="15.75" customHeight="1" thickBot="1" x14ac:dyDescent="0.4">
      <c r="N35" s="374" t="s">
        <v>88</v>
      </c>
      <c r="O35" s="375"/>
      <c r="P35" s="297">
        <f>+P33+P34</f>
        <v>28225.904265762714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2" workbookViewId="0">
      <selection activeCell="E11" sqref="E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523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527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si="0"/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119">
        <f t="shared" si="5"/>
        <v>849.39434356461845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15</v>
      </c>
      <c r="I25" s="114">
        <f t="shared" si="7"/>
        <v>786.9375</v>
      </c>
      <c r="J25" s="274">
        <f>SUM(J16:J24)</f>
        <v>62.954999999999998</v>
      </c>
      <c r="K25" s="275">
        <f t="shared" si="7"/>
        <v>27.542812500000004</v>
      </c>
      <c r="L25" s="276">
        <f t="shared" si="7"/>
        <v>0</v>
      </c>
      <c r="M25" s="232">
        <f t="shared" si="7"/>
        <v>696.43968749999999</v>
      </c>
      <c r="N25" s="233">
        <f>SUM(N16:N24)</f>
        <v>148.72881355932196</v>
      </c>
      <c r="O25" s="101">
        <f>SUM(O16:O24)</f>
        <v>4.22584250529661</v>
      </c>
      <c r="P25" s="234">
        <f>SUM(P16:P24)</f>
        <v>849.39434356461845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786.9375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62.954999999999998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27.542812500000004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696.43968749999999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148.72881355932196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845.1685010593219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4.22584250529661</v>
      </c>
    </row>
    <row r="35" spans="2:16" ht="15.75" customHeight="1" thickBot="1" x14ac:dyDescent="0.4">
      <c r="N35" s="374" t="s">
        <v>88</v>
      </c>
      <c r="O35" s="375"/>
      <c r="P35" s="297">
        <f>+P33+P34</f>
        <v>849.39434356461845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E11" sqref="E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524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527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118">
        <f>M16+N16+O16</f>
        <v>849.39434356461845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15</v>
      </c>
      <c r="I25" s="114">
        <f t="shared" si="7"/>
        <v>786.9375</v>
      </c>
      <c r="J25" s="274">
        <f>SUM(J16:J24)</f>
        <v>62.954999999999998</v>
      </c>
      <c r="K25" s="275">
        <f t="shared" si="7"/>
        <v>27.542812500000004</v>
      </c>
      <c r="L25" s="276">
        <f t="shared" si="7"/>
        <v>0</v>
      </c>
      <c r="M25" s="232">
        <f t="shared" si="7"/>
        <v>696.43968749999999</v>
      </c>
      <c r="N25" s="233">
        <f>SUM(N16:N24)</f>
        <v>148.72881355932196</v>
      </c>
      <c r="O25" s="101">
        <f>SUM(O16:O24)</f>
        <v>4.22584250529661</v>
      </c>
      <c r="P25" s="234">
        <f>SUM(P16:P24)</f>
        <v>849.39434356461845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786.9375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62.954999999999998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27.542812500000004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696.43968749999999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148.72881355932196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845.1685010593219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4.22584250529661</v>
      </c>
    </row>
    <row r="35" spans="2:16" ht="15.75" customHeight="1" thickBot="1" x14ac:dyDescent="0.4">
      <c r="N35" s="374" t="s">
        <v>88</v>
      </c>
      <c r="O35" s="375"/>
      <c r="P35" s="297">
        <f>+P33+P34</f>
        <v>849.39434356461845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E11" sqref="E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525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527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5</v>
      </c>
      <c r="I17" s="236">
        <f t="shared" ref="I17:I23" si="0">(G17*D17)*F17+H17*F17</f>
        <v>262.3125</v>
      </c>
      <c r="J17" s="272">
        <f t="shared" ref="J17:L24" si="1">$I17*S17</f>
        <v>20.984999999999999</v>
      </c>
      <c r="K17" s="128">
        <f>$I17*T17</f>
        <v>9.1809375000000006</v>
      </c>
      <c r="L17" s="119">
        <f>$I17*U17</f>
        <v>0</v>
      </c>
      <c r="M17" s="230">
        <f t="shared" ref="M17:M24" si="2">I17-SUM(J17:L17)</f>
        <v>232.14656250000002</v>
      </c>
      <c r="N17" s="277">
        <f t="shared" ref="N17:N24" si="3">+(G17*D17+H17)*V17</f>
        <v>49.576271186440657</v>
      </c>
      <c r="O17" s="239">
        <f t="shared" ref="O17:O24" si="4">(N17+M17)*$O$15</f>
        <v>1.4086141684322033</v>
      </c>
      <c r="P17" s="119">
        <f t="shared" ref="P17:P24" si="5">M17+N17+O17</f>
        <v>283.13144785487287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262.3125</v>
      </c>
      <c r="J25" s="274">
        <f>SUM(J16:J24)</f>
        <v>20.984999999999999</v>
      </c>
      <c r="K25" s="275">
        <f t="shared" si="7"/>
        <v>9.1809375000000006</v>
      </c>
      <c r="L25" s="276">
        <f t="shared" si="7"/>
        <v>0</v>
      </c>
      <c r="M25" s="232">
        <f t="shared" si="7"/>
        <v>232.14656250000002</v>
      </c>
      <c r="N25" s="233">
        <f>SUM(N16:N24)</f>
        <v>49.576271186440657</v>
      </c>
      <c r="O25" s="101">
        <f>SUM(O16:O24)</f>
        <v>1.4086141684322033</v>
      </c>
      <c r="P25" s="234">
        <f>SUM(P16:P24)</f>
        <v>283.13144785487287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262.3125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20.984999999999999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9.1809375000000006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232.14656249999999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49.576271186440657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281.72283368644065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1.4086141684322033</v>
      </c>
    </row>
    <row r="35" spans="2:16" ht="15.75" customHeight="1" thickBot="1" x14ac:dyDescent="0.4">
      <c r="N35" s="374" t="s">
        <v>88</v>
      </c>
      <c r="O35" s="375"/>
      <c r="P35" s="297">
        <f>+P33+P34</f>
        <v>283.13144785487287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E11" sqref="E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526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527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5</v>
      </c>
      <c r="I17" s="236">
        <f t="shared" ref="I17:I23" si="0">(G17*D17)*F17+H17*F17</f>
        <v>262.3125</v>
      </c>
      <c r="J17" s="272">
        <f t="shared" ref="J17:L24" si="1">$I17*S17</f>
        <v>20.984999999999999</v>
      </c>
      <c r="K17" s="128">
        <f>$I17*T17</f>
        <v>9.1809375000000006</v>
      </c>
      <c r="L17" s="119">
        <f>$I17*U17</f>
        <v>0</v>
      </c>
      <c r="M17" s="230">
        <f t="shared" ref="M17:M24" si="2">I17-SUM(J17:L17)</f>
        <v>232.14656250000002</v>
      </c>
      <c r="N17" s="277">
        <f t="shared" ref="N17:N24" si="3">+(G17*D17+H17)*V17</f>
        <v>49.576271186440657</v>
      </c>
      <c r="O17" s="239">
        <f t="shared" ref="O17:O24" si="4">(N17+M17)*$O$15</f>
        <v>1.4086141684322033</v>
      </c>
      <c r="P17" s="119">
        <f t="shared" ref="P17:P24" si="5">M17+N17+O17</f>
        <v>283.13144785487287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262.3125</v>
      </c>
      <c r="J25" s="274">
        <f>SUM(J16:J24)</f>
        <v>20.984999999999999</v>
      </c>
      <c r="K25" s="275">
        <f t="shared" si="7"/>
        <v>9.1809375000000006</v>
      </c>
      <c r="L25" s="276">
        <f t="shared" si="7"/>
        <v>0</v>
      </c>
      <c r="M25" s="232">
        <f t="shared" si="7"/>
        <v>232.14656250000002</v>
      </c>
      <c r="N25" s="233">
        <f>SUM(N16:N24)</f>
        <v>49.576271186440657</v>
      </c>
      <c r="O25" s="101">
        <f>SUM(O16:O24)</f>
        <v>1.4086141684322033</v>
      </c>
      <c r="P25" s="234">
        <f>SUM(P16:P24)</f>
        <v>283.13144785487287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262.3125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20.984999999999999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9.1809375000000006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232.14656249999999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49.576271186440657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281.72283368644065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1.4086141684322033</v>
      </c>
    </row>
    <row r="35" spans="2:16" ht="15.75" customHeight="1" thickBot="1" x14ac:dyDescent="0.4">
      <c r="N35" s="374" t="s">
        <v>88</v>
      </c>
      <c r="O35" s="375"/>
      <c r="P35" s="297">
        <f>+P33+P34</f>
        <v>283.13144785487287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527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527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527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46284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46283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2026-09-18T11:55:44Z</dcterms:modified>
</cp:coreProperties>
</file>