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75BEFE9-D82A-46D6-BF82-B71DE425927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<sst xmlns="http://schemas.openxmlformats.org/spreadsheetml/2006/main" count="3948" uniqueCount="526">
  <si>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</si>
  <si>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</si>
  <si>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</si>
  <si>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</si>
  <si>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</si>
  <si>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</si>
  <si>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</si>
  <si>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</si>
  <si>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</si>
  <si>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</si>
  <si>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</si>
  <si>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</si>
  <si>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</si>
  <si>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</si>
  <si>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</si>
  <si>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</si>
  <si>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</si>
  <si>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</si>
  <si>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</si>
  <si>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</si>
  <si>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</si>
  <si>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</si>
  <si>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</si>
  <si>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</si>
  <si>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</si>
  <si>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</si>
  <si>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</si>
  <si>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</si>
  <si>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</si>
  <si>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</si>
  <si>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</si>
  <si>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</si>
  <si>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</si>
  <si>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</si>
  <si>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</si>
  <si>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</si>
  <si>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</si>
  <si>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</si>
  <si>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</si>
  <si>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</si>
  <si>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</si>
  <si>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</si>
  <si>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</si>
  <si>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</si>
  <si>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</si>
  <si>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</si>
  <si>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</si>
  <si>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</si>
  <si>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</si>
  <si>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</si>
  <si>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</si>
  <si>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</si>
  <si>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</si>
  <si>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</si>
  <si>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</si>
  <si>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</si>
  <si>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</si>
  <si>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</si>
  <si>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</si>
  <si>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</si>
  <si>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</si>
  <si>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</si>
  <si>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</si>
  <si>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</si>
  <si>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</si>
  <si>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</si>
  <si>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</si>
  <si>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</si>
  <si>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</si>
  <si>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</si>
  <si>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</si>
  <si>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</si>
  <si>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</si>
  <si>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</si>
  <si>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</si>
  <si>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</si>
  <si>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</si>
  <si>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</si>
  <si>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</si>
  <si>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</si>
  <si>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</si>
  <si>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</si>
  <si>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</si>
  <si>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</si>
  <si>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</si>
  <si>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</si>
  <si>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</si>
  <si>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</si>
  <si>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</si>
  <si>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</si>
  <si>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</si>
  <si>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</si>
  <si>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</si>
  <si>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</si>
  <si>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</si>
  <si>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</si>
  <si>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</si>
  <si>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</si>
  <si>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</si>
  <si>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</si>
  <si>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</si>
  <si>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</si>
  <si>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</si>
  <si>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</si>
  <si>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</si>
  <si>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</si>
  <si>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</si>
  <si>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</si>
  <si>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</si>
  <si>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</si>
  <si>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</si>
  <si>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</si>
  <si>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</si>
  <si>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</si>
  <si>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</si>
  <si>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</si>
  <si>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</si>
  <si>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</si>
  <si>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</si>
  <si>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</si>
  <si>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</si>
  <si>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</si>
  <si>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</si>
  <si>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</si>
  <si>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</si>
  <si>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</si>
  <si>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</si>
  <si>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</si>
  <si>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</si>
  <si>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</si>
  <si>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</si>
  <si>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</si>
  <si>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</si>
  <si>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</si>
  <si>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</si>
  <si>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</si>
  <si>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</si>
  <si>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</si>
  <si>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</si>
  <si>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</si>
  <si>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</si>
  <si>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</si>
  <si>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</si>
  <si>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</si>
  <si>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</si>
  <si>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</si>
  <si>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</si>
  <si>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</si>
  <si>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</si>
  <si>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</si>
  <si>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</si>
  <si>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</si>
  <si>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</si>
  <si>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</si>
  <si>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</si>
  <si>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</si>
  <si>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</si>
  <si>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</si>
  <si>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</si>
  <si>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</si>
  <si>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</si>
  <si>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</si>
  <si>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</si>
  <si>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</si>
  <si>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</si>
  <si>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</si>
  <si>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</si>
  <si>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</si>
  <si>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</si>
  <si>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</si>
  <si>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</si>
  <si>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</si>
  <si>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</si>
  <si>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</si>
  <si>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</si>
  <si>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</si>
  <si>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</si>
  <si>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</si>
  <si>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</si>
  <si>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</si>
  <si>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</si>
  <si>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</si>
  <si>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</si>
  <si>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</si>
  <si>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</si>
  <si>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</si>
  <si>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</si>
  <si>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</si>
  <si>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</si>
  <si>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</si>
  <si>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</si>
  <si>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</si>
  <si>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</si>
  <si>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</si>
  <si>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</si>
  <si>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</si>
  <si>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</si>
  <si>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</si>
  <si>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</si>
  <si>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</si>
  <si>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</si>
  <si>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</si>
  <si>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</si>
  <si>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</si>
  <si>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</si>
  <si>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</si>
  <si>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</si>
  <si>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</si>
  <si>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</si>
  <si>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</si>
  <si>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</si>
  <si>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</si>
  <si>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</si>
  <si>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</si>
  <si>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</si>
  <si>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</si>
  <si>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</si>
  <si>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</si>
  <si>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</si>
  <si>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</si>
  <si>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</si>
  <si>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</si>
  <si>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</si>
  <si>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</si>
  <si>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</si>
  <si>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</si>
  <si>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</si>
  <si>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</si>
  <si>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</si>
  <si>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</si>
  <si>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</si>
  <si>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</si>
  <si>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</si>
  <si>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</si>
  <si>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</si>
  <si>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</si>
  <si>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</si>
  <si>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</si>
  <si>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</si>
  <si>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</si>
  <si>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</si>
  <si>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</si>
  <si>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</si>
  <si>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</si>
  <si>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</si>
  <si>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</si>
  <si>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</si>
  <si>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</si>
  <si>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</si>
  <si>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</si>
  <si>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</si>
  <si>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</si>
  <si>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</si>
  <si>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</si>
  <si>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</si>
  <si>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</si>
  <si>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</si>
  <si>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</si>
  <si>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</si>
  <si>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</si>
  <si>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</si>
  <si>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</si>
  <si>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</si>
  <si>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</si>
  <si>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</si>
  <si>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</si>
  <si>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</si>
  <si>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</si>
  <si>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</si>
  <si>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</si>
  <si>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</si>
  <si>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</si>
  <si>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</si>
  <si>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</si>
  <si>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</si>
  <si>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</si>
  <si>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</si>
  <si>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</si>
  <si>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</si>
  <si>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</si>
  <si>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</si>
  <si>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</si>
  <si>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</si>
  <si>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</si>
  <si>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</si>
  <si>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</si>
  <si>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</si>
  <si>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</si>
  <si>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</si>
  <si>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</si>
  <si>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</si>
  <si>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</si>
  <si>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</si>
  <si>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</si>
  <si>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</si>
  <si>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</si>
  <si>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</si>
  <si>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</si>
  <si>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</si>
  <si>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</si>
  <si>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</si>
  <si>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</si>
  <si>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</si>
  <si>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</si>
  <si>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</si>
  <si>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</si>
  <si>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</si>
  <si>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</si>
  <si>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</si>
  <si>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</si>
  <si>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</si>
  <si>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</si>
  <si>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</si>
  <si>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</si>
  <si>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</si>
  <si>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</si>
  <si>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</si>
  <si>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</si>
  <si>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</si>
  <si>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</si>
  <si>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</si>
  <si>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</si>
  <si>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</si>
  <si>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</si>
  <si>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</si>
  <si>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</si>
  <si>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</si>
  <si>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</si>
  <si>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</si>
  <si>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</si>
  <si>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</si>
  <si>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</si>
  <si>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</si>
  <si>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</si>
  <si>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</si>
  <si>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</si>
  <si>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</si>
  <si>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</si>
  <si>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</si>
  <si>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</si>
  <si>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</si>
  <si>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</si>
  <si>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</si>
  <si>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</si>
  <si>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</si>
  <si>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</si>
  <si>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</si>
  <si>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</si>
  <si>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</si>
  <si>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</si>
  <si>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</si>
  <si>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</si>
  <si>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</si>
  <si>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</si>
  <si>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</si>
  <si>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</si>
  <si>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</si>
  <si>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</si>
  <si>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</si>
  <si>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</si>
  <si>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</si>
  <si>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</si>
  <si>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</si>
  <si>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</si>
  <si>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</si>
  <si>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</si>
  <si>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</si>
  <si>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</si>
  <si>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</si>
  <si>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</si>
  <si>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</si>
  <si>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</si>
  <si>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</si>
  <si>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</si>
  <si>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</si>
  <si>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</si>
  <si>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</si>
  <si>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</si>
  <si>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</si>
  <si>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</si>
  <si>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</si>
  <si>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</si>
  <si>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</si>
  <si>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</si>
  <si>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</si>
  <si>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</si>
  <si>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</si>
  <si>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</si>
  <si>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</si>
  <si>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</si>
  <si>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</si>
  <si>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</si>
  <si>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</si>
  <si>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</si>
  <si>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</si>
  <si>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</si>
  <si>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</si>
  <si>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</si>
  <si>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</si>
  <si>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</si>
  <si>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</si>
  <si>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</si>
  <si>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</si>
  <si>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</si>
  <si>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</si>
  <si>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</si>
  <si>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</si>
  <si>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</si>
  <si>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</si>
  <si>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</si>
  <si>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</si>
  <si>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</si>
  <si>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</si>
  <si>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</si>
  <si>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</si>
  <si>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</si>
  <si>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</si>
  <si>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</si>
  <si>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</si>
  <si>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</si>
  <si>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</si>
  <si>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</si>
  <si>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</si>
  <si>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</si>
  <si>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</si>
  <si>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</si>
  <si>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</si>
  <si>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</si>
  <si>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</si>
  <si>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</si>
  <si>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</si>
  <si>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</si>
  <si>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</si>
  <si>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</si>
  <si>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</si>
  <si>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</si>
  <si>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</si>
  <si>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</si>
  <si>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</si>
  <si>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</si>
  <si>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</si>
  <si>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</si>
  <si>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</si>
  <si>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</si>
  <si>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</si>
  <si>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</si>
  <si>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</si>
  <si>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</si>
  <si>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</si>
  <si>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</si>
  <si>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</si>
  <si>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</si>
  <si>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</si>
  <si>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</si>
  <si>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</si>
  <si>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</si>
  <si>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</si>
  <si>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</si>
  <si>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</si>
  <si>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</si>
  <si>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</si>
  <si>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</si>
  <si>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</si>
  <si>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</si>
  <si>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</si>
  <si>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</si>
  <si>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</si>
  <si>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</si>
  <si>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</si>
  <si>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</si>
  <si>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</si>
  <si>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</si>
  <si>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</si>
  <si>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</si>
  <si>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</si>
  <si>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</si>
  <si>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</si>
  <si>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</si>
  <si>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</si>
  <si>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</si>
  <si>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</si>
  <si>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</si>
  <si>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</si>
  <si>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</si>
  <si>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</si>
  <si>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</si>
  <si>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</si>
  <si>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</si>
  <si>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</si>
  <si>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</si>
  <si>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</si>
  <si>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</si>
  <si>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</si>
  <si>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</si>
  <si>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</si>
  <si>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</si>
  <si>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</si>
  <si>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</si>
  <si>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</si>
  <si>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</si>
  <si>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</si>
  <si>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</si>
  <si>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</si>
  <si>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</si>
  <si>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</si>
  <si>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</si>
  <si>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</si>
  <si>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</si>
  <si>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</si>
  <si>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</si>
  <si>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</si>
  <si>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</si>
  <si>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</si>
  <si>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</si>
  <si>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Alhamd Bakery </t>
  </si>
  <si>
    <t xml:space="preserve">A1 Bakery </t>
  </si>
  <si>
    <t xml:space="preserve">Faridiya </t>
  </si>
  <si>
    <t>Address: Nashter</t>
  </si>
  <si>
    <t>Hanif Khan GS</t>
  </si>
  <si>
    <t>Khubaib Store</t>
  </si>
  <si>
    <t>Mahi GS</t>
  </si>
  <si>
    <t xml:space="preserve">SS Bakers </t>
  </si>
  <si>
    <t>Hasham Store</t>
  </si>
  <si>
    <t xml:space="preserve">Haji Sardar </t>
  </si>
  <si>
    <t xml:space="preserve">Al Fazal Cash &amp; Carry 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</si>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</sst>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46268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Alhamd Bakery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A1 Bakery 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Faridiya 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Hanif Khan GS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Khubaib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Mahi GS</v>
      </c>
      <c r="T8" s="301">
        <f>+'6'!P35</f>
        <v>4805.3894985762709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SS Bakers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128</v>
      </c>
      <c r="I10" s="236">
        <f t="shared" si="0"/>
        <v>9297.92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743.83360000000005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325.42720000000003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8228.6592000000001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1757.2881355932204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49.929736677966105</v>
      </c>
      <c r="P10" s="311">
        <f t="shared" si="2"/>
        <v>10035.877072271187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Hasham Store</v>
      </c>
      <c r="T10" s="301">
        <f>+'8'!P35</f>
        <v>1540.2365633898305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79</v>
      </c>
      <c r="I11" s="236">
        <f t="shared" si="0"/>
        <v>5738.56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459.08479999999997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200.84960000000001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5078.6256000000003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1084.5762711864409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30.816009355932206</v>
      </c>
      <c r="P11" s="311">
        <f t="shared" si="2"/>
        <v>6194.017880542373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Haji Sardar 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122</v>
      </c>
      <c r="I12" s="236">
        <f t="shared" si="0"/>
        <v>8862.08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708.96640000000002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310.17280000000005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7842.9408000000003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1674.9152542372881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47.589280271186446</v>
      </c>
      <c r="P12" s="311">
        <f t="shared" si="2"/>
        <v>9565.4453345084748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Al Fazal Cash &amp; Carry </v>
      </c>
      <c r="T12" s="301">
        <f>+'10'!P35</f>
        <v>9408.6347552542375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180</v>
      </c>
      <c r="I13" s="236">
        <f t="shared" si="0"/>
        <v>7061.4000000000005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353.07000000000011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247.14900000000006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360.13140000000004</v>
      </c>
      <c r="M13" s="230">
        <f t="shared" si="1"/>
        <v>6101.0496000000003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1372.8813559322027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37.369654779661019</v>
      </c>
      <c r="P13" s="311">
        <f t="shared" si="2"/>
        <v>7511.3006107118636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12.725</v>
      </c>
      <c r="H16" s="113">
        <f t="shared" ref="H16:M16" si="3">SUM(H7:H15)</f>
        <v>509</v>
      </c>
      <c r="I16" s="114">
        <f t="shared" si="3"/>
        <v>30959.96</v>
      </c>
      <c r="J16" s="274">
        <f>SUM(J7:J15)</f>
        <v>2264.9548</v>
      </c>
      <c r="K16" s="275">
        <f t="shared" si="3"/>
        <v>1083.5986000000003</v>
      </c>
      <c r="L16" s="276">
        <f t="shared" si="3"/>
        <v>360.13140000000004</v>
      </c>
      <c r="M16" s="232">
        <f t="shared" si="3"/>
        <v>27251.275200000004</v>
      </c>
      <c r="N16" s="233">
        <f>SUM(N7:N15)</f>
        <v>5889.6610169491523</v>
      </c>
      <c r="O16" s="101">
        <f>SUM(O7:O15)</f>
        <v>165.7046810847458</v>
      </c>
      <c r="P16" s="113">
        <f>SUM(P7:P15)</f>
        <v>33306.640898033897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30959.96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2264.9548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1443.7300000000002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27251.2752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5889.6610169491523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33140.936216949151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165.7046810847458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33306.640898033897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33306.640898033897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7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311">
        <f t="shared" si="5"/>
        <v>1019.2687651525424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311">
        <f t="shared" si="5"/>
        <v>1019.2687651525424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784.60000000000014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39.230000000000011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67.475600000000014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677.89440000000013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830.43677288135598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4" t="s">
        <v>88</v>
      </c>
      <c r="O35" s="345"/>
      <c r="P35" s="297">
        <f>+P33+P34</f>
        <v>834.58895674576274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784.60000000000014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39.230000000000011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67.475600000000014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677.89440000000013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830.43677288135598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4" t="s">
        <v>88</v>
      </c>
      <c r="O35" s="345"/>
      <c r="P35" s="297">
        <f>+P33+P34</f>
        <v>834.58895674576274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29</v>
      </c>
      <c r="I25" s="114">
        <f t="shared" si="7"/>
        <v>1438.3600000000001</v>
      </c>
      <c r="J25" s="274">
        <f>SUM(J16:J24)</f>
        <v>91.530800000000028</v>
      </c>
      <c r="K25" s="275">
        <f t="shared" si="7"/>
        <v>50.342600000000004</v>
      </c>
      <c r="L25" s="276">
        <f t="shared" si="7"/>
        <v>40.014600000000002</v>
      </c>
      <c r="M25" s="232">
        <f t="shared" si="7"/>
        <v>1256.4720000000002</v>
      </c>
      <c r="N25" s="233">
        <f>SUM(N16:N24)</f>
        <v>276.10169491525414</v>
      </c>
      <c r="O25" s="101">
        <f>SUM(O16:O24)</f>
        <v>7.6628684745762712</v>
      </c>
      <c r="P25" s="113">
        <f>SUM(P16:P24)</f>
        <v>1540.2365633898305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1438.3600000000001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91.530800000000028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90.357200000000006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1256.4720000000002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276.10169491525414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1532.5736949152542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7.6628684745762712</v>
      </c>
    </row>
    <row r="35" spans="2:16" ht="15.75" customHeight="1" thickBot="1" x14ac:dyDescent="0.4">
      <c r="N35" s="344" t="s">
        <v>88</v>
      </c>
      <c r="O35" s="345"/>
      <c r="P35" s="297">
        <f>+P33+P34</f>
        <v>1540.2365633898305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46268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46267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46269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46268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2026-09-03T04:35:58Z</dcterms:modified>
</cp:coreProperties>
</file>