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F466F1D-DDB7-4A61-B418-9A80356A096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T21" i="43" l="1"/>
  <c r="T19" i="43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43"/>
  <c r="O21" i="43" s="1"/>
  <c r="P21" i="43" s="1"/>
  <c r="M24" i="43"/>
  <c r="O24" i="43" s="1"/>
  <c r="P24" i="4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<sst xmlns="http://schemas.openxmlformats.org/spreadsheetml/2006/main" count="3948" uniqueCount="523">
  <si>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</si>
  <si>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</si>
  <si>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</si>
  <si>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</si>
  <si>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</si>
  <si>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</si>
  <si>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</si>
  <si>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</si>
  <si>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</si>
  <si>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</si>
  <si>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</si>
  <si>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</si>
  <si>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</si>
  <si>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</si>
  <si>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</si>
  <si>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</si>
  <si>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</si>
  <si>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</si>
  <si>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</si>
  <si>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</si>
  <si>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</si>
  <si>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</si>
  <si>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</si>
  <si>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</si>
  <si>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</si>
  <si>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</si>
  <si>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</si>
  <si>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</si>
  <si>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</si>
  <si>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</si>
  <si>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</si>
  <si>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</si>
  <si>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</si>
  <si>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</si>
  <si>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</si>
  <si>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</si>
  <si>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</si>
  <si>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</si>
  <si>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</si>
  <si>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</si>
  <si>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</si>
  <si>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</si>
  <si>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</si>
  <si>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</si>
  <si>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</si>
  <si>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</si>
  <si>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</si>
  <si>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</si>
  <si>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</si>
  <si>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</si>
  <si>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</si>
  <si>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</si>
  <si>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</si>
  <si>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</si>
  <si>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</si>
  <si>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</si>
  <si>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</si>
  <si>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</si>
  <si>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</si>
  <si>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</si>
  <si>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</si>
  <si>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</si>
  <si>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</si>
  <si>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</si>
  <si>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</si>
  <si>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</si>
  <si>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</si>
  <si>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</si>
  <si>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</si>
  <si>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</si>
  <si>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</si>
  <si>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</si>
  <si>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</si>
  <si>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</si>
  <si>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</si>
  <si>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</si>
  <si>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</si>
  <si>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</si>
  <si>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</si>
  <si>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</si>
  <si>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</si>
  <si>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</si>
  <si>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</si>
  <si>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</si>
  <si>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</si>
  <si>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</si>
  <si>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</si>
  <si>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</si>
  <si>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</si>
  <si>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</si>
  <si>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</si>
  <si>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</si>
  <si>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</si>
  <si>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</si>
  <si>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</si>
  <si>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</si>
  <si>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</si>
  <si>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</si>
  <si>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</si>
  <si>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</si>
  <si>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</si>
  <si>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</si>
  <si>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</si>
  <si>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</si>
  <si>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</si>
  <si>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</si>
  <si>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</si>
  <si>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</si>
  <si>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</si>
  <si>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</si>
  <si>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</si>
  <si>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</si>
  <si>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</si>
  <si>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</si>
  <si>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</si>
  <si>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</si>
  <si>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</si>
  <si>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</si>
  <si>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</si>
  <si>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</si>
  <si>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</si>
  <si>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</si>
  <si>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</si>
  <si>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</si>
  <si>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</si>
  <si>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</si>
  <si>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</si>
  <si>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</si>
  <si>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</si>
  <si>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</si>
  <si>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</si>
  <si>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</si>
  <si>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</si>
  <si>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</si>
  <si>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</si>
  <si>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</si>
  <si>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</si>
  <si>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</si>
  <si>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</si>
  <si>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</si>
  <si>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</si>
  <si>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</si>
  <si>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</si>
  <si>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</si>
  <si>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</si>
  <si>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</si>
  <si>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</si>
  <si>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</si>
  <si>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</si>
  <si>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</si>
  <si>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</si>
  <si>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</si>
  <si>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</si>
  <si>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</si>
  <si>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</si>
  <si>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</si>
  <si>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</si>
  <si>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</si>
  <si>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</si>
  <si>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</si>
  <si>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</si>
  <si>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</si>
  <si>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</si>
  <si>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</si>
  <si>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</si>
  <si>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</si>
  <si>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</si>
  <si>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</si>
  <si>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</si>
  <si>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</si>
  <si>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</si>
  <si>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</si>
  <si>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</si>
  <si>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</si>
  <si>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</si>
  <si>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</si>
  <si>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</si>
  <si>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</si>
  <si>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</si>
  <si>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</si>
  <si>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</si>
  <si>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</si>
  <si>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</si>
  <si>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</si>
  <si>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</si>
  <si>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</si>
  <si>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</si>
  <si>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</si>
  <si>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</si>
  <si>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</si>
  <si>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</si>
  <si>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</si>
  <si>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</si>
  <si>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</si>
  <si>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</si>
  <si>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</si>
  <si>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</si>
  <si>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</si>
  <si>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</si>
  <si>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</si>
  <si>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</si>
  <si>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</si>
  <si>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</si>
  <si>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</si>
  <si>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</si>
  <si>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</si>
  <si>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</si>
  <si>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</si>
  <si>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</si>
  <si>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</si>
  <si>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</si>
  <si>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</si>
  <si>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</si>
  <si>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</si>
  <si>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</si>
  <si>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</si>
  <si>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</si>
  <si>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</si>
  <si>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</si>
  <si>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</si>
  <si>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</si>
  <si>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</si>
  <si>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</si>
  <si>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</si>
  <si>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</si>
  <si>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</si>
  <si>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</si>
  <si>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</si>
  <si>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</si>
  <si>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</si>
  <si>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</si>
  <si>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</si>
  <si>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</si>
  <si>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</si>
  <si>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</si>
  <si>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</si>
  <si>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</si>
  <si>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</si>
  <si>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</si>
  <si>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</si>
  <si>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</si>
  <si>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</si>
  <si>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</si>
  <si>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</si>
  <si>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</si>
  <si>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</si>
  <si>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</si>
  <si>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</si>
  <si>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</si>
  <si>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</si>
  <si>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</si>
  <si>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</si>
  <si>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</si>
  <si>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</si>
  <si>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</si>
  <si>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</si>
  <si>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</si>
  <si>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</si>
  <si>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</si>
  <si>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</si>
  <si>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</si>
  <si>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</si>
  <si>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</si>
  <si>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</si>
  <si>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</si>
  <si>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</si>
  <si>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</si>
  <si>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</si>
  <si>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</si>
  <si>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</si>
  <si>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</si>
  <si>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</si>
  <si>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</si>
  <si>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</si>
  <si>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</si>
  <si>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</si>
  <si>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</si>
  <si>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</si>
  <si>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</si>
  <si>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</si>
  <si>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</si>
  <si>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</si>
  <si>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</si>
  <si>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</si>
  <si>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</si>
  <si>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</si>
  <si>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</si>
  <si>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</si>
  <si>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</si>
  <si>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</si>
  <si>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</si>
  <si>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</si>
  <si>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</si>
  <si>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</si>
  <si>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</si>
  <si>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</si>
  <si>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</si>
  <si>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</si>
  <si>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</si>
  <si>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</si>
  <si>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</si>
  <si>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</si>
  <si>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</si>
  <si>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</si>
  <si>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</si>
  <si>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</si>
  <si>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</si>
  <si>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</si>
  <si>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</si>
  <si>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</si>
  <si>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</si>
  <si>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</si>
  <si>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</si>
  <si>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</si>
  <si>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</si>
  <si>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</si>
  <si>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</si>
  <si>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</si>
  <si>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</si>
  <si>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</si>
  <si>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</si>
  <si>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</si>
  <si>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</si>
  <si>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</si>
  <si>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</si>
  <si>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</si>
  <si>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</si>
  <si>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</si>
  <si>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</si>
  <si>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</si>
  <si>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</si>
  <si>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</si>
  <si>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</si>
  <si>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</si>
  <si>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</si>
  <si>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</si>
  <si>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</si>
  <si>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</si>
  <si>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</si>
  <si>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</si>
  <si>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</si>
  <si>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</si>
  <si>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</si>
  <si>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</si>
  <si>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</si>
  <si>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</si>
  <si>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</si>
  <si>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</si>
  <si>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</si>
  <si>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</si>
  <si>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</si>
  <si>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</si>
  <si>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</si>
  <si>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</si>
  <si>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</si>
  <si>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</si>
  <si>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</si>
  <si>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</si>
  <si>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</si>
  <si>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</si>
  <si>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</si>
  <si>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</si>
  <si>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</si>
  <si>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</si>
  <si>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</si>
  <si>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</si>
  <si>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</si>
  <si>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</si>
  <si>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</si>
  <si>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</si>
  <si>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</si>
  <si>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</si>
  <si>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</si>
  <si>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</si>
  <si>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</si>
  <si>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</si>
  <si>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</si>
  <si>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</si>
  <si>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</si>
  <si>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</si>
  <si>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</si>
  <si>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</si>
  <si>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</si>
  <si>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</si>
  <si>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</si>
  <si>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</si>
  <si>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</si>
  <si>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</si>
  <si>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</si>
  <si>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</si>
  <si>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</si>
  <si>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</si>
  <si>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</si>
  <si>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</si>
  <si>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</si>
  <si>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</si>
  <si>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</si>
  <si>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</si>
  <si>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</si>
  <si>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</si>
  <si>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</si>
  <si>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</si>
  <si>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</si>
  <si>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</si>
  <si>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</si>
  <si>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</si>
  <si>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</si>
  <si>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</si>
  <si>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</si>
  <si>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</si>
  <si>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</si>
  <si>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</si>
  <si>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</si>
  <si>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</si>
  <si>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</si>
  <si>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</si>
  <si>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</si>
  <si>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</si>
  <si>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</si>
  <si>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</si>
  <si>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</si>
  <si>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</si>
  <si>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</si>
  <si>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</si>
  <si>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</si>
  <si>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</si>
  <si>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</si>
  <si>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</si>
  <si>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</si>
  <si>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</si>
  <si>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</si>
  <si>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</si>
  <si>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</si>
  <si>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</si>
  <si>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</si>
  <si>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</si>
  <si>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</si>
  <si>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</si>
  <si>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</si>
  <si>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</si>
  <si>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</si>
  <si>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</si>
  <si>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</si>
  <si>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</si>
  <si>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</si>
  <si>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</si>
  <si>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</si>
  <si>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</si>
  <si>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</si>
  <si>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</si>
  <si>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</si>
  <si>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</si>
  <si>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</si>
  <si>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</si>
  <si>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</si>
  <si>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</si>
  <si>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</si>
  <si>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</si>
  <si>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</si>
  <si>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</si>
  <si>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</si>
  <si>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</si>
  <si>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</si>
  <si>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</si>
  <si>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</si>
  <si>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</si>
  <si>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</si>
  <si>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</si>
  <si>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</si>
  <si>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</si>
  <si>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</si>
  <si>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</si>
  <si>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</si>
  <si>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</si>
  <si>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</si>
  <si>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</si>
  <si>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</si>
  <si>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</si>
  <si>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</si>
  <si>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</si>
  <si>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</si>
  <si>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</si>
  <si>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</si>
  <si>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</si>
  <si>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</si>
  <si>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</si>
  <si>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</si>
  <si>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</si>
  <si>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</si>
  <si>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</si>
  <si>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</si>
  <si>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</si>
  <si>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</si>
  <si>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</si>
  <si>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</si>
  <si>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</si>
  <si>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</si>
  <si>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</si>
  <si>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</si>
  <si>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</si>
  <si>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</si>
  <si>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</si>
  <si>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</si>
  <si>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</si>
  <si>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</si>
  <si>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</si>
  <si>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</si>
  <si>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</si>
  <si>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</si>
  <si>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</si>
  <si>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</si>
  <si>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</si>
  <si>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</si>
  <si>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</si>
  <si>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 xml:space="preserve">Address: Sammi Town </t>
  </si>
  <si>
    <t>Kgs Store</t>
  </si>
  <si>
    <t>Hamza Store</t>
  </si>
  <si>
    <t xml:space="preserve">Address: Nazeer Garden </t>
  </si>
  <si>
    <t>Hafiz Brother</t>
  </si>
  <si>
    <t xml:space="preserve">Address:  Nazeer Garden </t>
  </si>
  <si>
    <t>786 Store</t>
  </si>
  <si>
    <t xml:space="preserve">Address: Rehman Garden </t>
  </si>
  <si>
    <t xml:space="preserve">FGC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</si>
</sst>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46268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Kgs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Hamza Store</v>
      </c>
      <c r="T4" s="301">
        <f>+'2'!P35</f>
        <v>24922.77936447458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Hafiz Brother</v>
      </c>
      <c r="T5" s="301">
        <f>+'3'!P35</f>
        <v>1001.5067480949152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786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</v>
      </c>
      <c r="I7" s="235">
        <f>(G7*D7)*F7+H7*F7</f>
        <v>262.3125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20.984999999999999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9.1809375000000006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232.14656250000002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49.576271186440657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1.4086141684322033</v>
      </c>
      <c r="P7" s="310">
        <f>M7+N7+O7</f>
        <v>283.13144785487287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FGC Mart </v>
      </c>
      <c r="T7" s="301">
        <f>+'5'!P35</f>
        <v>2234.1209271578387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</v>
      </c>
      <c r="I8" s="236">
        <f t="shared" ref="I8:I14" si="0">(G8*D8)*F8+H8*F8</f>
        <v>262.3125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20.984999999999999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9.1809375000000006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232.14656250000002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49.576271186440657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1.4086141684322033</v>
      </c>
      <c r="P8" s="311">
        <f t="shared" ref="P8:P15" si="2">M8+N8+O8</f>
        <v>283.13144785487287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</v>
      </c>
      <c r="I9" s="236">
        <f t="shared" si="0"/>
        <v>262.3125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20.984999999999999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9.1809375000000006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232.14656250000002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49.576271186440657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1.4086141684322033</v>
      </c>
      <c r="P9" s="311">
        <f t="shared" si="2"/>
        <v>283.13144785487287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6312.4160000000002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38.426486779661019</v>
      </c>
      <c r="P10" s="311">
        <f t="shared" si="2"/>
        <v>7723.7238427118646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95</v>
      </c>
      <c r="I11" s="236">
        <f t="shared" si="0"/>
        <v>6900.8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668.28800000000001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241.52800000000002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5990.9840000000004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1304.2372881355934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36.476106440677967</v>
      </c>
      <c r="P11" s="311">
        <f t="shared" si="2"/>
        <v>7331.6973945762711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100</v>
      </c>
      <c r="I12" s="236">
        <f t="shared" si="0"/>
        <v>7264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254.24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6312.4160000000002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1372.8813559322034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38.426486779661019</v>
      </c>
      <c r="P12" s="311">
        <f t="shared" si="2"/>
        <v>7723.7238427118646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201</v>
      </c>
      <c r="I13" s="236">
        <f t="shared" si="0"/>
        <v>7885.2300000000005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708.10150000000021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181.83105000000006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402.14672999999999</v>
      </c>
      <c r="M13" s="230">
        <f t="shared" si="1"/>
        <v>6593.1507200000005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1533.0508474576261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40.631007837288138</v>
      </c>
      <c r="P13" s="311">
        <f t="shared" si="2"/>
        <v>8166.8325752949149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12.775</v>
      </c>
      <c r="H16" s="113">
        <f t="shared" ref="H16:M16" si="3">SUM(H7:H15)</f>
        <v>511</v>
      </c>
      <c r="I16" s="114">
        <f t="shared" si="3"/>
        <v>30100.967499999999</v>
      </c>
      <c r="J16" s="274">
        <f>SUM(J7:J15)</f>
        <v>2834.0325000000003</v>
      </c>
      <c r="K16" s="275">
        <f t="shared" si="3"/>
        <v>959.38186250000012</v>
      </c>
      <c r="L16" s="276">
        <f t="shared" si="3"/>
        <v>402.14672999999999</v>
      </c>
      <c r="M16" s="232">
        <f t="shared" si="3"/>
        <v>25905.406407500002</v>
      </c>
      <c r="N16" s="233">
        <f>SUM(N7:N15)</f>
        <v>5731.7796610169489</v>
      </c>
      <c r="O16" s="101">
        <f>SUM(O7:O15)</f>
        <v>158.18593034258475</v>
      </c>
      <c r="P16" s="113">
        <f>SUM(P7:P15)</f>
        <v>31795.371998859533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30100.967499999999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2834.0325000000003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1361.5285925000001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25905.406407499999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5731.7796610169489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31637.186068516949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158.18593034258475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31795.371998859533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31795.371998859533</v>
      </c>
    </row>
    <row r="35" spans="2:20" x14ac:dyDescent="0.35">
      <c r="T35" s="223"/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P37" sqref="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f>+T18</f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160</v>
      </c>
      <c r="I22" s="236">
        <f t="shared" si="0"/>
        <v>6276.8000000000011</v>
      </c>
      <c r="J22" s="272">
        <f t="shared" si="1"/>
        <v>627.68000000000018</v>
      </c>
      <c r="K22" s="128">
        <f t="shared" si="1"/>
        <v>125.53600000000003</v>
      </c>
      <c r="L22" s="119">
        <f t="shared" si="1"/>
        <v>320.11680000000001</v>
      </c>
      <c r="M22" s="230">
        <f t="shared" si="2"/>
        <v>5203.467200000001</v>
      </c>
      <c r="N22" s="277">
        <f t="shared" si="3"/>
        <v>1220.3389830508468</v>
      </c>
      <c r="O22" s="239">
        <f t="shared" si="4"/>
        <v>32.119030915254243</v>
      </c>
      <c r="P22" s="311">
        <f t="shared" si="5"/>
        <v>6455.9252139661021</v>
      </c>
      <c r="Q22" s="156"/>
      <c r="S22" s="269">
        <v>0.1</v>
      </c>
      <c r="T22" s="270">
        <v>0.02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0.1</v>
      </c>
      <c r="T23" s="270">
        <f>+T22</f>
        <v>0.02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0.1</v>
      </c>
      <c r="T24" s="270">
        <f>+T23</f>
        <v>0.02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400</v>
      </c>
      <c r="I25" s="114">
        <f t="shared" si="7"/>
        <v>23710.400000000001</v>
      </c>
      <c r="J25" s="274">
        <f>SUM(J16:J24)</f>
        <v>2371.0400000000004</v>
      </c>
      <c r="K25" s="275">
        <f t="shared" si="7"/>
        <v>735.7120000000001</v>
      </c>
      <c r="L25" s="276">
        <f t="shared" si="7"/>
        <v>320.11680000000001</v>
      </c>
      <c r="M25" s="232">
        <f t="shared" si="7"/>
        <v>20283.531200000001</v>
      </c>
      <c r="N25" s="233">
        <f>SUM(N16:N24)</f>
        <v>4515.2542372881353</v>
      </c>
      <c r="O25" s="101">
        <f>SUM(O16:O24)</f>
        <v>123.99392718644069</v>
      </c>
      <c r="P25" s="113">
        <f>SUM(P16:P24)</f>
        <v>24922.779364474576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23710.400000000001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2371.0400000000004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1055.8288000000002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20283.531200000001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4515.2542372881353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24798.785437288137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123.99392718644069</v>
      </c>
    </row>
    <row r="35" spans="2:16" ht="15.75" customHeight="1" thickBot="1" x14ac:dyDescent="0.4">
      <c r="N35" s="373" t="s">
        <v>88</v>
      </c>
      <c r="O35" s="374"/>
      <c r="P35" s="297">
        <f>+P33+P34</f>
        <v>24922.77936447458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>
      <c r="P37" s="223"/>
    </row>
    <row r="38" spans="2:16" x14ac:dyDescent="0.35">
      <c r="L38">
        <v>0</v>
      </c>
      <c r="P38" s="223"/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113">
        <f>SUM(P16:P24)</f>
        <v>1001.5067480949152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941.5200000000001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47.076000000000008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80.970720000000014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813.47328000000005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996.52412745762706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73" t="s">
        <v>88</v>
      </c>
      <c r="O35" s="374"/>
      <c r="P35" s="297">
        <f>+P33+P34</f>
        <v>1001.5067480949152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35</v>
      </c>
      <c r="I25" s="114">
        <f t="shared" si="7"/>
        <v>2072.6875</v>
      </c>
      <c r="J25" s="274">
        <f>SUM(J16:J24)</f>
        <v>159.93049999999999</v>
      </c>
      <c r="K25" s="275">
        <f t="shared" si="7"/>
        <v>72.54406250000001</v>
      </c>
      <c r="L25" s="276">
        <f t="shared" si="7"/>
        <v>10.00365</v>
      </c>
      <c r="M25" s="232">
        <f t="shared" si="7"/>
        <v>1830.2092875000001</v>
      </c>
      <c r="N25" s="233">
        <f>SUM(N16:N24)</f>
        <v>392.79661016949137</v>
      </c>
      <c r="O25" s="101">
        <f>SUM(O16:O24)</f>
        <v>11.115029488347457</v>
      </c>
      <c r="P25" s="113">
        <f>SUM(P16:P24)</f>
        <v>2234.1209271578391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2072.6875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159.93049999999999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82.547712500000017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1830.2092875000001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392.79661016949137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2223.0058976694913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11.115029488347457</v>
      </c>
    </row>
    <row r="35" spans="2:16" ht="15.75" customHeight="1" thickBot="1" x14ac:dyDescent="0.4">
      <c r="N35" s="373" t="s">
        <v>88</v>
      </c>
      <c r="O35" s="374"/>
      <c r="P35" s="297">
        <f>+P33+P34</f>
        <v>2234.1209271578387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46267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46269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46268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2026-09-03T15:24:21Z</dcterms:modified>
</cp:coreProperties>
</file>