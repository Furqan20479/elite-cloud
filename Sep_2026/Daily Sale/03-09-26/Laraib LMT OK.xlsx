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2AF35B9-8685-4728-8926-44C29E38F9BC}" xr6:coauthVersionLast="47" xr6:coauthVersionMax="47" xr10:uidLastSave="{00000000-0000-0000-0000-000000000000}"/>
  <bookViews>
    <workbookView xWindow="-110" yWindow="-110" windowWidth="19420" windowHeight="10420" tabRatio="948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G11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15" i="62" l="1"/>
  <c r="M16" i="43"/>
  <c r="O16" i="43" s="1"/>
  <c r="M22" i="43"/>
  <c r="K12" i="62"/>
  <c r="M21" i="43"/>
  <c r="O21" i="43" s="1"/>
  <c r="M20" i="43"/>
  <c r="O20" i="43" s="1"/>
  <c r="R20" i="43" s="1"/>
  <c r="J7" i="62"/>
  <c r="M17" i="60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22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<sst xmlns="http://schemas.openxmlformats.org/spreadsheetml/2006/main" count="3918" uniqueCount="519">
  <si>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</si>
  <si>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</si>
  <si>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</si>
  <si>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</si>
  <si>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</si>
  <si>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</si>
  <si>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</si>
  <si>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</si>
  <si>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</si>
  <si>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</si>
  <si>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</si>
  <si>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</si>
  <si>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</si>
  <si>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</si>
  <si>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</si>
  <si>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</si>
  <si>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</si>
  <si>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</si>
  <si>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</si>
  <si>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</si>
  <si>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</si>
  <si>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</si>
  <si>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</si>
  <si>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</si>
  <si>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</si>
  <si>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</si>
  <si>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</si>
  <si>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</si>
  <si>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</si>
  <si>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</si>
  <si>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</si>
  <si>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</si>
  <si>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</si>
  <si>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</si>
  <si>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</si>
  <si>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</si>
  <si>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</si>
  <si>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</si>
  <si>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</si>
  <si>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</si>
  <si>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</si>
  <si>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</si>
  <si>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</si>
  <si>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</si>
  <si>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</si>
  <si>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</si>
  <si>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</si>
  <si>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</si>
  <si>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</si>
  <si>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</si>
  <si>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</si>
  <si>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</si>
  <si>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</si>
  <si>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</si>
  <si>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</si>
  <si>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</si>
  <si>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</si>
  <si>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</si>
  <si>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</si>
  <si>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</si>
  <si>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</si>
  <si>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</si>
  <si>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</si>
  <si>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</si>
  <si>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</si>
  <si>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</si>
  <si>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</si>
  <si>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</si>
  <si>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</si>
  <si>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</si>
  <si>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</si>
  <si>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</si>
  <si>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</si>
  <si>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</si>
  <si>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</si>
  <si>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</si>
  <si>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</si>
  <si>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</si>
  <si>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</si>
  <si>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</si>
  <si>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</si>
  <si>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</si>
  <si>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</si>
  <si>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</si>
  <si>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</si>
  <si>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</si>
  <si>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</si>
  <si>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</si>
  <si>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</si>
  <si>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</si>
  <si>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</si>
  <si>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</si>
  <si>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</si>
  <si>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</si>
  <si>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</si>
  <si>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</si>
  <si>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</si>
  <si>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</si>
  <si>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</si>
  <si>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</si>
  <si>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</si>
  <si>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</si>
  <si>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</si>
  <si>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</si>
  <si>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</si>
  <si>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</si>
  <si>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</si>
  <si>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</si>
  <si>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</si>
  <si>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</si>
  <si>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</si>
  <si>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</si>
  <si>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</si>
  <si>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</si>
  <si>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</si>
  <si>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</si>
  <si>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</si>
  <si>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</si>
  <si>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</si>
  <si>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</si>
  <si>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</si>
  <si>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</si>
  <si>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</si>
  <si>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</si>
  <si>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</si>
  <si>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</si>
  <si>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</si>
  <si>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</si>
  <si>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</si>
  <si>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</si>
  <si>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</si>
  <si>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</si>
  <si>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</si>
  <si>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</si>
  <si>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</si>
  <si>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</si>
  <si>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</si>
  <si>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</si>
  <si>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</si>
  <si>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</si>
  <si>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</si>
  <si>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</si>
  <si>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</si>
  <si>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</si>
  <si>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</si>
  <si>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</si>
  <si>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</si>
  <si>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</si>
  <si>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</si>
  <si>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</si>
  <si>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</si>
  <si>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</si>
  <si>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</si>
  <si>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</si>
  <si>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</si>
  <si>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</si>
  <si>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</si>
  <si>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</si>
  <si>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</si>
  <si>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</si>
  <si>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</si>
  <si>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</si>
  <si>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</si>
  <si>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</si>
  <si>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</si>
  <si>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</si>
  <si>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</si>
  <si>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</si>
  <si>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</si>
  <si>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</si>
  <si>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</si>
  <si>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</si>
  <si>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</si>
  <si>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</si>
  <si>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</si>
  <si>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</si>
  <si>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</si>
  <si>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</si>
  <si>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</si>
  <si>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</si>
  <si>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</si>
  <si>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</si>
  <si>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</si>
  <si>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</si>
  <si>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</si>
  <si>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</si>
  <si>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</si>
  <si>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</si>
  <si>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</si>
  <si>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</si>
  <si>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</si>
  <si>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</si>
  <si>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</si>
  <si>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</si>
  <si>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</si>
  <si>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</si>
  <si>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</si>
  <si>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</si>
  <si>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</si>
  <si>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</si>
  <si>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</si>
  <si>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</si>
  <si>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</si>
  <si>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</si>
  <si>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</si>
  <si>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</si>
  <si>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</si>
  <si>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</si>
  <si>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</si>
  <si>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</si>
  <si>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</si>
  <si>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</si>
  <si>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</si>
  <si>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</si>
  <si>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</si>
  <si>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</si>
  <si>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</si>
  <si>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</si>
  <si>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</si>
  <si>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</si>
  <si>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</si>
  <si>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</si>
  <si>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</si>
  <si>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</si>
  <si>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</si>
  <si>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</si>
  <si>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</si>
  <si>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</si>
  <si>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</si>
  <si>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</si>
  <si>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</si>
  <si>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</si>
  <si>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</si>
  <si>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</si>
  <si>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</si>
  <si>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</si>
  <si>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</si>
  <si>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</si>
  <si>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</si>
  <si>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</si>
  <si>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</si>
  <si>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</si>
  <si>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</si>
  <si>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</si>
  <si>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</si>
  <si>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</si>
  <si>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</si>
  <si>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</si>
  <si>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</si>
  <si>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</si>
  <si>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</si>
  <si>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</si>
  <si>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</si>
  <si>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</si>
  <si>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</si>
  <si>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</si>
  <si>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</si>
  <si>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</si>
  <si>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</si>
  <si>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</si>
  <si>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</si>
  <si>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</si>
  <si>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</si>
  <si>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</si>
  <si>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</si>
  <si>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</si>
  <si>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</si>
  <si>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</si>
  <si>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</si>
  <si>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</si>
  <si>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</si>
  <si>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</si>
  <si>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</si>
  <si>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</si>
  <si>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</si>
  <si>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</si>
  <si>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</si>
  <si>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</si>
  <si>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</si>
  <si>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</si>
  <si>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</si>
  <si>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</si>
  <si>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</si>
  <si>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</si>
  <si>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</si>
  <si>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</si>
  <si>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</si>
  <si>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</si>
  <si>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</si>
  <si>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</si>
  <si>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</si>
  <si>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</si>
  <si>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</si>
  <si>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</si>
  <si>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</si>
  <si>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</si>
  <si>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</si>
  <si>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</si>
  <si>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</si>
  <si>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</si>
  <si>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</si>
  <si>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</si>
  <si>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</si>
  <si>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</si>
  <si>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</si>
  <si>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</si>
  <si>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</si>
  <si>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</si>
  <si>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</si>
  <si>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</si>
  <si>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</si>
  <si>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</si>
  <si>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</si>
  <si>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</si>
  <si>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</si>
  <si>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</si>
  <si>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</si>
  <si>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</si>
  <si>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</si>
  <si>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</si>
  <si>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</si>
  <si>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</si>
  <si>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</si>
  <si>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</si>
  <si>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</si>
  <si>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</si>
  <si>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</si>
  <si>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</si>
  <si>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</si>
  <si>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</si>
  <si>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</si>
  <si>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</si>
  <si>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</si>
  <si>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</si>
  <si>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</si>
  <si>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</si>
  <si>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</si>
  <si>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</si>
  <si>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</si>
  <si>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</si>
  <si>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</si>
  <si>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</si>
  <si>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</si>
  <si>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</si>
  <si>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</si>
  <si>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</si>
  <si>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</si>
  <si>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</si>
  <si>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</si>
  <si>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</si>
  <si>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</si>
  <si>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</si>
  <si>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</si>
  <si>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</si>
  <si>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</si>
  <si>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</si>
  <si>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</si>
  <si>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</si>
  <si>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</si>
  <si>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</si>
  <si>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</si>
  <si>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</si>
  <si>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</si>
  <si>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</si>
  <si>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</si>
  <si>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</si>
  <si>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</si>
  <si>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</si>
  <si>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</si>
  <si>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</si>
  <si>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</si>
  <si>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</si>
  <si>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</si>
  <si>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</si>
  <si>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</si>
  <si>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</si>
  <si>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</si>
  <si>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</si>
  <si>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</si>
  <si>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</si>
  <si>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</si>
  <si>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</si>
  <si>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</si>
  <si>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</si>
  <si>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</si>
  <si>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</si>
  <si>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</si>
  <si>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</si>
  <si>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</si>
  <si>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</si>
  <si>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</si>
  <si>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</si>
  <si>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</si>
  <si>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</si>
  <si>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</si>
  <si>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</si>
  <si>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</si>
  <si>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</si>
  <si>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</si>
  <si>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</si>
  <si>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</si>
  <si>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</si>
  <si>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</si>
  <si>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</si>
  <si>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</si>
  <si>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</si>
  <si>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</si>
  <si>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</si>
  <si>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</si>
  <si>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</si>
  <si>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</si>
  <si>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</si>
  <si>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</si>
  <si>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</si>
  <si>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</si>
  <si>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</si>
  <si>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</si>
  <si>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</si>
  <si>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</si>
  <si>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</si>
  <si>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</si>
  <si>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</si>
  <si>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</si>
  <si>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</si>
  <si>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</si>
  <si>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</si>
  <si>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</si>
  <si>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</si>
  <si>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</si>
  <si>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</si>
  <si>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</si>
  <si>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</si>
  <si>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</si>
  <si>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</si>
  <si>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</si>
  <si>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</si>
  <si>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</si>
  <si>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</si>
  <si>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</si>
  <si>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</si>
  <si>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</si>
  <si>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</si>
  <si>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</si>
  <si>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</si>
  <si>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</si>
  <si>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</si>
  <si>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</si>
  <si>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</si>
  <si>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</si>
  <si>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</si>
  <si>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</si>
  <si>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</si>
  <si>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</si>
  <si>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</si>
  <si>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</si>
  <si>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</si>
  <si>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</si>
  <si>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</si>
  <si>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</si>
  <si>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</si>
  <si>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</si>
  <si>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</si>
  <si>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</si>
  <si>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</si>
  <si>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</si>
  <si>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</si>
  <si>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</si>
  <si>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</si>
  <si>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</si>
  <si>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</si>
  <si>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</si>
  <si>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</si>
  <si>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</si>
  <si>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</si>
  <si>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</si>
  <si>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</si>
  <si>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</si>
  <si>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</si>
  <si>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</si>
  <si>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</si>
  <si>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</si>
  <si>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</si>
  <si>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</si>
  <si>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</si>
  <si>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</si>
  <si>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</si>
  <si>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</si>
  <si>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</si>
  <si>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</si>
  <si>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</si>
  <si>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</si>
  <si>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</si>
  <si>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</si>
  <si>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</si>
  <si>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</si>
  <si>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</si>
  <si>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</si>
  <si>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</si>
  <si>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</si>
  <si>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</si>
  <si>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</si>
  <si>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</si>
  <si>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</si>
  <si>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</si>
  <si>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</si>
  <si>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</si>
  <si>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</si>
  <si>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</si>
  <si>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</si>
  <si>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</si>
  <si>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</si>
  <si>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</si>
  <si>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Shakoor </t>
  </si>
  <si>
    <t>LARAIB BAKERS &amp; SWEET</t>
  </si>
  <si>
    <t>Address: Sabzazaar</t>
  </si>
  <si>
    <t>NTN # : D489666-3</t>
  </si>
  <si>
    <t>Invoice No # :156123</t>
  </si>
  <si>
    <t xml:space="preserve">Address: Induction 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</si>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</sst>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46268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LARAIB BAKERS &amp; SWEET</v>
      </c>
      <c r="T3" s="301">
        <f>+'1'!P35</f>
        <v>79461.586022898278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LARAIB BAKERS &amp; SWEET</v>
      </c>
      <c r="T4" s="301">
        <f>+'2'!P35</f>
        <v>3158.0847457627115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LARAIB BAKERS &amp; SWEET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LARAIB BAKERS &amp; SWEET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280</v>
      </c>
      <c r="I7" s="235">
        <f>(G7*D7)*F7+H7*F7</f>
        <v>14689.5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1510.9199999999998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440.68500000000006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12737.895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2776.2711864406765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67.078330932203386</v>
      </c>
      <c r="P7" s="310">
        <f>M7+N7+O7</f>
        <v>15581.244517372881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LARAIB BAKERS &amp; SWEET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280</v>
      </c>
      <c r="I8" s="236">
        <f t="shared" ref="I8:I14" si="0">(G8*D8)*F8+H8*F8</f>
        <v>14689.5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440.68500000000006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12737.895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2776.2711864406765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67.078330932203386</v>
      </c>
      <c r="P8" s="311">
        <f t="shared" ref="P8:P15" si="2">M8+N8+O8</f>
        <v>15581.244517372881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LARAIB BAKERS &amp; SWEET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</v>
      </c>
      <c r="I9" s="236">
        <f t="shared" si="0"/>
        <v>14689.5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1510.9199999999998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440.68500000000006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12737.895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2776.2711864406765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67.078330932203386</v>
      </c>
      <c r="P9" s="311">
        <f t="shared" si="2"/>
        <v>15581.244517372881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LARAIB BAKERS &amp; SWEET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280</v>
      </c>
      <c r="I10" s="236">
        <f t="shared" si="0"/>
        <v>20339.2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18087.36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3844.0677966101694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80.601138983050845</v>
      </c>
      <c r="P10" s="311">
        <f t="shared" si="2"/>
        <v>22012.028935593218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LARAIB BAKERS &amp; SWEET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15181.759999999998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77.855376271186429</v>
      </c>
      <c r="P11" s="311">
        <f t="shared" si="2"/>
        <v>18554.53063050847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LARAIB BAKERS &amp; SWEET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LARAIB BAKERS &amp; SWEET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280</v>
      </c>
      <c r="I13" s="236">
        <f t="shared" si="0"/>
        <v>10984.400000000001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470.76000000000005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329.53200000000004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480.17520000000002</v>
      </c>
      <c r="M13" s="230">
        <f t="shared" si="1"/>
        <v>9703.9328000000023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2135.5932203389821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51.351630101694909</v>
      </c>
      <c r="P13" s="311">
        <f t="shared" si="2"/>
        <v>11890.87765044068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LARAIB BAKERS &amp; SWEET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LARAIB BAKERS &amp; SWEET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LARAIB BAKERS &amp; SWEET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41</v>
      </c>
      <c r="H16" s="113">
        <f t="shared" ref="H16:M16" si="3">SUM(H7:H15)</f>
        <v>1640</v>
      </c>
      <c r="I16" s="114">
        <f t="shared" si="3"/>
        <v>92825.699999999983</v>
      </c>
      <c r="J16" s="274">
        <f>SUM(J7:J15)</f>
        <v>8490.239999999998</v>
      </c>
      <c r="K16" s="275">
        <f t="shared" si="3"/>
        <v>2668.5470000000005</v>
      </c>
      <c r="L16" s="276">
        <f t="shared" si="3"/>
        <v>480.17520000000002</v>
      </c>
      <c r="M16" s="232">
        <f t="shared" si="3"/>
        <v>81186.737800000003</v>
      </c>
      <c r="N16" s="233">
        <f>SUM(N7:N15)</f>
        <v>17603.389830508466</v>
      </c>
      <c r="O16" s="101">
        <f>SUM(O7:O15)</f>
        <v>411.04313815254238</v>
      </c>
      <c r="P16" s="113">
        <f>SUM(P7:P15)</f>
        <v>99201.170768661017</v>
      </c>
      <c r="Q16" s="128">
        <f>SUM(Q7:Q15)</f>
        <v>0</v>
      </c>
      <c r="R16" s="314">
        <v>14</v>
      </c>
      <c r="S16" s="318" t="str">
        <f>+'14'!A6:A6</f>
        <v>LARAIB BAKERS &amp; SWEET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LARAIB BAKERS &amp; SWEET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LARAIB BAKERS &amp; SWEET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92825.699999999983</v>
      </c>
      <c r="R19" s="299">
        <v>17</v>
      </c>
      <c r="S19" s="300" t="str">
        <f>+'17'!A6:A6</f>
        <v>LARAIB BAKERS &amp; SWEET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8490.239999999998</v>
      </c>
      <c r="R20" s="299">
        <v>18</v>
      </c>
      <c r="S20" s="300" t="str">
        <f>+'18'!A6:A6</f>
        <v>LARAIB BAKERS &amp; SWEET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3148.7222000000006</v>
      </c>
      <c r="R21" s="299">
        <v>19</v>
      </c>
      <c r="S21" s="300" t="str">
        <f>+'19'!A6:A6</f>
        <v>LARAIB BAKERS &amp; SWEET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81186.737799999988</v>
      </c>
      <c r="R22" s="299">
        <v>20</v>
      </c>
      <c r="S22" s="300" t="str">
        <f>+'20'!A6:A6</f>
        <v>LARAIB BAKERS &amp; SWEET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17603.389830508466</v>
      </c>
      <c r="R23" s="299">
        <v>21</v>
      </c>
      <c r="S23" s="300" t="str">
        <f>+'21'!A6:A6</f>
        <v>LARAIB BAKERS &amp; SWEET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98790.127630508447</v>
      </c>
      <c r="R24" s="299">
        <v>22</v>
      </c>
      <c r="S24" s="300" t="str">
        <f>+'22'!A6:A6</f>
        <v>LARAIB BAKERS &amp; SWEET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411.04313815254238</v>
      </c>
      <c r="R25" s="299">
        <v>23</v>
      </c>
      <c r="S25" s="300" t="str">
        <f>+'23'!A6:A6</f>
        <v>LARAIB BAKERS &amp; SWEET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99201.170768660988</v>
      </c>
      <c r="R26" s="299">
        <v>24</v>
      </c>
      <c r="S26" s="300" t="str">
        <f>+'24'!A6:A6</f>
        <v>LARAIB BAKERS &amp; SWEET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LARAIB BAKERS &amp; SWEET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LARAIB BAKERS &amp; SWEET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LARAIB BAKERS &amp; SWEET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LARAIB BAKERS &amp; SWEET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LARAIB BAKERS &amp; SWEET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LARAIB BAKERS &amp; SWEET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82619.670768660988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6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240</v>
      </c>
      <c r="I16" s="235">
        <f>(G16*D16)*F16+H16*F16</f>
        <v>12591</v>
      </c>
      <c r="J16" s="271">
        <f>$I16*S16</f>
        <v>1510.9199999999998</v>
      </c>
      <c r="K16" s="127">
        <f>$I16*T16</f>
        <v>440.68500000000006</v>
      </c>
      <c r="L16" s="118">
        <f>$I16*U16</f>
        <v>0</v>
      </c>
      <c r="M16" s="229">
        <f>I16-SUM(J16:L16)</f>
        <v>10639.395</v>
      </c>
      <c r="N16" s="248">
        <f>+(G16*D16+H16)*V16</f>
        <v>2379.6610169491514</v>
      </c>
      <c r="O16" s="238">
        <f>(N16+M16)*$O$15</f>
        <v>65.095280084745752</v>
      </c>
      <c r="P16" s="310">
        <f>M16+N16+O16</f>
        <v>13084.151297033897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6"/>
      <c r="H17" s="96">
        <v>240</v>
      </c>
      <c r="I17" s="236">
        <f t="shared" ref="I17:I23" si="0">(G17*D17)*F17+H17*F17</f>
        <v>12591</v>
      </c>
      <c r="J17" s="272">
        <f t="shared" ref="J17:L24" si="1">$I17*S17</f>
        <v>1510.9199999999998</v>
      </c>
      <c r="K17" s="128">
        <f>$I17*T17</f>
        <v>440.68500000000006</v>
      </c>
      <c r="L17" s="119">
        <f>$I17*U17</f>
        <v>0</v>
      </c>
      <c r="M17" s="230">
        <f t="shared" ref="M17:M24" si="2">I17-SUM(J17:L17)</f>
        <v>10639.395</v>
      </c>
      <c r="N17" s="277">
        <f t="shared" ref="N17:N24" si="3">+(G17*D17+H17)*V17</f>
        <v>2379.6610169491514</v>
      </c>
      <c r="O17" s="239">
        <f t="shared" ref="O17:O24" si="4">(N17+M17)*$O$15</f>
        <v>65.095280084745752</v>
      </c>
      <c r="P17" s="311">
        <f t="shared" ref="P17:P24" si="5">M17+N17+O17</f>
        <v>13084.151297033897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6"/>
      <c r="H18" s="96">
        <v>240</v>
      </c>
      <c r="I18" s="236">
        <f t="shared" ref="I18:I21" si="7">(G18*D18)*F18+H18*F18</f>
        <v>12591</v>
      </c>
      <c r="J18" s="272">
        <f t="shared" si="1"/>
        <v>1510.9199999999998</v>
      </c>
      <c r="K18" s="128">
        <f t="shared" si="1"/>
        <v>440.68500000000006</v>
      </c>
      <c r="L18" s="119">
        <f t="shared" si="1"/>
        <v>0</v>
      </c>
      <c r="M18" s="230">
        <f t="shared" si="2"/>
        <v>10639.395</v>
      </c>
      <c r="N18" s="277">
        <f t="shared" si="3"/>
        <v>2379.6610169491514</v>
      </c>
      <c r="O18" s="239">
        <f t="shared" si="4"/>
        <v>65.095280084745752</v>
      </c>
      <c r="P18" s="311">
        <f t="shared" si="5"/>
        <v>13084.151297033897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6"/>
      <c r="H19" s="96">
        <v>200</v>
      </c>
      <c r="I19" s="236">
        <f t="shared" si="7"/>
        <v>14528</v>
      </c>
      <c r="J19" s="272">
        <f t="shared" si="1"/>
        <v>1743.36</v>
      </c>
      <c r="K19" s="128">
        <f t="shared" si="1"/>
        <v>508.48000000000008</v>
      </c>
      <c r="L19" s="119">
        <f t="shared" si="1"/>
        <v>0</v>
      </c>
      <c r="M19" s="230">
        <f t="shared" si="2"/>
        <v>12276.16</v>
      </c>
      <c r="N19" s="277">
        <f t="shared" si="3"/>
        <v>2745.7627118644068</v>
      </c>
      <c r="O19" s="239">
        <f t="shared" si="4"/>
        <v>75.109613559322028</v>
      </c>
      <c r="P19" s="311">
        <f t="shared" si="5"/>
        <v>15097.032325423728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6"/>
      <c r="H20" s="96">
        <v>200</v>
      </c>
      <c r="I20" s="236">
        <f t="shared" si="7"/>
        <v>14528</v>
      </c>
      <c r="J20" s="272">
        <f t="shared" si="1"/>
        <v>1743.36</v>
      </c>
      <c r="K20" s="128">
        <f t="shared" si="1"/>
        <v>508.48000000000008</v>
      </c>
      <c r="L20" s="119">
        <f t="shared" si="1"/>
        <v>0</v>
      </c>
      <c r="M20" s="230">
        <f t="shared" si="2"/>
        <v>12276.16</v>
      </c>
      <c r="N20" s="277">
        <f t="shared" si="3"/>
        <v>2745.7627118644068</v>
      </c>
      <c r="O20" s="239">
        <f t="shared" si="4"/>
        <v>75.109613559322028</v>
      </c>
      <c r="P20" s="311">
        <f t="shared" si="5"/>
        <v>15097.032325423728</v>
      </c>
      <c r="Q20" s="156"/>
      <c r="R20">
        <f>P20/21</f>
        <v>718.90630121065374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6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6"/>
      <c r="H22" s="96">
        <v>240</v>
      </c>
      <c r="I22" s="236">
        <f t="shared" si="0"/>
        <v>9415.2000000000007</v>
      </c>
      <c r="J22" s="272">
        <f t="shared" si="1"/>
        <v>470.76000000000005</v>
      </c>
      <c r="K22" s="128">
        <f t="shared" si="1"/>
        <v>329.53200000000004</v>
      </c>
      <c r="L22" s="119">
        <f t="shared" si="1"/>
        <v>480.17520000000002</v>
      </c>
      <c r="M22" s="230">
        <f t="shared" si="2"/>
        <v>8134.7328000000007</v>
      </c>
      <c r="N22" s="277">
        <f t="shared" si="3"/>
        <v>1830.5084745762701</v>
      </c>
      <c r="O22" s="239">
        <f t="shared" si="4"/>
        <v>49.826206372881352</v>
      </c>
      <c r="P22" s="311">
        <f t="shared" si="5"/>
        <v>10015.067480949152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1360</v>
      </c>
      <c r="I25" s="114">
        <f t="shared" ref="I25:M25" si="10">SUM(I16:I24)</f>
        <v>76244.2</v>
      </c>
      <c r="J25" s="274">
        <f>SUM(J16:J24)</f>
        <v>8490.239999999998</v>
      </c>
      <c r="K25" s="275">
        <f t="shared" si="10"/>
        <v>2668.5470000000005</v>
      </c>
      <c r="L25" s="276">
        <f t="shared" si="10"/>
        <v>480.17520000000002</v>
      </c>
      <c r="M25" s="232">
        <f t="shared" si="10"/>
        <v>64605.237800000003</v>
      </c>
      <c r="N25" s="233">
        <f>SUM(N16:N24)</f>
        <v>14461.016949152538</v>
      </c>
      <c r="O25" s="101">
        <f>SUM(O16:O24)</f>
        <v>395.3312737457627</v>
      </c>
      <c r="P25" s="113">
        <f>SUM(P16:P24)</f>
        <v>79461.586022898293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76244.2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8490.239999999998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3148.7222000000006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64605.237799999988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14461.016949152538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79066.254749152518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395.33127374576259</v>
      </c>
    </row>
    <row r="35" spans="2:16" ht="15.75" customHeight="1" thickBot="1" x14ac:dyDescent="0.4">
      <c r="N35" s="374" t="s">
        <v>88</v>
      </c>
      <c r="O35" s="375"/>
      <c r="P35" s="297">
        <f>+P33+P34</f>
        <v>79461.586022898278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1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518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396.61016949152526</v>
      </c>
      <c r="O16" s="238">
        <f>(N16+M16)*$O$15</f>
        <v>1.9830508474576263</v>
      </c>
      <c r="P16" s="310"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v>0</v>
      </c>
      <c r="J17" s="272">
        <f t="shared" ref="J17:L24" si="0">$I17*S17</f>
        <v>0</v>
      </c>
      <c r="K17" s="128">
        <f>$I17*T17</f>
        <v>0</v>
      </c>
      <c r="L17" s="119">
        <f>$I17*U17</f>
        <v>0</v>
      </c>
      <c r="M17" s="230">
        <f t="shared" ref="M17:M24" si="1">I17-SUM(J17:L17)</f>
        <v>0</v>
      </c>
      <c r="N17" s="277">
        <f t="shared" ref="N17:N24" si="2">+(G17*D17+H17)*V17</f>
        <v>396.61016949152526</v>
      </c>
      <c r="O17" s="239">
        <f t="shared" ref="O17:O24" si="3">(N17+M17)*$O$15</f>
        <v>1.9830508474576263</v>
      </c>
      <c r="P17" s="311"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4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v>0</v>
      </c>
      <c r="J18" s="272">
        <f t="shared" si="0"/>
        <v>0</v>
      </c>
      <c r="K18" s="128">
        <f t="shared" si="0"/>
        <v>0</v>
      </c>
      <c r="L18" s="119">
        <f t="shared" si="0"/>
        <v>0</v>
      </c>
      <c r="M18" s="230">
        <f t="shared" si="1"/>
        <v>0</v>
      </c>
      <c r="N18" s="277">
        <f t="shared" si="2"/>
        <v>396.61016949152526</v>
      </c>
      <c r="O18" s="239">
        <f t="shared" si="3"/>
        <v>1.9830508474576263</v>
      </c>
      <c r="P18" s="311"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4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v>0</v>
      </c>
      <c r="J19" s="272">
        <f t="shared" si="0"/>
        <v>0</v>
      </c>
      <c r="K19" s="128">
        <f t="shared" si="0"/>
        <v>0</v>
      </c>
      <c r="L19" s="119">
        <f t="shared" si="0"/>
        <v>0</v>
      </c>
      <c r="M19" s="230">
        <f t="shared" si="1"/>
        <v>0</v>
      </c>
      <c r="N19" s="277">
        <f t="shared" si="2"/>
        <v>1098.3050847457628</v>
      </c>
      <c r="O19" s="239">
        <f t="shared" si="3"/>
        <v>5.491525423728814</v>
      </c>
      <c r="P19" s="311"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4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v>0</v>
      </c>
      <c r="J20" s="272">
        <f t="shared" si="0"/>
        <v>0</v>
      </c>
      <c r="K20" s="128">
        <f t="shared" si="0"/>
        <v>0</v>
      </c>
      <c r="L20" s="119">
        <f t="shared" si="0"/>
        <v>0</v>
      </c>
      <c r="M20" s="230">
        <f t="shared" si="1"/>
        <v>0</v>
      </c>
      <c r="N20" s="277">
        <f t="shared" si="2"/>
        <v>549.15254237288138</v>
      </c>
      <c r="O20" s="239">
        <f t="shared" si="3"/>
        <v>2.745762711864407</v>
      </c>
      <c r="P20" s="311"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4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v>0</v>
      </c>
      <c r="J21" s="272">
        <f t="shared" si="0"/>
        <v>0</v>
      </c>
      <c r="K21" s="128">
        <f t="shared" si="0"/>
        <v>0</v>
      </c>
      <c r="L21" s="119">
        <f t="shared" si="0"/>
        <v>0</v>
      </c>
      <c r="M21" s="230">
        <f t="shared" si="1"/>
        <v>0</v>
      </c>
      <c r="N21" s="277">
        <f t="shared" si="2"/>
        <v>0</v>
      </c>
      <c r="O21" s="239">
        <f t="shared" si="3"/>
        <v>0</v>
      </c>
      <c r="P21" s="311"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4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v>0</v>
      </c>
      <c r="J22" s="272">
        <f t="shared" si="0"/>
        <v>0</v>
      </c>
      <c r="K22" s="128">
        <f t="shared" si="0"/>
        <v>0</v>
      </c>
      <c r="L22" s="119">
        <f t="shared" si="0"/>
        <v>0</v>
      </c>
      <c r="M22" s="230">
        <f t="shared" si="1"/>
        <v>0</v>
      </c>
      <c r="N22" s="277">
        <f t="shared" si="2"/>
        <v>305.08474576271169</v>
      </c>
      <c r="O22" s="239">
        <f t="shared" si="3"/>
        <v>1.5254237288135586</v>
      </c>
      <c r="P22" s="311"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4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v>0</v>
      </c>
      <c r="J23" s="272">
        <f t="shared" si="0"/>
        <v>0</v>
      </c>
      <c r="K23" s="128">
        <f t="shared" si="0"/>
        <v>0</v>
      </c>
      <c r="L23" s="119">
        <f t="shared" si="0"/>
        <v>0</v>
      </c>
      <c r="M23" s="230">
        <f t="shared" si="1"/>
        <v>0</v>
      </c>
      <c r="N23" s="277">
        <f t="shared" si="2"/>
        <v>0</v>
      </c>
      <c r="O23" s="239">
        <f t="shared" si="3"/>
        <v>0</v>
      </c>
      <c r="P23" s="311"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4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v>0</v>
      </c>
      <c r="J24" s="273">
        <f t="shared" si="0"/>
        <v>0</v>
      </c>
      <c r="K24" s="129">
        <f t="shared" si="0"/>
        <v>0</v>
      </c>
      <c r="L24" s="120">
        <f t="shared" si="0"/>
        <v>0</v>
      </c>
      <c r="M24" s="231">
        <f t="shared" si="1"/>
        <v>0</v>
      </c>
      <c r="N24" s="278">
        <f t="shared" si="2"/>
        <v>0</v>
      </c>
      <c r="O24" s="240">
        <f t="shared" si="3"/>
        <v>0</v>
      </c>
      <c r="P24" s="312"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4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5">SUM(G16:G24)</f>
        <v>0</v>
      </c>
      <c r="H25" s="113">
        <f t="shared" si="5"/>
        <v>280</v>
      </c>
      <c r="I25" s="114">
        <f t="shared" si="5"/>
        <v>0</v>
      </c>
      <c r="J25" s="274">
        <f>SUM(J16:J24)</f>
        <v>0</v>
      </c>
      <c r="K25" s="275">
        <f t="shared" si="5"/>
        <v>0</v>
      </c>
      <c r="L25" s="276">
        <f t="shared" si="5"/>
        <v>0</v>
      </c>
      <c r="M25" s="232">
        <f t="shared" si="5"/>
        <v>0</v>
      </c>
      <c r="N25" s="233">
        <f>SUM(N16:N24)</f>
        <v>3142.3728813559319</v>
      </c>
      <c r="O25" s="101">
        <f>SUM(O16:O24)</f>
        <v>15.711864406779657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3142.3728813559319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3142.3728813559319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15.711864406779659</v>
      </c>
    </row>
    <row r="35" spans="2:16" ht="15.75" customHeight="1" thickBot="1" x14ac:dyDescent="0.4">
      <c r="N35" s="374" t="s">
        <v>88</v>
      </c>
      <c r="O35" s="375"/>
      <c r="P35" s="297">
        <f>+P33+P34</f>
        <v>3158.0847457627115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2026-09-08T07:09:52Z</dcterms:modified>
</cp:coreProperties>
</file>