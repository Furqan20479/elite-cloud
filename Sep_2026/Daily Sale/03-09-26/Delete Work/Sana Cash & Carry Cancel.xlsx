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1F60E1-C473-48AA-A7EF-D85051856A2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<sst xmlns="http://schemas.openxmlformats.org/spreadsheetml/2006/main" count="3918" uniqueCount="517">
  <si>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</si>
  <si>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</si>
  <si>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</si>
  <si>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</si>
  <si>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</si>
  <si>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</si>
  <si>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</si>
  <si>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</si>
  <si>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</si>
  <si>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</si>
  <si>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</si>
  <si>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</si>
  <si>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</si>
  <si>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</si>
  <si>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</si>
  <si>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</si>
  <si>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</si>
  <si>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</si>
  <si>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</si>
  <si>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</si>
  <si>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</si>
  <si>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</si>
  <si>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</si>
  <si>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</si>
  <si>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</si>
  <si>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</si>
  <si>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</si>
  <si>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</si>
  <si>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</si>
  <si>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</si>
  <si>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</si>
  <si>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</si>
  <si>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</si>
  <si>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</si>
  <si>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</si>
  <si>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</si>
  <si>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</si>
  <si>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</si>
  <si>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</si>
  <si>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</si>
  <si>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</si>
  <si>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</si>
  <si>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</si>
  <si>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</si>
  <si>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</si>
  <si>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</si>
  <si>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</si>
  <si>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</si>
  <si>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</si>
  <si>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</si>
  <si>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</si>
  <si>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</si>
  <si>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</si>
  <si>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</si>
  <si>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</si>
  <si>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</si>
  <si>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</si>
  <si>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</si>
  <si>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</si>
  <si>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</si>
  <si>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</si>
  <si>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</si>
  <si>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</si>
  <si>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</si>
  <si>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</si>
  <si>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</si>
  <si>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</si>
  <si>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</si>
  <si>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</si>
  <si>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</si>
  <si>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</si>
  <si>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</si>
  <si>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</si>
  <si>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</si>
  <si>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</si>
  <si>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</si>
  <si>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</si>
  <si>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</si>
  <si>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</si>
  <si>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</si>
  <si>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</si>
  <si>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</si>
  <si>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</si>
  <si>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</si>
  <si>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</si>
  <si>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</si>
  <si>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</si>
  <si>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</si>
  <si>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</si>
  <si>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</si>
  <si>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</si>
  <si>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</si>
  <si>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</si>
  <si>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</si>
  <si>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</si>
  <si>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</si>
  <si>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</si>
  <si>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</si>
  <si>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</si>
  <si>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</si>
  <si>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</si>
  <si>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</si>
  <si>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</si>
  <si>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</si>
  <si>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</si>
  <si>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</si>
  <si>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</si>
  <si>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</si>
  <si>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</si>
  <si>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</si>
  <si>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</si>
  <si>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</si>
  <si>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</si>
  <si>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</si>
  <si>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</si>
  <si>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</si>
  <si>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</si>
  <si>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</si>
  <si>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</si>
  <si>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</si>
  <si>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</si>
  <si>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</si>
  <si>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</si>
  <si>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</si>
  <si>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</si>
  <si>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</si>
  <si>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</si>
  <si>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</si>
  <si>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</si>
  <si>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</si>
  <si>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</si>
  <si>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</si>
  <si>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</si>
  <si>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</si>
  <si>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</si>
  <si>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</si>
  <si>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</si>
  <si>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</si>
  <si>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</si>
  <si>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</si>
  <si>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</si>
  <si>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</si>
  <si>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</si>
  <si>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</si>
  <si>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</si>
  <si>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</si>
  <si>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</si>
  <si>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</si>
  <si>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</si>
  <si>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</si>
  <si>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</si>
  <si>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</si>
  <si>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</si>
  <si>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</si>
  <si>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</si>
  <si>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</si>
  <si>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</si>
  <si>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</si>
  <si>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</si>
  <si>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</si>
  <si>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</si>
  <si>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</si>
  <si>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</si>
  <si>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</si>
  <si>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</si>
  <si>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</si>
  <si>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</si>
  <si>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</si>
  <si>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</si>
  <si>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</si>
  <si>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</si>
  <si>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</si>
  <si>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</si>
  <si>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</si>
  <si>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</si>
  <si>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</si>
  <si>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</si>
  <si>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</si>
  <si>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</si>
  <si>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</si>
  <si>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</si>
  <si>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</si>
  <si>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</si>
  <si>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</si>
  <si>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</si>
  <si>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</si>
  <si>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</si>
  <si>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</si>
  <si>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</si>
  <si>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</si>
  <si>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</si>
  <si>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</si>
  <si>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</si>
  <si>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</si>
  <si>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</si>
  <si>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</si>
  <si>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</si>
  <si>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</si>
  <si>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</si>
  <si>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</si>
  <si>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</si>
  <si>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</si>
  <si>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</si>
  <si>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</si>
  <si>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</si>
  <si>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</si>
  <si>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</si>
  <si>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</si>
  <si>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</si>
  <si>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</si>
  <si>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</si>
  <si>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</si>
  <si>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</si>
  <si>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</si>
  <si>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</si>
  <si>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</si>
  <si>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</si>
  <si>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</si>
  <si>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</si>
  <si>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</si>
  <si>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</si>
  <si>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</si>
  <si>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</si>
  <si>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</si>
  <si>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</si>
  <si>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</si>
  <si>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</si>
  <si>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</si>
  <si>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</si>
  <si>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</si>
  <si>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</si>
  <si>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</si>
  <si>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</si>
  <si>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</si>
  <si>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</si>
  <si>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</si>
  <si>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</si>
  <si>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</si>
  <si>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</si>
  <si>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</si>
  <si>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</si>
  <si>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</si>
  <si>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</si>
  <si>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</si>
  <si>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</si>
  <si>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</si>
  <si>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</si>
  <si>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</si>
  <si>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</si>
  <si>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</si>
  <si>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</si>
  <si>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</si>
  <si>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</si>
  <si>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</si>
  <si>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</si>
  <si>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</si>
  <si>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</si>
  <si>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</si>
  <si>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</si>
  <si>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</si>
  <si>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</si>
  <si>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</si>
  <si>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</si>
  <si>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</si>
  <si>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</si>
  <si>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</si>
  <si>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</si>
  <si>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</si>
  <si>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</si>
  <si>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</si>
  <si>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</si>
  <si>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</si>
  <si>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</si>
  <si>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</si>
  <si>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</si>
  <si>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</si>
  <si>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</si>
  <si>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</si>
  <si>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</si>
  <si>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</si>
  <si>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</si>
  <si>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</si>
  <si>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</si>
  <si>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</si>
  <si>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</si>
  <si>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</si>
  <si>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</si>
  <si>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</si>
  <si>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</si>
  <si>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</si>
  <si>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</si>
  <si>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</si>
  <si>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</si>
  <si>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</si>
  <si>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</si>
  <si>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</si>
  <si>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</si>
  <si>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</si>
  <si>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</si>
  <si>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</si>
  <si>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</si>
  <si>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</si>
  <si>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</si>
  <si>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</si>
  <si>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</si>
  <si>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</si>
  <si>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</si>
  <si>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</si>
  <si>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</si>
  <si>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</si>
  <si>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</si>
  <si>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</si>
  <si>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</si>
  <si>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</si>
  <si>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</si>
  <si>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</si>
  <si>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</si>
  <si>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</si>
  <si>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</si>
  <si>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</si>
  <si>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</si>
  <si>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</si>
  <si>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</si>
  <si>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</si>
  <si>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</si>
  <si>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</si>
  <si>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</si>
  <si>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</si>
  <si>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</si>
  <si>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</si>
  <si>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</si>
  <si>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</si>
  <si>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</si>
  <si>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</si>
  <si>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</si>
  <si>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</si>
  <si>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</si>
  <si>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</si>
  <si>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</si>
  <si>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</si>
  <si>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</si>
  <si>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</si>
  <si>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</si>
  <si>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</si>
  <si>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</si>
  <si>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</si>
  <si>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</si>
  <si>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</si>
  <si>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</si>
  <si>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</si>
  <si>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</si>
  <si>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</si>
  <si>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</si>
  <si>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</si>
  <si>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</si>
  <si>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</si>
  <si>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</si>
  <si>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</si>
  <si>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</si>
  <si>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</si>
  <si>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</si>
  <si>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</si>
  <si>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</si>
  <si>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</si>
  <si>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</si>
  <si>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</si>
  <si>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</si>
  <si>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</si>
  <si>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</si>
  <si>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</si>
  <si>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</si>
  <si>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</si>
  <si>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</si>
  <si>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</si>
  <si>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</si>
  <si>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</si>
  <si>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</si>
  <si>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</si>
  <si>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</si>
  <si>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</si>
  <si>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</si>
  <si>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</si>
  <si>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</si>
  <si>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</si>
  <si>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</si>
  <si>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</si>
  <si>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</si>
  <si>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</si>
  <si>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</si>
  <si>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</si>
  <si>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</si>
  <si>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</si>
  <si>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</si>
  <si>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</si>
  <si>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</si>
  <si>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</si>
  <si>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</si>
  <si>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</si>
  <si>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</si>
  <si>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</si>
  <si>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</si>
  <si>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</si>
  <si>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</si>
  <si>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</si>
  <si>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</si>
  <si>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</si>
  <si>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</si>
  <si>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</si>
  <si>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</si>
  <si>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</si>
  <si>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</si>
  <si>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</si>
  <si>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</si>
  <si>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</si>
  <si>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</si>
  <si>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</si>
  <si>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</si>
  <si>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</si>
  <si>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</si>
  <si>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</si>
  <si>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</si>
  <si>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</si>
  <si>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</si>
  <si>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</si>
  <si>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</si>
  <si>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</si>
  <si>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</si>
  <si>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</si>
  <si>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</si>
  <si>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</si>
  <si>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</si>
  <si>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</si>
  <si>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</si>
  <si>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</si>
  <si>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</si>
  <si>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</si>
  <si>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</si>
  <si>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</si>
  <si>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</si>
  <si>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</si>
  <si>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</si>
  <si>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</si>
  <si>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</si>
  <si>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</si>
  <si>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</si>
  <si>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</si>
  <si>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</si>
  <si>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</si>
  <si>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</si>
  <si>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</si>
  <si>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</si>
  <si>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</si>
  <si>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</si>
  <si>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</si>
  <si>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</si>
  <si>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</si>
  <si>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</si>
  <si>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</si>
  <si>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</si>
  <si>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</si>
  <si>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</si>
  <si>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</si>
  <si>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</si>
  <si>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</si>
  <si>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</si>
  <si>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</si>
  <si>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</si>
  <si>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</si>
  <si>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</si>
  <si>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</si>
  <si>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</si>
  <si>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</si>
  <si>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</si>
  <si>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</si>
  <si>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</si>
  <si>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</si>
  <si>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</si>
  <si>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</si>
  <si>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</si>
  <si>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</si>
  <si>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</si>
  <si>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</si>
  <si>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</si>
  <si>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</si>
  <si>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</si>
  <si>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</si>
  <si>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</si>
  <si>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</si>
  <si>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</si>
  <si>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</si>
  <si>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</si>
  <si>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</si>
  <si>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</si>
  <si>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</si>
  <si>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</si>
  <si>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</si>
  <si>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</si>
  <si>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</si>
  <si>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</si>
  <si>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</si>
  <si>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</si>
  <si>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</si>
  <si>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</si>
  <si>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</si>
  <si>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</si>
  <si>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</si>
  <si>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</si>
  <si>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</si>
  <si>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</si>
  <si>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</si>
  <si>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</si>
  <si>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</si>
  <si>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IQBAL AVENUE CANAL ROAD</t>
  </si>
  <si>
    <t>NTN #: 040250-2</t>
  </si>
  <si>
    <t xml:space="preserve">Sana Cash &amp; Carrry </t>
  </si>
  <si>
    <t>Invoice No # : 15613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</si>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</sst>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516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Sana Cash &amp; Carrry </v>
      </c>
      <c r="T3" s="301">
        <f>+'1'!P35</f>
        <v>12824.23324868644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Sana Cash &amp; Carrry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Sana Cash &amp; Carrry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Sana Cash &amp; Carrry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+'1'!Q16+'2'!H16+'3'!H16+'4'!H16+'5'!H16+'6'!H16+'7'!H16+'8'!H16+'9'!H16+'10'!H16+'11'!H16+'12'!H16+'13'!H16+'14'!H16+'15'!H16+'16'!H16+'17'!H16+'18'!H16+'19'!H16+'20'!H16+'21'!H16+'22'!H16+'23'!H16+'24'!H16+'25'!H16+'26'!H16+'27'!H16+'28'!H16+'29'!H16+'30'!H16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 t="e">
        <f>+'1'!#REF!+'2'!Q16+'3'!Q16+'4'!Q16+'5'!Q16+'6'!Q16+'7'!Q16+'8'!Q16+'9'!Q16+'10'!Q16+'11'!Q16+'12'!Q16+'13'!Q16+'14'!Q16+'15'!Q16+'16'!Q16+'17'!Q16+'18'!Q16+'19'!Q16+'20'!Q16+'21'!Q16+'22'!Q16+'23'!Q16+'24'!Q16+'25'!Q16+'26'!Q16+'27'!Q16+'28'!Q16+'29'!Q16+'30'!Q16</f>
        <v>#REF!</v>
      </c>
      <c r="R7" s="314">
        <v>5</v>
      </c>
      <c r="S7" s="300" t="str">
        <f>+'5'!A6:A6</f>
        <v xml:space="preserve">Sana Cash &amp; Carrry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+'1'!Q17+'2'!H17+'3'!H17+'4'!H17+'5'!H17+'6'!H17+'7'!H17+'8'!H17+'9'!H17+'10'!H17+'11'!H17+'12'!H17+'13'!H17+'14'!H17+'15'!H17+'16'!H17+'17'!H17+'18'!H17+'19'!H17+'20'!H17+'21'!H17+'22'!H17+'23'!H17+'24'!H17+'25'!H17+'26'!H17+'27'!H17+'28'!H17+'29'!H17+'30'!H17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 t="e">
        <f>+'1'!#REF!+'2'!Q17+'3'!Q17+'4'!Q17+'5'!Q17+'6'!Q17+'7'!Q17+'8'!Q17+'9'!Q17+'10'!Q17+'11'!Q17+'12'!Q17+'13'!Q17+'14'!Q17+'15'!Q17+'16'!Q17+'17'!Q17+'18'!Q17+'19'!Q17+'20'!Q17+'21'!Q17+'22'!Q17+'23'!Q17+'24'!Q17+'25'!Q17+'26'!Q17+'27'!Q17+'28'!Q17+'29'!Q17+'30'!Q17</f>
        <v>#REF!</v>
      </c>
      <c r="R8" s="314">
        <v>6</v>
      </c>
      <c r="S8" s="300" t="str">
        <f>+'6'!A6:A6</f>
        <v xml:space="preserve">Sana Cash &amp; Carrry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+'1'!Q18+'2'!H18+'3'!H18+'4'!H18+'5'!H18+'6'!H18+'7'!H18+'8'!H18+'9'!H18+'10'!H18+'11'!H18+'12'!H18+'13'!H18+'14'!H18+'15'!H18+'16'!H18+'17'!H18+'18'!H18+'19'!H18+'20'!H18+'21'!H18+'22'!H18+'23'!H18+'24'!H18+'25'!H18+'26'!H18+'27'!H18+'28'!H18+'29'!H18+'30'!H18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 t="e">
        <f>+'1'!#REF!+'2'!Q18+'3'!Q18+'4'!Q18+'5'!Q18+'6'!Q18+'7'!Q18+'8'!Q18+'9'!Q18+'10'!Q18+'11'!Q18+'12'!Q18+'13'!Q18+'14'!Q18+'15'!Q18+'16'!Q18+'17'!Q18+'18'!Q18+'19'!Q18+'20'!Q18+'21'!Q18+'22'!Q18+'23'!Q18+'24'!Q18+'25'!Q18+'26'!Q18+'27'!Q18+'28'!Q18+'29'!Q18+'30'!Q18</f>
        <v>#REF!</v>
      </c>
      <c r="R9" s="314">
        <v>7</v>
      </c>
      <c r="S9" s="300" t="str">
        <f>+'7'!A6:A6</f>
        <v xml:space="preserve">Sana Cash &amp; Carrry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+'1'!Q19+'2'!H19+'3'!H19+'4'!H19+'5'!H19+'6'!H19+'7'!H19+'8'!H19+'9'!H19+'10'!H19+'11'!H19+'12'!H19+'13'!H19+'14'!H19+'15'!H19+'16'!H19+'17'!H19+'18'!H19+'19'!H19+'20'!H19+'21'!H19+'22'!H19+'23'!H19+'24'!H19+'25'!H19+'26'!H19+'27'!H19+'28'!H19+'29'!H19+'30'!H19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 t="e">
        <f>+'1'!#REF!+'2'!Q19+'3'!Q19+'4'!Q19+'5'!Q19+'6'!Q19+'7'!Q19+'8'!Q19+'9'!Q19+'10'!Q19+'11'!Q19+'12'!Q19+'13'!Q19+'14'!Q19+'15'!Q19+'16'!Q19+'17'!Q19+'18'!Q19+'19'!Q19+'20'!Q19+'21'!Q19+'22'!Q19+'23'!Q19+'24'!Q19+'25'!Q19+'26'!Q19+'27'!Q19+'28'!Q19+'29'!Q19+'30'!Q19</f>
        <v>#REF!</v>
      </c>
      <c r="R10" s="314">
        <v>8</v>
      </c>
      <c r="S10" s="300" t="str">
        <f>+'8'!A6:A6</f>
        <v xml:space="preserve">Sana Cash &amp; Carrry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+'1'!Q20+'2'!H20+'3'!H20+'4'!H20+'5'!H20+'6'!H20+'7'!H20+'8'!H20+'9'!H20+'10'!H20+'11'!H20+'12'!H20+'13'!H20+'14'!H20+'15'!H20+'16'!H20+'17'!H20+'18'!H20+'19'!H20+'20'!H20+'21'!H20+'22'!H20+'23'!H20+'24'!H20+'25'!H20+'26'!H20+'27'!H20+'28'!H20+'29'!H20+'30'!H20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 t="e">
        <f>+'1'!#REF!+'2'!Q20+'3'!Q20+'4'!Q20+'5'!Q20+'6'!Q20+'7'!Q20+'8'!Q20+'9'!Q20+'10'!Q20+'11'!Q20+'12'!Q20+'13'!Q20+'14'!Q20+'15'!Q20+'16'!Q20+'17'!Q20+'18'!Q20+'19'!Q20+'20'!Q20+'21'!Q20+'22'!Q20+'23'!Q20+'24'!Q20+'25'!Q20+'26'!Q20+'27'!Q20+'28'!Q20+'29'!Q20+'30'!Q20</f>
        <v>#REF!</v>
      </c>
      <c r="R11" s="314">
        <v>9</v>
      </c>
      <c r="S11" s="300" t="str">
        <f>+'9'!A6:A6</f>
        <v xml:space="preserve">Sana Cash &amp; Carrry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Sana Cash &amp; Carrry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Sana Cash &amp; Carrry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Sana Cash &amp; Carrry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Sana Cash &amp; Carrry 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12106.7</v>
      </c>
      <c r="J16" s="274">
        <f>SUM(J7:J15)</f>
        <v>1210.67</v>
      </c>
      <c r="K16" s="275">
        <f t="shared" si="3"/>
        <v>423.73450000000008</v>
      </c>
      <c r="L16" s="276">
        <f t="shared" si="3"/>
        <v>0</v>
      </c>
      <c r="M16" s="232">
        <f t="shared" si="3"/>
        <v>10472.2955</v>
      </c>
      <c r="N16" s="233">
        <f>SUM(N7:N15)</f>
        <v>2288.1355932203383</v>
      </c>
      <c r="O16" s="101">
        <f>SUM(O7:O15)</f>
        <v>63.802155466101688</v>
      </c>
      <c r="P16" s="113">
        <f>SUM(P7:P15)</f>
        <v>12824.233248686438</v>
      </c>
      <c r="Q16" s="128" t="e">
        <f>SUM(Q7:Q15)</f>
        <v>#REF!</v>
      </c>
      <c r="R16" s="314">
        <v>14</v>
      </c>
      <c r="S16" s="318" t="str">
        <f>+'14'!A6:A6</f>
        <v xml:space="preserve">Sana Cash &amp; Carrry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Sana Cash &amp; Carrry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Sana Cash &amp; Carrry 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12106.7</v>
      </c>
      <c r="R19" s="299">
        <v>17</v>
      </c>
      <c r="S19" s="300" t="str">
        <f>+'17'!A6:A6</f>
        <v xml:space="preserve">Sana Cash &amp; Carrry 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1210.67</v>
      </c>
      <c r="R20" s="299">
        <v>18</v>
      </c>
      <c r="S20" s="300" t="str">
        <f>+'18'!A6:A6</f>
        <v xml:space="preserve">Sana Cash &amp; Carrry 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423.73450000000008</v>
      </c>
      <c r="R21" s="299">
        <v>19</v>
      </c>
      <c r="S21" s="300" t="str">
        <f>+'19'!A6:A6</f>
        <v xml:space="preserve">Sana Cash &amp; Carrry 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10472.2955</v>
      </c>
      <c r="R22" s="299">
        <v>20</v>
      </c>
      <c r="S22" s="300" t="str">
        <f>+'20'!A6:A6</f>
        <v xml:space="preserve">Sana Cash &amp; Carrry 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2288.1355932203383</v>
      </c>
      <c r="R23" s="299">
        <v>21</v>
      </c>
      <c r="S23" s="300" t="str">
        <f>+'21'!A6:A6</f>
        <v xml:space="preserve">Sana Cash &amp; Carrry 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12760.431093220339</v>
      </c>
      <c r="R24" s="299">
        <v>22</v>
      </c>
      <c r="S24" s="300" t="str">
        <f>+'22'!A6:A6</f>
        <v xml:space="preserve">Sana Cash &amp; Carrry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63.802155466101688</v>
      </c>
      <c r="R25" s="299">
        <v>23</v>
      </c>
      <c r="S25" s="300" t="str">
        <f>+'23'!A6:A6</f>
        <v xml:space="preserve">Sana Cash &amp; Carrry 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12824.23324868644</v>
      </c>
      <c r="R26" s="299">
        <v>24</v>
      </c>
      <c r="S26" s="300" t="str">
        <f>+'24'!A6:A6</f>
        <v xml:space="preserve">Sana Cash &amp; Carrry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 xml:space="preserve">Sana Cash &amp; Carrry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Sana Cash &amp; Carrry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Sana Cash &amp; Carrry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Sana Cash &amp; Carrry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Sana Cash &amp; Carrry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Sana Cash &amp; Carrry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12824.23324868644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C11" workbookViewId="0">
      <selection activeCell="G17" sqref="G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415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56"/>
      <c r="I16" s="248">
        <f>(G16*D16)*F16+Q16*F16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+(G16*D16+Q16)*V16</f>
        <v>396.61016949152526</v>
      </c>
      <c r="O16" s="238">
        <f>(N16+M16)*$O$15</f>
        <v>11.059063347457625</v>
      </c>
      <c r="P16" s="310">
        <f>M16+N16+O16</f>
        <v>2222.8717328389826</v>
      </c>
      <c r="Q16" s="112">
        <v>40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56"/>
      <c r="I17" s="277">
        <f>(G17*D17)*F17+Q17*F17</f>
        <v>2098.5</v>
      </c>
      <c r="J17" s="272">
        <f t="shared" ref="J17:L24" si="0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1">I17-SUM(J17:L17)</f>
        <v>1815.2024999999999</v>
      </c>
      <c r="N17" s="277">
        <f>+(G17*D17+Q17)*V17</f>
        <v>396.61016949152526</v>
      </c>
      <c r="O17" s="239">
        <f t="shared" ref="O17:O24" si="2">(N17+M17)*$O$15</f>
        <v>11.059063347457625</v>
      </c>
      <c r="P17" s="311">
        <f t="shared" ref="P17:P24" si="3">M17+N17+O17</f>
        <v>2222.8717328389826</v>
      </c>
      <c r="Q17" s="96">
        <v>40</v>
      </c>
      <c r="S17" s="269">
        <f>+S16</f>
        <v>0.1</v>
      </c>
      <c r="T17" s="270">
        <f>+T16</f>
        <v>3.5000000000000003E-2</v>
      </c>
      <c r="U17" s="269"/>
      <c r="V17" s="142">
        <f t="shared" ref="V17:V24" si="4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56"/>
      <c r="I18" s="277">
        <f>(G18*D18)*F18+Q18*F18</f>
        <v>2098.5</v>
      </c>
      <c r="J18" s="272">
        <f t="shared" si="0"/>
        <v>209.85000000000002</v>
      </c>
      <c r="K18" s="128">
        <f t="shared" si="0"/>
        <v>73.447500000000005</v>
      </c>
      <c r="L18" s="119">
        <f t="shared" si="0"/>
        <v>0</v>
      </c>
      <c r="M18" s="230">
        <f t="shared" si="1"/>
        <v>1815.2024999999999</v>
      </c>
      <c r="N18" s="277">
        <f>+(G18*D18+Q18)*V18</f>
        <v>396.61016949152526</v>
      </c>
      <c r="O18" s="239">
        <f t="shared" si="2"/>
        <v>11.059063347457625</v>
      </c>
      <c r="P18" s="311">
        <f t="shared" si="3"/>
        <v>2222.8717328389826</v>
      </c>
      <c r="Q18" s="96">
        <v>40</v>
      </c>
      <c r="S18" s="269">
        <f>+S17</f>
        <v>0.1</v>
      </c>
      <c r="T18" s="270">
        <f>+T17</f>
        <v>3.5000000000000003E-2</v>
      </c>
      <c r="U18" s="269"/>
      <c r="V18" s="142">
        <f t="shared" si="4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56"/>
      <c r="I19" s="277">
        <f>(G19*D19)*F19+Q19*F19</f>
        <v>2905.6</v>
      </c>
      <c r="J19" s="272">
        <f t="shared" si="0"/>
        <v>290.56</v>
      </c>
      <c r="K19" s="128">
        <f t="shared" si="0"/>
        <v>101.69600000000001</v>
      </c>
      <c r="L19" s="119">
        <f t="shared" si="0"/>
        <v>0</v>
      </c>
      <c r="M19" s="230">
        <f t="shared" si="1"/>
        <v>2513.3440000000001</v>
      </c>
      <c r="N19" s="277">
        <f>+(G19*D19+Q19)*V19</f>
        <v>549.15254237288138</v>
      </c>
      <c r="O19" s="239">
        <f t="shared" si="2"/>
        <v>15.312482711864407</v>
      </c>
      <c r="P19" s="311">
        <f t="shared" si="3"/>
        <v>3077.8090250847458</v>
      </c>
      <c r="Q19" s="96">
        <v>40</v>
      </c>
      <c r="S19" s="269">
        <f>+S18</f>
        <v>0.1</v>
      </c>
      <c r="T19" s="270">
        <v>3.5000000000000003E-2</v>
      </c>
      <c r="U19" s="269"/>
      <c r="V19" s="142">
        <f t="shared" si="4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56"/>
      <c r="I20" s="277">
        <f>(G20*D20)*F20+Q20*F20</f>
        <v>2905.6</v>
      </c>
      <c r="J20" s="272">
        <f t="shared" si="0"/>
        <v>290.56</v>
      </c>
      <c r="K20" s="128">
        <f t="shared" si="0"/>
        <v>101.69600000000001</v>
      </c>
      <c r="L20" s="119">
        <f t="shared" si="0"/>
        <v>0</v>
      </c>
      <c r="M20" s="230">
        <f t="shared" si="1"/>
        <v>2513.3440000000001</v>
      </c>
      <c r="N20" s="277">
        <f>+(G20*D20+Q20)*V20</f>
        <v>549.15254237288138</v>
      </c>
      <c r="O20" s="239">
        <f t="shared" si="2"/>
        <v>15.312482711864407</v>
      </c>
      <c r="P20" s="311">
        <f t="shared" si="3"/>
        <v>3077.8090250847458</v>
      </c>
      <c r="Q20" s="96">
        <v>40</v>
      </c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4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416"/>
      <c r="I21" s="277">
        <f t="shared" ref="I18:I21" si="5">(G21*D21)*F21+H21*F21</f>
        <v>0</v>
      </c>
      <c r="J21" s="272">
        <f t="shared" si="0"/>
        <v>0</v>
      </c>
      <c r="K21" s="128">
        <f t="shared" si="0"/>
        <v>0</v>
      </c>
      <c r="L21" s="119">
        <f t="shared" si="0"/>
        <v>0</v>
      </c>
      <c r="M21" s="230">
        <f t="shared" si="1"/>
        <v>0</v>
      </c>
      <c r="N21" s="277">
        <f t="shared" ref="N17:N24" si="6">+(G21*D21+H21)*V21</f>
        <v>0</v>
      </c>
      <c r="O21" s="239">
        <f t="shared" si="2"/>
        <v>0</v>
      </c>
      <c r="P21" s="311">
        <f t="shared" si="3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4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ref="I17:I23" si="7">(G22*D22)*F22+H22*F22</f>
        <v>0</v>
      </c>
      <c r="J22" s="272">
        <f t="shared" si="0"/>
        <v>0</v>
      </c>
      <c r="K22" s="128">
        <f t="shared" si="0"/>
        <v>0</v>
      </c>
      <c r="L22" s="119">
        <f t="shared" si="0"/>
        <v>0</v>
      </c>
      <c r="M22" s="230">
        <f t="shared" si="1"/>
        <v>0</v>
      </c>
      <c r="N22" s="277">
        <f t="shared" si="6"/>
        <v>0</v>
      </c>
      <c r="O22" s="239">
        <f t="shared" si="2"/>
        <v>0</v>
      </c>
      <c r="P22" s="311">
        <f t="shared" si="3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4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7"/>
        <v>0</v>
      </c>
      <c r="J23" s="272">
        <f t="shared" si="0"/>
        <v>0</v>
      </c>
      <c r="K23" s="128">
        <f t="shared" si="0"/>
        <v>0</v>
      </c>
      <c r="L23" s="119">
        <f t="shared" si="0"/>
        <v>0</v>
      </c>
      <c r="M23" s="230">
        <f t="shared" si="1"/>
        <v>0</v>
      </c>
      <c r="N23" s="277">
        <f t="shared" si="6"/>
        <v>0</v>
      </c>
      <c r="O23" s="239">
        <f t="shared" si="2"/>
        <v>0</v>
      </c>
      <c r="P23" s="311">
        <f t="shared" si="3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4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0"/>
        <v>0</v>
      </c>
      <c r="K24" s="129">
        <f t="shared" si="0"/>
        <v>0</v>
      </c>
      <c r="L24" s="120">
        <f t="shared" si="0"/>
        <v>0</v>
      </c>
      <c r="M24" s="231">
        <f t="shared" si="1"/>
        <v>0</v>
      </c>
      <c r="N24" s="278">
        <f t="shared" si="6"/>
        <v>0</v>
      </c>
      <c r="O24" s="240">
        <f t="shared" si="2"/>
        <v>0</v>
      </c>
      <c r="P24" s="312">
        <f t="shared" si="3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4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12106.7</v>
      </c>
      <c r="J25" s="274">
        <f>SUM(J16:J24)</f>
        <v>1210.67</v>
      </c>
      <c r="K25" s="275">
        <f t="shared" si="10"/>
        <v>423.73450000000008</v>
      </c>
      <c r="L25" s="276">
        <f t="shared" si="10"/>
        <v>0</v>
      </c>
      <c r="M25" s="232">
        <f t="shared" si="10"/>
        <v>10472.2955</v>
      </c>
      <c r="N25" s="233">
        <f>SUM(N16:N24)</f>
        <v>2288.1355932203383</v>
      </c>
      <c r="O25" s="101">
        <f>SUM(O16:O24)</f>
        <v>63.802155466101688</v>
      </c>
      <c r="P25" s="113">
        <f>SUM(P16:P24)</f>
        <v>12824.233248686438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12106.7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1210.67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423.73450000000008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10472.2955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12760.431093220339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63.802155466101695</v>
      </c>
    </row>
    <row r="35" spans="2:16" ht="15.75" customHeight="1" thickBot="1" x14ac:dyDescent="0.4">
      <c r="N35" s="345" t="s">
        <v>88</v>
      </c>
      <c r="O35" s="346"/>
      <c r="P35" s="297">
        <f>+P33+P34</f>
        <v>12824.23324868644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515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46269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46268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2026-09-03T15:15:57Z</dcterms:modified>
</cp:coreProperties>
</file>