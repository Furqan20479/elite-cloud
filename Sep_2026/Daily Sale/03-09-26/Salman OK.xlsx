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A5396A-E120-43F3-B5B8-2C6EA1A5968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51"/>
  <c r="K12" i="62"/>
  <c r="M21" i="47"/>
  <c r="O21" i="47" s="1"/>
  <c r="P21" i="47" s="1"/>
  <c r="M20" i="47"/>
  <c r="O20" i="47" s="1"/>
  <c r="P20" i="47" s="1"/>
  <c r="R20" i="47" s="1"/>
  <c r="M17" i="44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<sst xmlns="http://schemas.openxmlformats.org/spreadsheetml/2006/main" count="3948" uniqueCount="528">
  <si>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</si>
  <si>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</si>
  <si>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</si>
  <si>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</si>
  <si>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</si>
  <si>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</si>
  <si>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</si>
  <si>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</si>
  <si>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</si>
  <si>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</si>
  <si>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</si>
  <si>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</si>
  <si>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</si>
  <si>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</si>
  <si>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</si>
  <si>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</si>
  <si>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</si>
  <si>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</si>
  <si>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</si>
  <si>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</si>
  <si>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</si>
  <si>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</si>
  <si>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</si>
  <si>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</si>
  <si>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</si>
  <si>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</si>
  <si>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</si>
  <si>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</si>
  <si>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</si>
  <si>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</si>
  <si>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</si>
  <si>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</si>
  <si>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</si>
  <si>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</si>
  <si>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</si>
  <si>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</si>
  <si>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</si>
  <si>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</si>
  <si>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</si>
  <si>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</si>
  <si>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</si>
  <si>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</si>
  <si>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</si>
  <si>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</si>
  <si>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</si>
  <si>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</si>
  <si>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</si>
  <si>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</si>
  <si>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</si>
  <si>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</si>
  <si>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</si>
  <si>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</si>
  <si>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</si>
  <si>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</si>
  <si>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</si>
  <si>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</si>
  <si>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</si>
  <si>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</si>
  <si>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</si>
  <si>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</si>
  <si>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</si>
  <si>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</si>
  <si>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</si>
  <si>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</si>
  <si>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</si>
  <si>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</si>
  <si>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</si>
  <si>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</si>
  <si>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</si>
  <si>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</si>
  <si>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</si>
  <si>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</si>
  <si>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</si>
  <si>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</si>
  <si>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</si>
  <si>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</si>
  <si>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</si>
  <si>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</si>
  <si>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</si>
  <si>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</si>
  <si>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</si>
  <si>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</si>
  <si>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</si>
  <si>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</si>
  <si>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</si>
  <si>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</si>
  <si>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</si>
  <si>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</si>
  <si>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</si>
  <si>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</si>
  <si>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</si>
  <si>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</si>
  <si>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</si>
  <si>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</si>
  <si>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</si>
  <si>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</si>
  <si>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</si>
  <si>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</si>
  <si>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</si>
  <si>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</si>
  <si>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</si>
  <si>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</si>
  <si>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</si>
  <si>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</si>
  <si>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</si>
  <si>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</si>
  <si>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</si>
  <si>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</si>
  <si>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</si>
  <si>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</si>
  <si>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</si>
  <si>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</si>
  <si>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</si>
  <si>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</si>
  <si>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</si>
  <si>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</si>
  <si>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</si>
  <si>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</si>
  <si>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</si>
  <si>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</si>
  <si>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</si>
  <si>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</si>
  <si>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</si>
  <si>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</si>
  <si>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</si>
  <si>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</si>
  <si>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</si>
  <si>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</si>
  <si>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</si>
  <si>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</si>
  <si>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</si>
  <si>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</si>
  <si>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</si>
  <si>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</si>
  <si>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</si>
  <si>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</si>
  <si>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</si>
  <si>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</si>
  <si>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</si>
  <si>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</si>
  <si>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</si>
  <si>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</si>
  <si>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</si>
  <si>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</si>
  <si>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</si>
  <si>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</si>
  <si>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</si>
  <si>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</si>
  <si>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</si>
  <si>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</si>
  <si>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</si>
  <si>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</si>
  <si>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</si>
  <si>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</si>
  <si>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</si>
  <si>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</si>
  <si>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</si>
  <si>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</si>
  <si>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</si>
  <si>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</si>
  <si>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</si>
  <si>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</si>
  <si>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</si>
  <si>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</si>
  <si>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</si>
  <si>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</si>
  <si>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</si>
  <si>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</si>
  <si>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</si>
  <si>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</si>
  <si>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</si>
  <si>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</si>
  <si>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</si>
  <si>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</si>
  <si>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</si>
  <si>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</si>
  <si>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</si>
  <si>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</si>
  <si>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</si>
  <si>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</si>
  <si>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</si>
  <si>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</si>
  <si>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</si>
  <si>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</si>
  <si>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</si>
  <si>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</si>
  <si>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</si>
  <si>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</si>
  <si>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</si>
  <si>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</si>
  <si>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</si>
  <si>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</si>
  <si>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</si>
  <si>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</si>
  <si>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</si>
  <si>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</si>
  <si>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</si>
  <si>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</si>
  <si>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</si>
  <si>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</si>
  <si>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</si>
  <si>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</si>
  <si>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</si>
  <si>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</si>
  <si>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</si>
  <si>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</si>
  <si>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</si>
  <si>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</si>
  <si>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</si>
  <si>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</si>
  <si>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</si>
  <si>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</si>
  <si>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</si>
  <si>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</si>
  <si>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</si>
  <si>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</si>
  <si>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</si>
  <si>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</si>
  <si>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</si>
  <si>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</si>
  <si>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</si>
  <si>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</si>
  <si>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</si>
  <si>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</si>
  <si>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</si>
  <si>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</si>
  <si>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</si>
  <si>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</si>
  <si>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</si>
  <si>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</si>
  <si>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</si>
  <si>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</si>
  <si>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</si>
  <si>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</si>
  <si>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</si>
  <si>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</si>
  <si>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</si>
  <si>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</si>
  <si>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</si>
  <si>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</si>
  <si>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</si>
  <si>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</si>
  <si>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</si>
  <si>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</si>
  <si>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</si>
  <si>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</si>
  <si>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</si>
  <si>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</si>
  <si>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</si>
  <si>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</si>
  <si>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</si>
  <si>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</si>
  <si>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</si>
  <si>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</si>
  <si>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</si>
  <si>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</si>
  <si>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</si>
  <si>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</si>
  <si>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</si>
  <si>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</si>
  <si>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</si>
  <si>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</si>
  <si>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</si>
  <si>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</si>
  <si>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</si>
  <si>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</si>
  <si>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</si>
  <si>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</si>
  <si>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</si>
  <si>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</si>
  <si>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</si>
  <si>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</si>
  <si>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</si>
  <si>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</si>
  <si>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</si>
  <si>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</si>
  <si>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</si>
  <si>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</si>
  <si>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</si>
  <si>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</si>
  <si>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</si>
  <si>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</si>
  <si>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</si>
  <si>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</si>
  <si>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</si>
  <si>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</si>
  <si>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</si>
  <si>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</si>
  <si>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</si>
  <si>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</si>
  <si>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</si>
  <si>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</si>
  <si>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</si>
  <si>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</si>
  <si>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</si>
  <si>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</si>
  <si>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</si>
  <si>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</si>
  <si>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</si>
  <si>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</si>
  <si>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</si>
  <si>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</si>
  <si>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</si>
  <si>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</si>
  <si>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</si>
  <si>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</si>
  <si>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</si>
  <si>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</si>
  <si>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</si>
  <si>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</si>
  <si>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</si>
  <si>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</si>
  <si>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</si>
  <si>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</si>
  <si>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</si>
  <si>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</si>
  <si>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</si>
  <si>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</si>
  <si>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</si>
  <si>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</si>
  <si>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</si>
  <si>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</si>
  <si>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</si>
  <si>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</si>
  <si>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</si>
  <si>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</si>
  <si>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</si>
  <si>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</si>
  <si>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</si>
  <si>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</si>
  <si>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</si>
  <si>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</si>
  <si>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</si>
  <si>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</si>
  <si>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</si>
  <si>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</si>
  <si>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</si>
  <si>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</si>
  <si>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</si>
  <si>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</si>
  <si>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</si>
  <si>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</si>
  <si>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</si>
  <si>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</si>
  <si>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</si>
  <si>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</si>
  <si>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</si>
  <si>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</si>
  <si>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</si>
  <si>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</si>
  <si>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</si>
  <si>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</si>
  <si>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</si>
  <si>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</si>
  <si>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</si>
  <si>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</si>
  <si>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</si>
  <si>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</si>
  <si>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</si>
  <si>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</si>
  <si>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</si>
  <si>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</si>
  <si>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</si>
  <si>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</si>
  <si>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</si>
  <si>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</si>
  <si>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</si>
  <si>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</si>
  <si>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</si>
  <si>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</si>
  <si>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</si>
  <si>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</si>
  <si>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</si>
  <si>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</si>
  <si>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</si>
  <si>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</si>
  <si>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</si>
  <si>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</si>
  <si>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</si>
  <si>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</si>
  <si>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</si>
  <si>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</si>
  <si>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</si>
  <si>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</si>
  <si>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</si>
  <si>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</si>
  <si>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</si>
  <si>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</si>
  <si>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</si>
  <si>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</si>
  <si>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</si>
  <si>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</si>
  <si>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</si>
  <si>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</si>
  <si>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</si>
  <si>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</si>
  <si>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</si>
  <si>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</si>
  <si>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</si>
  <si>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</si>
  <si>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</si>
  <si>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</si>
  <si>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</si>
  <si>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</si>
  <si>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</si>
  <si>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</si>
  <si>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</si>
  <si>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</si>
  <si>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</si>
  <si>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</si>
  <si>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</si>
  <si>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</si>
  <si>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</si>
  <si>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</si>
  <si>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</si>
  <si>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</si>
  <si>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</si>
  <si>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</si>
  <si>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</si>
  <si>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</si>
  <si>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</si>
  <si>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</si>
  <si>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</si>
  <si>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</si>
  <si>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</si>
  <si>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</si>
  <si>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</si>
  <si>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</si>
  <si>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</si>
  <si>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</si>
  <si>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</si>
  <si>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</si>
  <si>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</si>
  <si>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</si>
  <si>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</si>
  <si>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</si>
  <si>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</si>
  <si>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</si>
  <si>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</si>
  <si>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</si>
  <si>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</si>
  <si>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</si>
  <si>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</si>
  <si>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</si>
  <si>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</si>
  <si>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</si>
  <si>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</si>
  <si>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</si>
  <si>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</si>
  <si>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</si>
  <si>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</si>
  <si>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</si>
  <si>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</si>
  <si>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</si>
  <si>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</si>
  <si>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</si>
  <si>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</si>
  <si>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</si>
  <si>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</si>
  <si>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</si>
  <si>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</si>
  <si>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</si>
  <si>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</si>
  <si>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</si>
  <si>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</si>
  <si>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</si>
  <si>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</si>
  <si>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</si>
  <si>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</si>
  <si>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</si>
  <si>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</si>
  <si>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</si>
  <si>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</si>
  <si>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</si>
  <si>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</si>
  <si>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</si>
  <si>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</si>
  <si>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</si>
  <si>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</si>
  <si>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</si>
  <si>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</si>
  <si>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</si>
  <si>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</si>
  <si>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</si>
  <si>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</si>
  <si>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</si>
  <si>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</si>
  <si>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</si>
  <si>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</si>
  <si>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</si>
  <si>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</si>
  <si>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</si>
  <si>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</si>
  <si>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</si>
  <si>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</si>
  <si>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</si>
  <si>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</si>
  <si>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</si>
  <si>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</si>
  <si>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</si>
  <si>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</si>
  <si>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</si>
  <si>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</si>
  <si>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</si>
  <si>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</si>
  <si>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</si>
  <si>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</si>
  <si>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</si>
  <si>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</si>
  <si>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</si>
  <si>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</si>
  <si>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</si>
  <si>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</si>
  <si>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</si>
  <si>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</si>
  <si>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>Lala Super Store</t>
  </si>
  <si>
    <t xml:space="preserve">MI Super Mart </t>
  </si>
  <si>
    <t xml:space="preserve">Express Mart </t>
  </si>
  <si>
    <t xml:space="preserve">Askari Cash &amp; Carry </t>
  </si>
  <si>
    <t>Sanwal Madical Store</t>
  </si>
  <si>
    <t>Hikma Store</t>
  </si>
  <si>
    <t>Wasif Store</t>
  </si>
  <si>
    <t>Butt Store</t>
  </si>
  <si>
    <t>Naveed Store</t>
  </si>
  <si>
    <t>Mumtaz Store</t>
  </si>
  <si>
    <t>Javaid Store</t>
  </si>
  <si>
    <t>Talha Store</t>
  </si>
  <si>
    <t>Kashif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</si>
</sst>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Lala Super Store</v>
      </c>
      <c r="T3" s="301">
        <f>+'1'!P35</f>
        <v>3240.7579007542372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MI Super Mart </v>
      </c>
      <c r="T4" s="301">
        <f>+'2'!P35</f>
        <v>16203.789503771184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Express Mart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Askari Cash &amp; Carry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73</v>
      </c>
      <c r="I7" s="235">
        <f>(G7*D7)*F7+H7*F7</f>
        <v>3829.7624999999998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306.38099999999997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134.04168750000002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3389.3398124999999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723.81355932203348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20.56576685911017</v>
      </c>
      <c r="P7" s="310">
        <f>M7+N7+O7</f>
        <v>4133.7191386811437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Sanwal Madical Store</v>
      </c>
      <c r="T7" s="301">
        <f>+'5'!P35</f>
        <v>1359.0309497033895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56</v>
      </c>
      <c r="I8" s="236">
        <f t="shared" ref="I8:I14" si="0">(G8*D8)*F8+H8*F8</f>
        <v>2937.9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235.03199999999998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102.82650000000001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2600.0415000000003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555.2542372881353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15.776478686440678</v>
      </c>
      <c r="P8" s="311">
        <f t="shared" ref="P8:P15" si="2">M8+N8+O8</f>
        <v>3171.0722159745765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Hikma Store</v>
      </c>
      <c r="T8" s="301">
        <f>+'6'!P35</f>
        <v>1881.7269510508474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79</v>
      </c>
      <c r="I9" s="236">
        <f t="shared" si="0"/>
        <v>4144.5374999999995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331.56299999999999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145.05881249999999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3667.9156874999994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783.30508474576243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22.256103861228812</v>
      </c>
      <c r="P9" s="311">
        <f t="shared" si="2"/>
        <v>4473.4768761069899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Wasif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476.51840000000016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208.47679999999994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1125.7627118644066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31.986237559322024</v>
      </c>
      <c r="P10" s="311">
        <f t="shared" si="2"/>
        <v>6429.233749423729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Butt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453.27359999999993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198.30719999999994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30.425933288135589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Naveed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</v>
      </c>
      <c r="I12" s="236">
        <f t="shared" si="0"/>
        <v>6392.32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511.3855999999999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223.73119999999994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5657.2031999999999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1208.1355932203396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34.326693966101701</v>
      </c>
      <c r="P12" s="311">
        <f t="shared" si="2"/>
        <v>6899.6654871864412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Mumtaz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Javaid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Talha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Kashif Store</v>
      </c>
      <c r="T15" s="301">
        <f>+'13'!P35</f>
        <v>784.05289627118657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11.4</v>
      </c>
      <c r="H16" s="113">
        <f t="shared" ref="H16:M16" si="3">SUM(H7:H15)</f>
        <v>456</v>
      </c>
      <c r="I16" s="114">
        <f t="shared" si="3"/>
        <v>28926.92</v>
      </c>
      <c r="J16" s="274">
        <f>SUM(J7:J15)</f>
        <v>2314.1536000000001</v>
      </c>
      <c r="K16" s="275">
        <f t="shared" si="3"/>
        <v>1012.4421999999998</v>
      </c>
      <c r="L16" s="276">
        <f t="shared" si="3"/>
        <v>0</v>
      </c>
      <c r="M16" s="232">
        <f t="shared" si="3"/>
        <v>25600.324199999999</v>
      </c>
      <c r="N16" s="233">
        <f>SUM(N7:N15)</f>
        <v>5467.1186440677957</v>
      </c>
      <c r="O16" s="101">
        <f>SUM(O7:O15)</f>
        <v>155.33721422033898</v>
      </c>
      <c r="P16" s="113">
        <f>SUM(P7:P15)</f>
        <v>31222.780058288135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28926.92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2314.1536000000001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1012.4421999999998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25600.324199999995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5467.1186440677957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31067.442844067791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155.33721422033898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31222.780058288132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31222.780058288128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3002.46</v>
      </c>
      <c r="J25" s="274">
        <f>SUM(J16:J24)</f>
        <v>240.1968</v>
      </c>
      <c r="K25" s="275">
        <f t="shared" si="10"/>
        <v>105.08610000000002</v>
      </c>
      <c r="L25" s="276">
        <f t="shared" si="10"/>
        <v>0</v>
      </c>
      <c r="M25" s="232">
        <f t="shared" si="10"/>
        <v>2657.1771000000003</v>
      </c>
      <c r="N25" s="233">
        <f>SUM(N16:N24)</f>
        <v>567.45762711864404</v>
      </c>
      <c r="O25" s="101">
        <f>SUM(O16:O24)</f>
        <v>16.123173635593222</v>
      </c>
      <c r="P25" s="113">
        <f>SUM(P16:P24)</f>
        <v>3240.7579007542367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3002.46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240.1968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105.08610000000002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2657.1770999999999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3224.6347271186442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73" t="s">
        <v>88</v>
      </c>
      <c r="O35" s="374"/>
      <c r="P35" s="297">
        <f>+P33+P34</f>
        <v>3240.7579007542372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113">
        <f>SUM(P16:P24)</f>
        <v>16203.789503771186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1200.9839999999999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525.43050000000005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13285.8855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16123.173635593219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3" t="s">
        <v>88</v>
      </c>
      <c r="O35" s="374"/>
      <c r="P35" s="297">
        <f>+P33+P34</f>
        <v>16203.789503771184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73.447500000000019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113">
        <f>SUM(P16:P24)</f>
        <v>1359.0309497033898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1259.0999999999999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100.72799999999999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44.0685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1114.3034999999998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1352.2696016949149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3" t="s">
        <v>88</v>
      </c>
      <c r="O35" s="374"/>
      <c r="P35" s="297">
        <f>+P33+P34</f>
        <v>1359.0309497033895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1743.3600000000001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139.46880000000002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61.017600000000009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1542.8736000000001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1872.3651254237288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3" t="s">
        <v>88</v>
      </c>
      <c r="O35" s="374"/>
      <c r="P35" s="297">
        <f>+P33+P34</f>
        <v>1881.7269510508474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726.40000000000009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25.423999999999999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780.15213559322046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784.05289627118657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2026-09-02T12:04:22Z</dcterms:modified>
</cp:coreProperties>
</file>