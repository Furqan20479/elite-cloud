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199D00F-CEF0-4E9F-A9D1-E11505302AF1}" xr6:coauthVersionLast="47" xr6:coauthVersionMax="47" xr10:uidLastSave="{00000000-0000-0000-0000-000000000000}"/>
  <bookViews>
    <workbookView xWindow="-110" yWindow="-110" windowWidth="19420" windowHeight="10420" tabRatio="948" firstSheet="3" activeTab="10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<sst xmlns="http://schemas.openxmlformats.org/spreadsheetml/2006/main" count="3948" uniqueCount="525">
  <si>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</si>
  <si>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</si>
  <si>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</si>
  <si>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</si>
  <si>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</si>
  <si>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</si>
  <si>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</si>
  <si>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</si>
  <si>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</si>
  <si>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</si>
  <si>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</si>
  <si>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</si>
  <si>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</si>
  <si>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</si>
  <si>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</si>
  <si>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</si>
  <si>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</si>
  <si>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</si>
  <si>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</si>
  <si>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</si>
  <si>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</si>
  <si>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</si>
  <si>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</si>
  <si>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</si>
  <si>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</si>
  <si>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</si>
  <si>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</si>
  <si>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</si>
  <si>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</si>
  <si>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</si>
  <si>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</si>
  <si>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</si>
  <si>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</si>
  <si>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</si>
  <si>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</si>
  <si>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</si>
  <si>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</si>
  <si>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</si>
  <si>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</si>
  <si>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</si>
  <si>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</si>
  <si>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</si>
  <si>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</si>
  <si>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</si>
  <si>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</si>
  <si>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</si>
  <si>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</si>
  <si>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</si>
  <si>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</si>
  <si>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</si>
  <si>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</si>
  <si>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</si>
  <si>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</si>
  <si>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</si>
  <si>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</si>
  <si>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</si>
  <si>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</si>
  <si>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</si>
  <si>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</si>
  <si>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</si>
  <si>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</si>
  <si>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</si>
  <si>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</si>
  <si>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</si>
  <si>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</si>
  <si>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</si>
  <si>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</si>
  <si>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</si>
  <si>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</si>
  <si>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</si>
  <si>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</si>
  <si>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</si>
  <si>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</si>
  <si>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</si>
  <si>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</si>
  <si>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</si>
  <si>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</si>
  <si>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</si>
  <si>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</si>
  <si>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</si>
  <si>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</si>
  <si>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</si>
  <si>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</si>
  <si>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</si>
  <si>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</si>
  <si>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</si>
  <si>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</si>
  <si>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</si>
  <si>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</si>
  <si>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</si>
  <si>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</si>
  <si>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</si>
  <si>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</si>
  <si>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</si>
  <si>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</si>
  <si>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</si>
  <si>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</si>
  <si>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</si>
  <si>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</si>
  <si>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</si>
  <si>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</si>
  <si>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</si>
  <si>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</si>
  <si>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</si>
  <si>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</si>
  <si>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</si>
  <si>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</si>
  <si>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</si>
  <si>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</si>
  <si>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</si>
  <si>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</si>
  <si>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</si>
  <si>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</si>
  <si>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</si>
  <si>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</si>
  <si>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</si>
  <si>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</si>
  <si>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</si>
  <si>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</si>
  <si>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</si>
  <si>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</si>
  <si>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</si>
  <si>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</si>
  <si>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</si>
  <si>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</si>
  <si>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</si>
  <si>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</si>
  <si>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</si>
  <si>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</si>
  <si>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</si>
  <si>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</si>
  <si>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</si>
  <si>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</si>
  <si>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</si>
  <si>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</si>
  <si>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</si>
  <si>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</si>
  <si>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</si>
  <si>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</si>
  <si>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</si>
  <si>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</si>
  <si>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</si>
  <si>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</si>
  <si>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</si>
  <si>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</si>
  <si>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</si>
  <si>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</si>
  <si>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</si>
  <si>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</si>
  <si>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</si>
  <si>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</si>
  <si>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</si>
  <si>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</si>
  <si>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</si>
  <si>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</si>
  <si>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</si>
  <si>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</si>
  <si>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</si>
  <si>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</si>
  <si>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</si>
  <si>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</si>
  <si>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</si>
  <si>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</si>
  <si>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</si>
  <si>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</si>
  <si>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</si>
  <si>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</si>
  <si>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</si>
  <si>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</si>
  <si>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</si>
  <si>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</si>
  <si>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</si>
  <si>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</si>
  <si>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</si>
  <si>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</si>
  <si>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</si>
  <si>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</si>
  <si>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</si>
  <si>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</si>
  <si>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</si>
  <si>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</si>
  <si>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</si>
  <si>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</si>
  <si>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</si>
  <si>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</si>
  <si>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</si>
  <si>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</si>
  <si>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</si>
  <si>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</si>
  <si>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</si>
  <si>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</si>
  <si>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</si>
  <si>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</si>
  <si>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</si>
  <si>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</si>
  <si>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</si>
  <si>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</si>
  <si>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</si>
  <si>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</si>
  <si>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</si>
  <si>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</si>
  <si>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</si>
  <si>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</si>
  <si>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</si>
  <si>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</si>
  <si>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</si>
  <si>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</si>
  <si>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</si>
  <si>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</si>
  <si>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</si>
  <si>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</si>
  <si>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</si>
  <si>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</si>
  <si>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</si>
  <si>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</si>
  <si>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</si>
  <si>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</si>
  <si>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</si>
  <si>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</si>
  <si>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</si>
  <si>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</si>
  <si>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</si>
  <si>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</si>
  <si>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</si>
  <si>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</si>
  <si>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</si>
  <si>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</si>
  <si>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</si>
  <si>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</si>
  <si>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</si>
  <si>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</si>
  <si>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</si>
  <si>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</si>
  <si>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</si>
  <si>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</si>
  <si>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</si>
  <si>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</si>
  <si>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</si>
  <si>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</si>
  <si>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</si>
  <si>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</si>
  <si>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</si>
  <si>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</si>
  <si>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</si>
  <si>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</si>
  <si>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</si>
  <si>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</si>
  <si>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</si>
  <si>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</si>
  <si>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</si>
  <si>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</si>
  <si>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</si>
  <si>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</si>
  <si>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</si>
  <si>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</si>
  <si>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</si>
  <si>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</si>
  <si>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</si>
  <si>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</si>
  <si>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</si>
  <si>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</si>
  <si>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</si>
  <si>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</si>
  <si>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</si>
  <si>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</si>
  <si>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</si>
  <si>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</si>
  <si>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</si>
  <si>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</si>
  <si>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</si>
  <si>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</si>
  <si>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</si>
  <si>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</si>
  <si>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</si>
  <si>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</si>
  <si>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</si>
  <si>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</si>
  <si>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</si>
  <si>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</si>
  <si>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</si>
  <si>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</si>
  <si>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</si>
  <si>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</si>
  <si>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</si>
  <si>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</si>
  <si>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</si>
  <si>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</si>
  <si>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</si>
  <si>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</si>
  <si>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</si>
  <si>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</si>
  <si>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</si>
  <si>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</si>
  <si>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</si>
  <si>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</si>
  <si>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</si>
  <si>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</si>
  <si>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</si>
  <si>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</si>
  <si>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</si>
  <si>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</si>
  <si>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</si>
  <si>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</si>
  <si>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</si>
  <si>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</si>
  <si>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</si>
  <si>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</si>
  <si>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</si>
  <si>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</si>
  <si>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</si>
  <si>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</si>
  <si>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</si>
  <si>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</si>
  <si>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</si>
  <si>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</si>
  <si>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</si>
  <si>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</si>
  <si>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</si>
  <si>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</si>
  <si>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</si>
  <si>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</si>
  <si>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</si>
  <si>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</si>
  <si>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</si>
  <si>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</si>
  <si>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</si>
  <si>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</si>
  <si>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</si>
  <si>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</si>
  <si>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</si>
  <si>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</si>
  <si>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</si>
  <si>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</si>
  <si>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</si>
  <si>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</si>
  <si>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</si>
  <si>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</si>
  <si>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</si>
  <si>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</si>
  <si>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</si>
  <si>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</si>
  <si>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</si>
  <si>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</si>
  <si>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</si>
  <si>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</si>
  <si>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</si>
  <si>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</si>
  <si>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</si>
  <si>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</si>
  <si>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</si>
  <si>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</si>
  <si>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</si>
  <si>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</si>
  <si>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</si>
  <si>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</si>
  <si>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</si>
  <si>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</si>
  <si>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</si>
  <si>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</si>
  <si>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</si>
  <si>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</si>
  <si>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</si>
  <si>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</si>
  <si>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</si>
  <si>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</si>
  <si>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</si>
  <si>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</si>
  <si>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</si>
  <si>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</si>
  <si>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</si>
  <si>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</si>
  <si>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</si>
  <si>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</si>
  <si>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</si>
  <si>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</si>
  <si>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</si>
  <si>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</si>
  <si>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</si>
  <si>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</si>
  <si>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</si>
  <si>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</si>
  <si>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</si>
  <si>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</si>
  <si>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</si>
  <si>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</si>
  <si>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</si>
  <si>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</si>
  <si>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</si>
  <si>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</si>
  <si>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</si>
  <si>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</si>
  <si>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</si>
  <si>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</si>
  <si>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</si>
  <si>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</si>
  <si>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</si>
  <si>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</si>
  <si>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</si>
  <si>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</si>
  <si>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</si>
  <si>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</si>
  <si>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</si>
  <si>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</si>
  <si>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</si>
  <si>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</si>
  <si>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</si>
  <si>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</si>
  <si>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</si>
  <si>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</si>
  <si>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</si>
  <si>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</si>
  <si>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</si>
  <si>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</si>
  <si>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</si>
  <si>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</si>
  <si>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</si>
  <si>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</si>
  <si>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</si>
  <si>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</si>
  <si>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</si>
  <si>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</si>
  <si>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</si>
  <si>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</si>
  <si>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</si>
  <si>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</si>
  <si>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</si>
  <si>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</si>
  <si>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</si>
  <si>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</si>
  <si>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</si>
  <si>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</si>
  <si>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</si>
  <si>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</si>
  <si>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</si>
  <si>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</si>
  <si>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</si>
  <si>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</si>
  <si>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</si>
  <si>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</si>
  <si>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</si>
  <si>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</si>
  <si>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</si>
  <si>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</si>
  <si>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</si>
  <si>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</si>
  <si>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</si>
  <si>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</si>
  <si>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</si>
  <si>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</si>
  <si>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</si>
  <si>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</si>
  <si>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</si>
  <si>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</si>
  <si>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</si>
  <si>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</si>
  <si>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</si>
  <si>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</si>
  <si>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</si>
  <si>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</si>
  <si>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</si>
  <si>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</si>
  <si>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</si>
  <si>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</si>
  <si>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</si>
  <si>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</si>
  <si>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</si>
  <si>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</si>
  <si>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</si>
  <si>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</si>
  <si>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</si>
  <si>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</si>
  <si>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</si>
  <si>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</si>
  <si>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</si>
  <si>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</si>
  <si>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</si>
  <si>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</si>
  <si>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</si>
  <si>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</si>
  <si>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</si>
  <si>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</si>
  <si>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</si>
  <si>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</si>
  <si>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</si>
  <si>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</si>
  <si>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</si>
  <si>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</si>
  <si>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</si>
  <si>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</si>
  <si>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</si>
  <si>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</si>
  <si>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</si>
  <si>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</si>
  <si>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</si>
  <si>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</si>
  <si>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</si>
  <si>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</si>
  <si>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</si>
  <si>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</si>
  <si>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</si>
  <si>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</si>
  <si>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</si>
  <si>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</si>
  <si>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</si>
  <si>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</si>
  <si>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</si>
  <si>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</si>
  <si>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</si>
  <si>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</si>
  <si>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</si>
  <si>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</si>
  <si>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</si>
  <si>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</si>
  <si>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Furqan</t>
  </si>
  <si>
    <t>SM Store</t>
  </si>
  <si>
    <t>Address: Guru mangat</t>
  </si>
  <si>
    <t>Murad Store</t>
  </si>
  <si>
    <t xml:space="preserve">Sadiq And Sons </t>
  </si>
  <si>
    <t xml:space="preserve">Ayan Pan Shop </t>
  </si>
  <si>
    <t xml:space="preserve">Bismillah Mart </t>
  </si>
  <si>
    <t>Address: Super Town Link 2</t>
  </si>
  <si>
    <t>Aziz Store</t>
  </si>
  <si>
    <t xml:space="preserve">Address:  Rifal Range Road near Malik Auto </t>
  </si>
  <si>
    <t>Aliza And Brothers</t>
  </si>
  <si>
    <t>Address: Rifal Range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</si>
</sst>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5" sqref="S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46268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SM Store</v>
      </c>
      <c r="T3" s="301">
        <f>+'1'!P35</f>
        <v>2184.9047487266948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Murad Store</v>
      </c>
      <c r="T4" s="301">
        <f>+'2'!P35</f>
        <v>500.75337404745761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Sadiq And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Ayan Pan Shop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18</v>
      </c>
      <c r="R7" s="314">
        <v>5</v>
      </c>
      <c r="S7" s="300" t="str">
        <f>+'5'!A6:A6</f>
        <v xml:space="preserve">Bismillah Mart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41.97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464.29312500000003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2.8172283368644067</v>
      </c>
      <c r="P8" s="311">
        <f t="shared" ref="P8:P15" si="2">M8+N8+O8</f>
        <v>566.26289570974575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6</v>
      </c>
      <c r="R8" s="314">
        <v>6</v>
      </c>
      <c r="S8" s="300" t="str">
        <f>+'6'!A6:A6</f>
        <v>Aziz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12</v>
      </c>
      <c r="R9" s="314">
        <v>7</v>
      </c>
      <c r="S9" s="300" t="str">
        <f>+'7'!A6:A6</f>
        <v>Aliza And Brothers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</v>
      </c>
      <c r="I10" s="236">
        <f t="shared" si="0"/>
        <v>726.4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58.112000000000002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25.424000000000003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642.86400000000003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137.28813559322035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3.9007606779661019</v>
      </c>
      <c r="P10" s="311">
        <f t="shared" si="2"/>
        <v>784.05289627118646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14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17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32</v>
      </c>
      <c r="I13" s="236">
        <f t="shared" si="0"/>
        <v>1255.3600000000001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62.768000000000015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43.93760000000001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64.023359999999997</v>
      </c>
      <c r="M13" s="230">
        <f t="shared" si="1"/>
        <v>1084.6310400000002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244.06779661016935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6.6434941830508478</v>
      </c>
      <c r="P13" s="311">
        <f t="shared" si="2"/>
        <v>1335.3423307932203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58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1.3</v>
      </c>
      <c r="H16" s="113">
        <f t="shared" ref="H16:M16" si="3">SUM(H7:H15)</f>
        <v>52</v>
      </c>
      <c r="I16" s="114">
        <f t="shared" si="3"/>
        <v>2506.3850000000002</v>
      </c>
      <c r="J16" s="274">
        <f>SUM(J7:J15)</f>
        <v>162.85000000000002</v>
      </c>
      <c r="K16" s="275">
        <f t="shared" si="3"/>
        <v>87.723475000000008</v>
      </c>
      <c r="L16" s="276">
        <f t="shared" si="3"/>
        <v>64.023359999999997</v>
      </c>
      <c r="M16" s="232">
        <f t="shared" si="3"/>
        <v>2191.7881650000004</v>
      </c>
      <c r="N16" s="233">
        <f>SUM(N7:N15)</f>
        <v>480.508474576271</v>
      </c>
      <c r="O16" s="101">
        <f>SUM(O7:O15)</f>
        <v>13.361483197881356</v>
      </c>
      <c r="P16" s="113">
        <f>SUM(P7:P15)</f>
        <v>2685.6581227741526</v>
      </c>
      <c r="Q16" s="128">
        <f>SUM(Q7:Q15)</f>
        <v>135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2506.3850000000002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162.85000000000002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151.746835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2191.7881650000004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480.508474576271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2672.2966395762714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13.361483197881356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2685.6581227741526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2685.6581227741526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7.2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2035.6250000000002</v>
      </c>
      <c r="J25" s="274">
        <f>SUM(J16:J24)</f>
        <v>139.31200000000001</v>
      </c>
      <c r="K25" s="275">
        <f t="shared" si="10"/>
        <v>71.246875000000017</v>
      </c>
      <c r="L25" s="276">
        <f t="shared" si="10"/>
        <v>40.014600000000002</v>
      </c>
      <c r="M25" s="232">
        <f t="shared" si="10"/>
        <v>1785.0515250000003</v>
      </c>
      <c r="N25" s="233">
        <f>SUM(N16:N24)</f>
        <v>388.98305084745749</v>
      </c>
      <c r="O25" s="101">
        <f>SUM(O16:O24)</f>
        <v>10.870172879237288</v>
      </c>
      <c r="P25" s="113">
        <f>SUM(P16:P24)</f>
        <v>2184.9047487266953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2035.6250000000002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139.31200000000001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111.26147500000002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1785.0515250000001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388.98305084745749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2174.0345758474577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10.870172879237289</v>
      </c>
    </row>
    <row r="35" spans="2:16" ht="15.75" customHeight="1" thickBot="1" x14ac:dyDescent="0.4">
      <c r="N35" s="344" t="s">
        <v>88</v>
      </c>
      <c r="O35" s="345"/>
      <c r="P35" s="297">
        <f>+P33+P34</f>
        <v>2184.9047487266948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470.76000000000005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23.538000000000004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40.485360000000007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406.73664000000002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498.26206372881353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4" t="s">
        <v>88</v>
      </c>
      <c r="O35" s="345"/>
      <c r="P35" s="297">
        <f>+P33+P34</f>
        <v>500.75337404745761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activeCell="H19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8.7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>
        <v>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>
        <v>5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>
        <v>10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0" workbookViewId="0">
      <selection activeCell="H17" sqref="H17: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96">
        <v>3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>
        <v>3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520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9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0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112">
        <v>12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9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>
        <v>12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>
        <v>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>
        <v>12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96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82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abSelected="1" topLeftCell="A10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112">
        <v>6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96">
        <v>3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96">
        <v>6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46269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46268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2026-09-03T15:17:26Z</dcterms:modified>
</cp:coreProperties>
</file>