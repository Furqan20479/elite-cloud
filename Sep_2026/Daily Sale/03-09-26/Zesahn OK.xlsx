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8C4D311-B147-49BD-A4B4-38422796E6A4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21" i="50" l="1"/>
  <c r="H20" i="50"/>
  <c r="H19" i="50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25" i="61" l="1"/>
  <c r="P29" i="61" s="1"/>
  <c r="M20" i="53"/>
  <c r="O20" i="53" s="1"/>
  <c r="P20" i="53" s="1"/>
  <c r="R20" i="53" s="1"/>
  <c r="M21" i="52"/>
  <c r="O21" i="52" s="1"/>
  <c r="P21" i="52" s="1"/>
  <c r="M20" i="47"/>
  <c r="O20" i="47" s="1"/>
  <c r="P20" i="47" s="1"/>
  <c r="R20" i="47" s="1"/>
  <c r="M21" i="44"/>
  <c r="O21" i="44" s="1"/>
  <c r="P21" i="44" s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<sst xmlns="http://schemas.openxmlformats.org/spreadsheetml/2006/main" count="3945" uniqueCount="538">
  <si>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</si>
  <si>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</si>
  <si>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</si>
  <si>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</si>
  <si>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</si>
  <si>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</si>
  <si>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</si>
  <si>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</si>
  <si>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</si>
  <si>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</si>
  <si>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</si>
  <si>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</si>
  <si>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</si>
  <si>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</si>
  <si>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</si>
  <si>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</si>
  <si>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</si>
  <si>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</si>
  <si>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</si>
  <si>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</si>
  <si>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</si>
  <si>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</si>
  <si>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</si>
  <si>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</si>
  <si>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</si>
  <si>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</si>
  <si>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</si>
  <si>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</si>
  <si>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</si>
  <si>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</si>
  <si>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</si>
  <si>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</si>
  <si>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</si>
  <si>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</si>
  <si>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</si>
  <si>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</si>
  <si>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</si>
  <si>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</si>
  <si>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</si>
  <si>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</si>
  <si>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</si>
  <si>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</si>
  <si>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</si>
  <si>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</si>
  <si>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</si>
  <si>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</si>
  <si>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</si>
  <si>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</si>
  <si>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</si>
  <si>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</si>
  <si>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</si>
  <si>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</si>
  <si>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</si>
  <si>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</si>
  <si>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</si>
  <si>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</si>
  <si>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</si>
  <si>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</si>
  <si>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</si>
  <si>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</si>
  <si>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</si>
  <si>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</si>
  <si>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</si>
  <si>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</si>
  <si>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</si>
  <si>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</si>
  <si>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</si>
  <si>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</si>
  <si>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</si>
  <si>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</si>
  <si>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</si>
  <si>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</si>
  <si>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</si>
  <si>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</si>
  <si>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</si>
  <si>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</si>
  <si>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</si>
  <si>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</si>
  <si>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</si>
  <si>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</si>
  <si>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</si>
  <si>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</si>
  <si>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</si>
  <si>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</si>
  <si>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</si>
  <si>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</si>
  <si>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</si>
  <si>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</si>
  <si>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</si>
  <si>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</si>
  <si>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</si>
  <si>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</si>
  <si>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</si>
  <si>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</si>
  <si>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</si>
  <si>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</si>
  <si>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</si>
  <si>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</si>
  <si>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</si>
  <si>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</si>
  <si>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</si>
  <si>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</si>
  <si>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</si>
  <si>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</si>
  <si>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</si>
  <si>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</si>
  <si>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</si>
  <si>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</si>
  <si>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</si>
  <si>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</si>
  <si>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</si>
  <si>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</si>
  <si>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</si>
  <si>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</si>
  <si>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</si>
  <si>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</si>
  <si>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</si>
  <si>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</si>
  <si>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</si>
  <si>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</si>
  <si>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</si>
  <si>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</si>
  <si>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</si>
  <si>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</si>
  <si>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</si>
  <si>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</si>
  <si>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</si>
  <si>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</si>
  <si>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</si>
  <si>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</si>
  <si>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</si>
  <si>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</si>
  <si>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</si>
  <si>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</si>
  <si>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</si>
  <si>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</si>
  <si>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</si>
  <si>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</si>
  <si>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</si>
  <si>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</si>
  <si>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</si>
  <si>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</si>
  <si>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</si>
  <si>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</si>
  <si>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</si>
  <si>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</si>
  <si>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</si>
  <si>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</si>
  <si>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</si>
  <si>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</si>
  <si>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</si>
  <si>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</si>
  <si>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</si>
  <si>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</si>
  <si>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</si>
  <si>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</si>
  <si>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</si>
  <si>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</si>
  <si>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</si>
  <si>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</si>
  <si>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</si>
  <si>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</si>
  <si>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</si>
  <si>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</si>
  <si>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</si>
  <si>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</si>
  <si>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</si>
  <si>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</si>
  <si>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</si>
  <si>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</si>
  <si>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</si>
  <si>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</si>
  <si>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</si>
  <si>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</si>
  <si>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</si>
  <si>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</si>
  <si>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</si>
  <si>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</si>
  <si>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</si>
  <si>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</si>
  <si>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</si>
  <si>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</si>
  <si>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</si>
  <si>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</si>
  <si>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</si>
  <si>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</si>
  <si>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</si>
  <si>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</si>
  <si>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</si>
  <si>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</si>
  <si>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</si>
  <si>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</si>
  <si>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</si>
  <si>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</si>
  <si>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</si>
  <si>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</si>
  <si>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</si>
  <si>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</si>
  <si>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</si>
  <si>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</si>
  <si>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</si>
  <si>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</si>
  <si>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</si>
  <si>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</si>
  <si>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</si>
  <si>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</si>
  <si>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</si>
  <si>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</si>
  <si>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</si>
  <si>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</si>
  <si>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</si>
  <si>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</si>
  <si>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</si>
  <si>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</si>
  <si>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</si>
  <si>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</si>
  <si>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</si>
  <si>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</si>
  <si>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</si>
  <si>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</si>
  <si>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</si>
  <si>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</si>
  <si>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</si>
  <si>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</si>
  <si>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</si>
  <si>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</si>
  <si>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</si>
  <si>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</si>
  <si>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</si>
  <si>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</si>
  <si>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</si>
  <si>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</si>
  <si>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</si>
  <si>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</si>
  <si>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</si>
  <si>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</si>
  <si>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</si>
  <si>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</si>
  <si>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</si>
  <si>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</si>
  <si>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</si>
  <si>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</si>
  <si>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</si>
  <si>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</si>
  <si>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</si>
  <si>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</si>
  <si>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</si>
  <si>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</si>
  <si>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</si>
  <si>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</si>
  <si>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</si>
  <si>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</si>
  <si>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</si>
  <si>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</si>
  <si>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</si>
  <si>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</si>
  <si>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</si>
  <si>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</si>
  <si>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</si>
  <si>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</si>
  <si>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</si>
  <si>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</si>
  <si>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</si>
  <si>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</si>
  <si>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</si>
  <si>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</si>
  <si>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</si>
  <si>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</si>
  <si>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</si>
  <si>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</si>
  <si>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</si>
  <si>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</si>
  <si>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</si>
  <si>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</si>
  <si>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</si>
  <si>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</si>
  <si>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</si>
  <si>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</si>
  <si>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</si>
  <si>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</si>
  <si>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</si>
  <si>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</si>
  <si>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</si>
  <si>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</si>
  <si>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</si>
  <si>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</si>
  <si>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</si>
  <si>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</si>
  <si>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</si>
  <si>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</si>
  <si>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</si>
  <si>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</si>
  <si>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</si>
  <si>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</si>
  <si>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</si>
  <si>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</si>
  <si>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</si>
  <si>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</si>
  <si>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</si>
  <si>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</si>
  <si>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</si>
  <si>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</si>
  <si>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</si>
  <si>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</si>
  <si>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</si>
  <si>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</si>
  <si>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</si>
  <si>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</si>
  <si>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</si>
  <si>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</si>
  <si>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</si>
  <si>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</si>
  <si>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</si>
  <si>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</si>
  <si>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</si>
  <si>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</si>
  <si>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</si>
  <si>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</si>
  <si>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</si>
  <si>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</si>
  <si>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</si>
  <si>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</si>
  <si>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</si>
  <si>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</si>
  <si>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</si>
  <si>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</si>
  <si>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</si>
  <si>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</si>
  <si>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</si>
  <si>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</si>
  <si>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</si>
  <si>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</si>
  <si>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</si>
  <si>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</si>
  <si>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</si>
  <si>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</si>
  <si>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</si>
  <si>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</si>
  <si>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</si>
  <si>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</si>
  <si>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</si>
  <si>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</si>
  <si>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</si>
  <si>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</si>
  <si>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</si>
  <si>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</si>
  <si>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</si>
  <si>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</si>
  <si>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</si>
  <si>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</si>
  <si>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</si>
  <si>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</si>
  <si>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</si>
  <si>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</si>
  <si>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</si>
  <si>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</si>
  <si>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</si>
  <si>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</si>
  <si>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</si>
  <si>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</si>
  <si>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</si>
  <si>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</si>
  <si>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</si>
  <si>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</si>
  <si>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</si>
  <si>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</si>
  <si>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</si>
  <si>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</si>
  <si>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</si>
  <si>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</si>
  <si>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</si>
  <si>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</si>
  <si>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</si>
  <si>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</si>
  <si>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</si>
  <si>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</si>
  <si>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</si>
  <si>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</si>
  <si>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</si>
  <si>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</si>
  <si>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</si>
  <si>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</si>
  <si>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</si>
  <si>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</si>
  <si>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</si>
  <si>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</si>
  <si>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</si>
  <si>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</si>
  <si>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</si>
  <si>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</si>
  <si>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</si>
  <si>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</si>
  <si>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</si>
  <si>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</si>
  <si>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</si>
  <si>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</si>
  <si>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</si>
  <si>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</si>
  <si>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</si>
  <si>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</si>
  <si>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</si>
  <si>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</si>
  <si>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</si>
  <si>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</si>
  <si>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</si>
  <si>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</si>
  <si>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</si>
  <si>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</si>
  <si>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</si>
  <si>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</si>
  <si>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</si>
  <si>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</si>
  <si>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</si>
  <si>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</si>
  <si>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</si>
  <si>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</si>
  <si>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</si>
  <si>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</si>
  <si>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</si>
  <si>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</si>
  <si>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</si>
  <si>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</si>
  <si>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</si>
  <si>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</si>
  <si>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</si>
  <si>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</si>
  <si>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</si>
  <si>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</si>
  <si>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</si>
  <si>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</si>
  <si>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</si>
  <si>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</si>
  <si>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</si>
  <si>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</si>
  <si>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</si>
  <si>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</si>
  <si>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</si>
  <si>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</si>
  <si>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</si>
  <si>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</si>
  <si>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</si>
  <si>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</si>
  <si>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</si>
  <si>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</si>
  <si>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</si>
  <si>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</si>
  <si>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</si>
  <si>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</si>
  <si>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</si>
  <si>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</si>
  <si>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</si>
  <si>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</si>
  <si>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</si>
  <si>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</si>
  <si>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</si>
  <si>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</si>
  <si>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</si>
  <si>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</si>
  <si>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</si>
  <si>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</si>
  <si>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</si>
  <si>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</si>
  <si>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</si>
  <si>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</si>
  <si>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</si>
  <si>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</si>
  <si>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</si>
  <si>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</si>
  <si>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</si>
  <si>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</si>
  <si>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</si>
  <si>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</si>
  <si>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</si>
  <si>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</si>
  <si>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</si>
  <si>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</si>
  <si>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</si>
  <si>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</si>
  <si>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</si>
  <si>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</si>
  <si>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</si>
  <si>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</si>
  <si>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</si>
  <si>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</si>
  <si>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</si>
  <si>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</si>
  <si>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</si>
  <si>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</si>
  <si>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</si>
  <si>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</si>
  <si>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</si>
  <si>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</si>
  <si>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</si>
  <si>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</si>
  <si>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</si>
  <si>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</si>
  <si>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</si>
  <si>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</si>
  <si>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</si>
  <si>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</si>
  <si>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</si>
  <si>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</si>
  <si>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</si>
  <si>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</si>
  <si>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</si>
  <si>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</si>
  <si>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</si>
  <si>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</si>
  <si>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</si>
  <si>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</si>
  <si>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</si>
  <si>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</si>
  <si>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</si>
  <si>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Zeshan</t>
  </si>
  <si>
    <t>Address: DHA</t>
  </si>
  <si>
    <t>Defence Store</t>
  </si>
  <si>
    <t xml:space="preserve">Allys </t>
  </si>
  <si>
    <t>Trust Store</t>
  </si>
  <si>
    <t>Shahab Store</t>
  </si>
  <si>
    <t>Al Makkah Store</t>
  </si>
  <si>
    <t>MS Store</t>
  </si>
  <si>
    <t>Maharaja Store</t>
  </si>
  <si>
    <t xml:space="preserve">Hasna Mart </t>
  </si>
  <si>
    <t>Ghos Store</t>
  </si>
  <si>
    <t xml:space="preserve">Luqman Bakers </t>
  </si>
  <si>
    <t>Pakistan Store</t>
  </si>
  <si>
    <t>Abdullah Store</t>
  </si>
  <si>
    <t>Besta Store</t>
  </si>
  <si>
    <t xml:space="preserve">KS Mart </t>
  </si>
  <si>
    <t>Hafiz Store</t>
  </si>
  <si>
    <t>Rehman Store</t>
  </si>
  <si>
    <t>Ghani Store</t>
  </si>
  <si>
    <t>Tariq Store</t>
  </si>
  <si>
    <t xml:space="preserve">Shaid Sweets </t>
  </si>
  <si>
    <t>MashaAllah Store</t>
  </si>
  <si>
    <t>Bravo Store</t>
  </si>
  <si>
    <t>Ali Store</t>
  </si>
  <si>
    <t>786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</si>
</sst>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6" priority="7" stopIfTrue="1" operator="lessThan">
      <formula>1</formula>
    </cfRule>
  </conditionalFormatting>
  <conditionalFormatting sqref="A6:D67">
    <cfRule type="cellIs" dxfId="5" priority="4" stopIfTrue="1" operator="lessThan">
      <formula>1</formula>
    </cfRule>
  </conditionalFormatting>
  <conditionalFormatting sqref="A68:D70">
    <cfRule type="cellIs" dxfId="4" priority="1" stopIfTrue="1" operator="lessThan">
      <formula>1</formula>
    </cfRule>
  </conditionalFormatting>
  <conditionalFormatting sqref="A159:D163">
    <cfRule type="cellIs" dxfId="3" priority="6" stopIfTrue="1" operator="lessThan">
      <formula>1</formula>
    </cfRule>
  </conditionalFormatting>
  <conditionalFormatting sqref="A170:D172">
    <cfRule type="cellIs" dxfId="2" priority="5" stopIfTrue="1" operator="lessThan">
      <formula>1</formula>
    </cfRule>
  </conditionalFormatting>
  <conditionalFormatting sqref="D1:D3 D71:D1048576 D6:D67">
    <cfRule type="duplicateValues" dxfId="1" priority="2"/>
  </conditionalFormatting>
  <conditionalFormatting sqref="D6:D66">
    <cfRule type="duplicateValues" dxfId="0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0" workbookViewId="0">
      <selection sqref="A1:T3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46268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Defence Store</v>
      </c>
      <c r="T3" s="301">
        <f>+'1'!P35</f>
        <v>470.43173776271186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Allys </v>
      </c>
      <c r="T4" s="301">
        <f>+'2'!P35</f>
        <v>470.43173776271186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Trust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Shahab Store</v>
      </c>
      <c r="T6" s="301">
        <f>+'4'!P35</f>
        <v>3077.8090250847458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Al Makkah Store</v>
      </c>
      <c r="T7" s="301">
        <f>+'5'!P35</f>
        <v>46167.135376271181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MS Store</v>
      </c>
      <c r="T8" s="301">
        <f>+'6'!P35</f>
        <v>3136.2115850847458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11</v>
      </c>
      <c r="I9" s="236">
        <f t="shared" si="0"/>
        <v>577.08749999999998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46.167000000000002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20.198062500000002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510.72243749999996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109.06779661016944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3.0989511705508472</v>
      </c>
      <c r="P9" s="311">
        <f t="shared" si="2"/>
        <v>622.88918528072031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Maharaja Store</v>
      </c>
      <c r="T9" s="301">
        <f>+'7'!P35</f>
        <v>470.43173776271186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295</v>
      </c>
      <c r="I10" s="236">
        <f t="shared" si="0"/>
        <v>21428.799999999999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2026.6560000000002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750.00800000000015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18652.135999999999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4050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113.51068000000001</v>
      </c>
      <c r="P10" s="311">
        <f t="shared" si="2"/>
        <v>22815.646679999998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15</v>
      </c>
      <c r="R10" s="314">
        <v>8</v>
      </c>
      <c r="S10" s="300" t="str">
        <f>+'8'!A6:A6</f>
        <v xml:space="preserve">Hasna Mart </v>
      </c>
      <c r="T10" s="301">
        <f>+'8'!P35</f>
        <v>470.43173776271186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320</v>
      </c>
      <c r="I11" s="236">
        <f t="shared" si="0"/>
        <v>23244.799999999999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2164.6720000000005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813.5680000000001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20266.559999999998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4393.2203389830511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123.29890169491526</v>
      </c>
      <c r="P11" s="311">
        <f t="shared" si="2"/>
        <v>24783.079240677962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19</v>
      </c>
      <c r="R11" s="314">
        <v>9</v>
      </c>
      <c r="S11" s="300" t="str">
        <f>+'9'!A6:A6</f>
        <v>Ghos Store</v>
      </c>
      <c r="T11" s="301">
        <f>+'9'!P35</f>
        <v>12623.251629966104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345</v>
      </c>
      <c r="I12" s="236">
        <f t="shared" si="0"/>
        <v>25060.799999999999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2317.2160000000003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877.12800000000004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21866.455999999998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4736.4406779661012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133.0144833898305</v>
      </c>
      <c r="P12" s="311">
        <f t="shared" si="2"/>
        <v>26735.911161355929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25</v>
      </c>
      <c r="R12" s="314">
        <v>10</v>
      </c>
      <c r="S12" s="300" t="str">
        <f>+'10'!A6:A6</f>
        <v xml:space="preserve">Luqman Bakers </v>
      </c>
      <c r="T12" s="301">
        <f>+'10'!P35</f>
        <v>24620.374223999996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590</v>
      </c>
      <c r="I13" s="236">
        <f t="shared" si="0"/>
        <v>23145.7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1157.2850000000001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810.09950000000015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1180.4306999999999</v>
      </c>
      <c r="M13" s="230">
        <f t="shared" si="1"/>
        <v>19997.8848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4499.9999999999973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122.48942399999999</v>
      </c>
      <c r="P13" s="311">
        <f t="shared" si="2"/>
        <v>24620.374223999996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Pakistan Store</v>
      </c>
      <c r="T13" s="301">
        <f>+'11'!P35</f>
        <v>470.43173776271186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Abdullah Store</v>
      </c>
      <c r="T14" s="301">
        <f>+'12'!P35</f>
        <v>235.21586888135593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Besta Store</v>
      </c>
      <c r="T15" s="301">
        <f>+'13'!P35</f>
        <v>235.21586888135593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39.024999999999999</v>
      </c>
      <c r="H16" s="113">
        <f t="shared" ref="H16:M16" si="3">SUM(H7:H15)</f>
        <v>1561</v>
      </c>
      <c r="I16" s="114">
        <f t="shared" si="3"/>
        <v>93457.1875</v>
      </c>
      <c r="J16" s="274">
        <f>SUM(J7:J15)</f>
        <v>7711.996000000001</v>
      </c>
      <c r="K16" s="275">
        <f t="shared" si="3"/>
        <v>3271.0015625000005</v>
      </c>
      <c r="L16" s="276">
        <f t="shared" si="3"/>
        <v>1180.4306999999999</v>
      </c>
      <c r="M16" s="232">
        <f t="shared" si="3"/>
        <v>81293.759237499995</v>
      </c>
      <c r="N16" s="233">
        <f>SUM(N7:N15)</f>
        <v>17788.728813559319</v>
      </c>
      <c r="O16" s="101">
        <f>SUM(O7:O15)</f>
        <v>495.41244025529659</v>
      </c>
      <c r="P16" s="113">
        <f>SUM(P7:P15)</f>
        <v>99577.90049131462</v>
      </c>
      <c r="Q16" s="128">
        <f>SUM(Q7:Q15)</f>
        <v>59</v>
      </c>
      <c r="R16" s="314">
        <v>14</v>
      </c>
      <c r="S16" s="318" t="str">
        <f>+'14'!A6:A6</f>
        <v xml:space="preserve">KS Mart </v>
      </c>
      <c r="T16" s="301">
        <f>+'14'!P35</f>
        <v>235.21586888135593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Hafiz Store</v>
      </c>
      <c r="T17" s="301">
        <f>+'15'!P35</f>
        <v>392.02644813559323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Rehman Store</v>
      </c>
      <c r="T18" s="301">
        <f>+'16'!P35</f>
        <v>392.02644813559323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93457.1875</v>
      </c>
      <c r="R19" s="299">
        <v>17</v>
      </c>
      <c r="S19" s="300" t="str">
        <f>+'17'!A6:A6</f>
        <v>Ghani Store</v>
      </c>
      <c r="T19" s="301">
        <f>+'17'!P35</f>
        <v>392.02644813559323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7711.996000000001</v>
      </c>
      <c r="R20" s="299">
        <v>18</v>
      </c>
      <c r="S20" s="300" t="str">
        <f>+'18'!A6:A6</f>
        <v>Tariq Store</v>
      </c>
      <c r="T20" s="301">
        <f>+'18'!P35</f>
        <v>392.02644813559323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4451.4322625000004</v>
      </c>
      <c r="R21" s="299">
        <v>19</v>
      </c>
      <c r="S21" s="300" t="str">
        <f>+'19'!A6:A6</f>
        <v xml:space="preserve">Shaid Sweets </v>
      </c>
      <c r="T21" s="301">
        <f>+'19'!P35</f>
        <v>3136.2115850847458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81293.759237499995</v>
      </c>
      <c r="R22" s="299">
        <v>20</v>
      </c>
      <c r="S22" s="300" t="str">
        <f>+'20'!A6:A6</f>
        <v>MashaAllah Store</v>
      </c>
      <c r="T22" s="301">
        <f>+'20'!P35</f>
        <v>392.02644813559323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17788.728813559319</v>
      </c>
      <c r="R23" s="299">
        <v>21</v>
      </c>
      <c r="S23" s="300" t="str">
        <f>+'21'!A6:A6</f>
        <v>Bravo Store</v>
      </c>
      <c r="T23" s="301">
        <f>+'21'!P35</f>
        <v>392.02644813559323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99082.488051059307</v>
      </c>
      <c r="R24" s="299">
        <v>22</v>
      </c>
      <c r="S24" s="300" t="str">
        <f>+'22'!A6:A6</f>
        <v>Ali Store</v>
      </c>
      <c r="T24" s="301">
        <f>+'22'!P35</f>
        <v>392.02644813559323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495.41244025529659</v>
      </c>
      <c r="R25" s="299">
        <v>23</v>
      </c>
      <c r="S25" s="300" t="str">
        <f>+'23'!A6:A6</f>
        <v>786 Store</v>
      </c>
      <c r="T25" s="301">
        <f>+'23'!P35</f>
        <v>392.02644813559323</v>
      </c>
    </row>
    <row r="26" spans="1:20" ht="21.75" customHeight="1" thickBot="1" x14ac:dyDescent="0.4">
      <c r="N26" s="345" t="s">
        <v>88</v>
      </c>
      <c r="O26" s="346"/>
      <c r="P26" s="297">
        <f>+P24+P25</f>
        <v>99577.900491314605</v>
      </c>
      <c r="R26" s="299">
        <v>24</v>
      </c>
      <c r="S26" s="300" t="str">
        <f>+'24'!A6:A6</f>
        <v>Hafiz Store</v>
      </c>
      <c r="T26" s="301">
        <f>+'24'!P35</f>
        <v>622.88918528072031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99577.900491314635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7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7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6</v>
      </c>
      <c r="I25" s="114">
        <f t="shared" ref="I25:M25" si="10">SUM(I16:I24)</f>
        <v>435.84000000000003</v>
      </c>
      <c r="J25" s="274">
        <f>SUM(J16:J24)</f>
        <v>34.867200000000004</v>
      </c>
      <c r="K25" s="275">
        <f t="shared" si="10"/>
        <v>15.254400000000002</v>
      </c>
      <c r="L25" s="276">
        <f t="shared" si="10"/>
        <v>0</v>
      </c>
      <c r="M25" s="232">
        <f t="shared" si="10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H20" sqref="H20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108.96</v>
      </c>
      <c r="K19" s="128">
        <f t="shared" si="1"/>
        <v>38.136000000000003</v>
      </c>
      <c r="L19" s="119">
        <f t="shared" si="1"/>
        <v>0</v>
      </c>
      <c r="M19" s="230">
        <f t="shared" si="2"/>
        <v>942.50399999999991</v>
      </c>
      <c r="N19" s="277">
        <f t="shared" si="3"/>
        <v>205.93220338983053</v>
      </c>
      <c r="O19" s="239">
        <f t="shared" si="4"/>
        <v>5.7421810169491527</v>
      </c>
      <c r="P19" s="311">
        <f t="shared" si="5"/>
        <v>1154.1783844067797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72.64</v>
      </c>
      <c r="K20" s="128">
        <f t="shared" si="1"/>
        <v>25.424000000000003</v>
      </c>
      <c r="L20" s="119">
        <f t="shared" si="1"/>
        <v>0</v>
      </c>
      <c r="M20" s="230">
        <f t="shared" si="2"/>
        <v>628.33600000000001</v>
      </c>
      <c r="N20" s="277">
        <f t="shared" si="3"/>
        <v>137.28813559322035</v>
      </c>
      <c r="O20" s="239">
        <f t="shared" si="4"/>
        <v>3.8281206779661017</v>
      </c>
      <c r="P20" s="311">
        <f t="shared" si="5"/>
        <v>769.45225627118646</v>
      </c>
      <c r="Q20" s="156"/>
      <c r="R20">
        <f>P20/21</f>
        <v>36.640583631961263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108.96</v>
      </c>
      <c r="K21" s="128">
        <f t="shared" si="1"/>
        <v>38.136000000000003</v>
      </c>
      <c r="L21" s="119">
        <f t="shared" si="1"/>
        <v>0</v>
      </c>
      <c r="M21" s="230">
        <f t="shared" si="2"/>
        <v>942.50399999999991</v>
      </c>
      <c r="N21" s="277">
        <f t="shared" si="3"/>
        <v>205.93220338983053</v>
      </c>
      <c r="O21" s="239">
        <f t="shared" si="4"/>
        <v>5.7421810169491527</v>
      </c>
      <c r="P21" s="311">
        <f t="shared" si="5"/>
        <v>1154.1783844067797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290.56</v>
      </c>
      <c r="K25" s="275">
        <f t="shared" si="7"/>
        <v>101.696</v>
      </c>
      <c r="L25" s="276">
        <f t="shared" si="7"/>
        <v>0</v>
      </c>
      <c r="M25" s="232">
        <f t="shared" si="7"/>
        <v>2513.3440000000001</v>
      </c>
      <c r="N25" s="233">
        <f>SUM(N16:N24)</f>
        <v>549.15254237288138</v>
      </c>
      <c r="O25" s="101">
        <f>SUM(O16:O24)</f>
        <v>15.312482711864408</v>
      </c>
      <c r="P25" s="113">
        <f>SUM(P16:P24)</f>
        <v>3077.8090250847463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290.56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2513.3440000000001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3062.4965423728813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15.312482711864407</v>
      </c>
    </row>
    <row r="35" spans="2:16" ht="15.75" customHeight="1" thickBot="1" x14ac:dyDescent="0.4">
      <c r="N35" s="345" t="s">
        <v>88</v>
      </c>
      <c r="O35" s="346"/>
      <c r="P35" s="297">
        <f>+P33+P34</f>
        <v>3077.8090250847458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0"/>
        <v>14528</v>
      </c>
      <c r="J19" s="272">
        <f t="shared" si="1"/>
        <v>1452.8000000000002</v>
      </c>
      <c r="K19" s="128">
        <f t="shared" si="1"/>
        <v>508.48000000000008</v>
      </c>
      <c r="L19" s="119">
        <f t="shared" si="1"/>
        <v>0</v>
      </c>
      <c r="M19" s="230">
        <f t="shared" si="2"/>
        <v>12566.72</v>
      </c>
      <c r="N19" s="277">
        <f t="shared" si="3"/>
        <v>2745.7627118644068</v>
      </c>
      <c r="O19" s="239">
        <f t="shared" si="4"/>
        <v>76.562413559322039</v>
      </c>
      <c r="P19" s="311">
        <f t="shared" si="5"/>
        <v>15389.045125423729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0"/>
        <v>14528</v>
      </c>
      <c r="J20" s="272">
        <f t="shared" si="1"/>
        <v>1452.8000000000002</v>
      </c>
      <c r="K20" s="128">
        <f t="shared" si="1"/>
        <v>508.48000000000008</v>
      </c>
      <c r="L20" s="119">
        <f t="shared" si="1"/>
        <v>0</v>
      </c>
      <c r="M20" s="230">
        <f t="shared" si="2"/>
        <v>12566.72</v>
      </c>
      <c r="N20" s="277">
        <f t="shared" si="3"/>
        <v>2745.7627118644068</v>
      </c>
      <c r="O20" s="239">
        <f t="shared" si="4"/>
        <v>76.562413559322039</v>
      </c>
      <c r="P20" s="311">
        <f t="shared" si="5"/>
        <v>15389.045125423729</v>
      </c>
      <c r="Q20" s="156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0"/>
        <v>14528</v>
      </c>
      <c r="J21" s="272">
        <f t="shared" si="1"/>
        <v>1452.8000000000002</v>
      </c>
      <c r="K21" s="128">
        <f t="shared" si="1"/>
        <v>508.48000000000008</v>
      </c>
      <c r="L21" s="119">
        <f t="shared" si="1"/>
        <v>0</v>
      </c>
      <c r="M21" s="230">
        <f t="shared" si="2"/>
        <v>12566.72</v>
      </c>
      <c r="N21" s="277">
        <f t="shared" si="3"/>
        <v>2745.7627118644068</v>
      </c>
      <c r="O21" s="239">
        <f t="shared" si="4"/>
        <v>76.562413559322039</v>
      </c>
      <c r="P21" s="311">
        <f t="shared" si="5"/>
        <v>15389.045125423729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600</v>
      </c>
      <c r="I25" s="114">
        <f t="shared" si="7"/>
        <v>43584</v>
      </c>
      <c r="J25" s="274">
        <f>SUM(J16:J24)</f>
        <v>4358.4000000000005</v>
      </c>
      <c r="K25" s="275">
        <f t="shared" si="7"/>
        <v>1525.4400000000003</v>
      </c>
      <c r="L25" s="276">
        <f t="shared" si="7"/>
        <v>0</v>
      </c>
      <c r="M25" s="232">
        <f t="shared" si="7"/>
        <v>37700.159999999996</v>
      </c>
      <c r="N25" s="233">
        <f>SUM(N16:N24)</f>
        <v>8237.2881355932204</v>
      </c>
      <c r="O25" s="101">
        <f>SUM(O16:O24)</f>
        <v>229.68724067796612</v>
      </c>
      <c r="P25" s="113">
        <f>SUM(P16:P24)</f>
        <v>46167.135376271188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43584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4358.4000000000005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1525.4400000000003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37700.159999999996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8237.2881355932204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45937.448135593215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229.68724067796609</v>
      </c>
    </row>
    <row r="35" spans="2:16" ht="15.75" customHeight="1" thickBot="1" x14ac:dyDescent="0.4">
      <c r="N35" s="345" t="s">
        <v>88</v>
      </c>
      <c r="O35" s="346"/>
      <c r="P35" s="297">
        <f>+P33+P34</f>
        <v>46167.135376271181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8" workbookViewId="0">
      <selection activeCell="Q19" sqref="Q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f>40-15</f>
        <v>25</v>
      </c>
      <c r="I19" s="236">
        <f t="shared" si="0"/>
        <v>1816</v>
      </c>
      <c r="J19" s="272">
        <f t="shared" si="1"/>
        <v>145.28</v>
      </c>
      <c r="K19" s="128">
        <f t="shared" si="1"/>
        <v>63.560000000000009</v>
      </c>
      <c r="L19" s="119">
        <f t="shared" si="1"/>
        <v>0</v>
      </c>
      <c r="M19" s="230">
        <f t="shared" si="2"/>
        <v>1607.16</v>
      </c>
      <c r="N19" s="277">
        <f t="shared" si="3"/>
        <v>343.22033898305085</v>
      </c>
      <c r="O19" s="239">
        <f t="shared" si="4"/>
        <v>9.7519016949152544</v>
      </c>
      <c r="P19" s="311">
        <f t="shared" si="5"/>
        <v>1960.1322406779661</v>
      </c>
      <c r="Q19" s="156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f>80-9</f>
        <v>71</v>
      </c>
      <c r="I20" s="236">
        <f t="shared" si="0"/>
        <v>5157.4399999999996</v>
      </c>
      <c r="J20" s="272">
        <f t="shared" si="1"/>
        <v>412.59519999999998</v>
      </c>
      <c r="K20" s="128">
        <f t="shared" si="1"/>
        <v>180.5104</v>
      </c>
      <c r="L20" s="119">
        <f t="shared" si="1"/>
        <v>0</v>
      </c>
      <c r="M20" s="230">
        <f t="shared" si="2"/>
        <v>4564.3343999999997</v>
      </c>
      <c r="N20" s="277">
        <f t="shared" si="3"/>
        <v>974.74576271186447</v>
      </c>
      <c r="O20" s="239">
        <f t="shared" si="4"/>
        <v>27.695400813559324</v>
      </c>
      <c r="P20" s="311">
        <f t="shared" si="5"/>
        <v>5566.7755635254234</v>
      </c>
      <c r="Q20" s="156">
        <v>9</v>
      </c>
      <c r="R20">
        <f>P20/21</f>
        <v>265.0845506440678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f>80-15</f>
        <v>65</v>
      </c>
      <c r="I21" s="236">
        <f t="shared" si="0"/>
        <v>4721.6000000000004</v>
      </c>
      <c r="J21" s="272">
        <f t="shared" si="1"/>
        <v>377.72800000000001</v>
      </c>
      <c r="K21" s="128">
        <f t="shared" si="1"/>
        <v>165.25600000000003</v>
      </c>
      <c r="L21" s="119">
        <f t="shared" si="1"/>
        <v>0</v>
      </c>
      <c r="M21" s="230">
        <f t="shared" si="2"/>
        <v>4178.616</v>
      </c>
      <c r="N21" s="277">
        <f t="shared" si="3"/>
        <v>892.37288135593224</v>
      </c>
      <c r="O21" s="239">
        <f t="shared" si="4"/>
        <v>25.354944406779659</v>
      </c>
      <c r="P21" s="311">
        <f t="shared" si="5"/>
        <v>5096.3438257627113</v>
      </c>
      <c r="Q21" s="156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161</v>
      </c>
      <c r="I25" s="114">
        <f t="shared" si="7"/>
        <v>11695.04</v>
      </c>
      <c r="J25" s="274">
        <f>SUM(J16:J24)</f>
        <v>935.60320000000002</v>
      </c>
      <c r="K25" s="275">
        <f t="shared" si="7"/>
        <v>409.32640000000004</v>
      </c>
      <c r="L25" s="276">
        <f t="shared" si="7"/>
        <v>0</v>
      </c>
      <c r="M25" s="232">
        <f t="shared" si="7"/>
        <v>10350.1104</v>
      </c>
      <c r="N25" s="233">
        <f>SUM(N16:N24)</f>
        <v>2210.3389830508477</v>
      </c>
      <c r="O25" s="101">
        <f>SUM(O16:O24)</f>
        <v>62.802246915254237</v>
      </c>
      <c r="P25" s="113">
        <f>SUM(P16:P24)</f>
        <v>12623.2516299661</v>
      </c>
      <c r="Q25" s="128">
        <f>SUM(Q16:Q24)</f>
        <v>39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11695.04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935.60320000000002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409.32640000000004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10350.110400000001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2210.3389830508477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12560.449383050849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62.802246915254244</v>
      </c>
    </row>
    <row r="35" spans="2:16" ht="15.75" customHeight="1" thickBot="1" x14ac:dyDescent="0.4">
      <c r="N35" s="345" t="s">
        <v>88</v>
      </c>
      <c r="O35" s="346"/>
      <c r="P35" s="297">
        <f>+P33+P34</f>
        <v>12623.251629966104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B8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590</v>
      </c>
      <c r="I22" s="236">
        <f t="shared" si="0"/>
        <v>23145.7</v>
      </c>
      <c r="J22" s="272">
        <f t="shared" si="1"/>
        <v>1157.2850000000001</v>
      </c>
      <c r="K22" s="128">
        <f t="shared" si="1"/>
        <v>810.09950000000015</v>
      </c>
      <c r="L22" s="119">
        <f t="shared" si="1"/>
        <v>1180.4306999999999</v>
      </c>
      <c r="M22" s="230">
        <f t="shared" si="2"/>
        <v>19997.8848</v>
      </c>
      <c r="N22" s="277">
        <f t="shared" si="3"/>
        <v>4499.9999999999973</v>
      </c>
      <c r="O22" s="239">
        <f t="shared" si="4"/>
        <v>122.48942399999999</v>
      </c>
      <c r="P22" s="311">
        <f t="shared" si="5"/>
        <v>24620.374223999996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590</v>
      </c>
      <c r="I25" s="114">
        <f t="shared" si="7"/>
        <v>23145.7</v>
      </c>
      <c r="J25" s="274">
        <f>SUM(J16:J24)</f>
        <v>1157.2850000000001</v>
      </c>
      <c r="K25" s="275">
        <f t="shared" si="7"/>
        <v>810.09950000000015</v>
      </c>
      <c r="L25" s="276">
        <f t="shared" si="7"/>
        <v>1180.4306999999999</v>
      </c>
      <c r="M25" s="232">
        <f t="shared" si="7"/>
        <v>19997.8848</v>
      </c>
      <c r="N25" s="233">
        <f>SUM(N16:N24)</f>
        <v>4499.9999999999973</v>
      </c>
      <c r="O25" s="101">
        <f>SUM(O16:O24)</f>
        <v>122.48942399999999</v>
      </c>
      <c r="P25" s="113">
        <f>SUM(P16:P24)</f>
        <v>24620.374223999996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23145.7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1157.2850000000001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1990.5302000000001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19997.8848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4499.9999999999973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24497.884799999996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122.48942399999999</v>
      </c>
    </row>
    <row r="35" spans="2:16" ht="15.75" customHeight="1" thickBot="1" x14ac:dyDescent="0.4">
      <c r="N35" s="345" t="s">
        <v>88</v>
      </c>
      <c r="O35" s="346"/>
      <c r="P35" s="297">
        <f>+P33+P34</f>
        <v>24620.374223999996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7.6272000000000011</v>
      </c>
      <c r="L25" s="276">
        <f t="shared" si="7"/>
        <v>0</v>
      </c>
      <c r="M25" s="232">
        <f t="shared" si="7"/>
        <v>192.85920000000002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217.92000000000002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17.433600000000002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7.6272000000000011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192.85920000000002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234.04564067796611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45" t="s">
        <v>88</v>
      </c>
      <c r="O35" s="346"/>
      <c r="P35" s="297">
        <f>+P33+P34</f>
        <v>235.21586888135593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7.6272000000000011</v>
      </c>
      <c r="L25" s="276">
        <f t="shared" si="7"/>
        <v>0</v>
      </c>
      <c r="M25" s="232">
        <f t="shared" si="7"/>
        <v>192.85920000000002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217.92000000000002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17.433600000000002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7.6272000000000011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192.85920000000002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234.04564067796611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45" t="s">
        <v>88</v>
      </c>
      <c r="O35" s="346"/>
      <c r="P35" s="297">
        <f>+P33+P34</f>
        <v>235.21586888135593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7.6272000000000011</v>
      </c>
      <c r="L25" s="276">
        <f t="shared" si="7"/>
        <v>0</v>
      </c>
      <c r="M25" s="232">
        <f t="shared" si="7"/>
        <v>192.85920000000002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217.92000000000002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17.433600000000002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7.6272000000000011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192.85920000000002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234.04564067796611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45" t="s">
        <v>88</v>
      </c>
      <c r="O35" s="346"/>
      <c r="P35" s="297">
        <f>+P33+P34</f>
        <v>235.21586888135593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8.75" customHeight="1" x14ac:dyDescent="0.4">
      <c r="A6" s="399" t="s">
        <v>534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536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537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11</v>
      </c>
      <c r="I18" s="236">
        <f t="shared" si="0"/>
        <v>577.08749999999998</v>
      </c>
      <c r="J18" s="272">
        <f t="shared" si="1"/>
        <v>46.167000000000002</v>
      </c>
      <c r="K18" s="128">
        <f t="shared" si="1"/>
        <v>20.198062500000002</v>
      </c>
      <c r="L18" s="119">
        <f t="shared" si="1"/>
        <v>0</v>
      </c>
      <c r="M18" s="230">
        <f t="shared" si="2"/>
        <v>510.72243749999996</v>
      </c>
      <c r="N18" s="277">
        <f t="shared" si="3"/>
        <v>109.06779661016944</v>
      </c>
      <c r="O18" s="239">
        <f t="shared" si="4"/>
        <v>3.0989511705508472</v>
      </c>
      <c r="P18" s="311">
        <f t="shared" si="5"/>
        <v>622.88918528072031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11</v>
      </c>
      <c r="I25" s="114">
        <f t="shared" si="7"/>
        <v>577.08749999999998</v>
      </c>
      <c r="J25" s="274">
        <f>SUM(J16:J24)</f>
        <v>46.167000000000002</v>
      </c>
      <c r="K25" s="275">
        <f t="shared" si="7"/>
        <v>20.198062500000002</v>
      </c>
      <c r="L25" s="276">
        <f t="shared" si="7"/>
        <v>0</v>
      </c>
      <c r="M25" s="232">
        <f t="shared" si="7"/>
        <v>510.72243749999996</v>
      </c>
      <c r="N25" s="233">
        <f>SUM(N16:N24)</f>
        <v>109.06779661016944</v>
      </c>
      <c r="O25" s="101">
        <f>SUM(O16:O24)</f>
        <v>3.0989511705508472</v>
      </c>
      <c r="P25" s="113">
        <f>SUM(P16:P24)</f>
        <v>622.88918528072031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577.08749999999998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46.167000000000002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20.198062500000002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510.72243749999996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109.06779661016944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619.79023411016942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3.0989511705508472</v>
      </c>
    </row>
    <row r="35" spans="2:16" ht="15.75" customHeight="1" thickBot="1" x14ac:dyDescent="0.4">
      <c r="N35" s="345" t="s">
        <v>88</v>
      </c>
      <c r="O35" s="346"/>
      <c r="P35" s="297">
        <f>+P33+P34</f>
        <v>622.88918528072031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46269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46268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51" priority="1" stopIfTrue="1" operator="lessThan">
      <formula>1</formula>
    </cfRule>
  </conditionalFormatting>
  <conditionalFormatting sqref="C3:C5">
    <cfRule type="duplicateValues" dxfId="50" priority="2"/>
  </conditionalFormatting>
  <conditionalFormatting sqref="C7 C9:C11 C15:C17 C22:C25">
    <cfRule type="cellIs" dxfId="49" priority="22" stopIfTrue="1" operator="lessThan">
      <formula>1</formula>
    </cfRule>
  </conditionalFormatting>
  <conditionalFormatting sqref="C9:C11">
    <cfRule type="duplicateValues" dxfId="48" priority="52"/>
  </conditionalFormatting>
  <conditionalFormatting sqref="C13">
    <cfRule type="cellIs" dxfId="47" priority="18" stopIfTrue="1" operator="lessThan">
      <formula>1</formula>
    </cfRule>
  </conditionalFormatting>
  <conditionalFormatting sqref="C15:C17">
    <cfRule type="duplicateValues" dxfId="46" priority="58"/>
  </conditionalFormatting>
  <conditionalFormatting sqref="C20">
    <cfRule type="cellIs" dxfId="45" priority="14" stopIfTrue="1" operator="lessThan">
      <formula>1</formula>
    </cfRule>
  </conditionalFormatting>
  <conditionalFormatting sqref="C22:C25">
    <cfRule type="duplicateValues" dxfId="44" priority="45"/>
  </conditionalFormatting>
  <conditionalFormatting sqref="C27">
    <cfRule type="cellIs" dxfId="43" priority="10" stopIfTrue="1" operator="lessThan">
      <formula>1</formula>
    </cfRule>
  </conditionalFormatting>
  <conditionalFormatting sqref="C29:C31">
    <cfRule type="cellIs" dxfId="42" priority="3" stopIfTrue="1" operator="lessThan">
      <formula>1</formula>
    </cfRule>
    <cfRule type="duplicateValues" dxfId="41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40" priority="1" stopIfTrue="1" operator="lessThan">
      <formula>1</formula>
    </cfRule>
  </conditionalFormatting>
  <conditionalFormatting sqref="B3:B5">
    <cfRule type="duplicateValues" dxfId="39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8" priority="30"/>
  </conditionalFormatting>
  <conditionalFormatting sqref="G35:G41 G44:G52">
    <cfRule type="duplicateValues" dxfId="37" priority="32"/>
  </conditionalFormatting>
  <conditionalFormatting sqref="G42">
    <cfRule type="duplicateValues" dxfId="36" priority="24"/>
    <cfRule type="duplicateValues" dxfId="35" priority="25"/>
  </conditionalFormatting>
  <conditionalFormatting sqref="G43">
    <cfRule type="duplicateValues" dxfId="34" priority="28"/>
    <cfRule type="duplicateValues" dxfId="33" priority="29"/>
  </conditionalFormatting>
  <conditionalFormatting sqref="G44">
    <cfRule type="duplicateValues" dxfId="32" priority="26"/>
    <cfRule type="duplicateValues" dxfId="31" priority="27"/>
  </conditionalFormatting>
  <conditionalFormatting sqref="G46">
    <cfRule type="duplicateValues" dxfId="30" priority="31"/>
  </conditionalFormatting>
  <conditionalFormatting sqref="G65:G102 G104:G118">
    <cfRule type="duplicateValues" dxfId="29" priority="21"/>
  </conditionalFormatting>
  <conditionalFormatting sqref="G95:G102 G104:G112">
    <cfRule type="duplicateValues" dxfId="28" priority="23"/>
  </conditionalFormatting>
  <conditionalFormatting sqref="G103">
    <cfRule type="duplicateValues" dxfId="27" priority="19"/>
    <cfRule type="duplicateValues" dxfId="26" priority="20"/>
  </conditionalFormatting>
  <conditionalFormatting sqref="G104">
    <cfRule type="duplicateValues" dxfId="25" priority="17"/>
    <cfRule type="duplicateValues" dxfId="24" priority="18"/>
  </conditionalFormatting>
  <conditionalFormatting sqref="G106">
    <cfRule type="duplicateValues" dxfId="23" priority="22"/>
  </conditionalFormatting>
  <conditionalFormatting sqref="G125:G162 G164:G178">
    <cfRule type="duplicateValues" dxfId="22" priority="14"/>
  </conditionalFormatting>
  <conditionalFormatting sqref="G155:G162 G164:G172">
    <cfRule type="duplicateValues" dxfId="21" priority="16"/>
  </conditionalFormatting>
  <conditionalFormatting sqref="G163">
    <cfRule type="duplicateValues" dxfId="20" priority="12"/>
    <cfRule type="duplicateValues" dxfId="19" priority="13"/>
  </conditionalFormatting>
  <conditionalFormatting sqref="G164">
    <cfRule type="duplicateValues" dxfId="18" priority="10"/>
    <cfRule type="duplicateValues" dxfId="17" priority="11"/>
  </conditionalFormatting>
  <conditionalFormatting sqref="G166">
    <cfRule type="duplicateValues" dxfId="16" priority="15"/>
  </conditionalFormatting>
  <conditionalFormatting sqref="G203">
    <cfRule type="duplicateValues" dxfId="15" priority="4"/>
  </conditionalFormatting>
  <conditionalFormatting sqref="G204">
    <cfRule type="duplicateValues" dxfId="14" priority="3"/>
  </conditionalFormatting>
  <conditionalFormatting sqref="G215:G222 G225:G232">
    <cfRule type="duplicateValues" dxfId="13" priority="9"/>
  </conditionalFormatting>
  <conditionalFormatting sqref="G223">
    <cfRule type="duplicateValues" dxfId="12" priority="5"/>
    <cfRule type="duplicateValues" dxfId="11" priority="6"/>
  </conditionalFormatting>
  <conditionalFormatting sqref="G224">
    <cfRule type="duplicateValues" dxfId="10" priority="1"/>
    <cfRule type="duplicateValues" dxfId="9" priority="2"/>
  </conditionalFormatting>
  <conditionalFormatting sqref="G225:G232 G185:G202 G205:G222 G236:G238">
    <cfRule type="duplicateValues" dxfId="8" priority="7"/>
  </conditionalFormatting>
  <conditionalFormatting sqref="G226">
    <cfRule type="duplicateValues" dxfId="7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2026-09-03T12:26:21Z</dcterms:modified>
</cp:coreProperties>
</file>