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47B450-BD8B-4E64-B6E1-9ED75919735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<sst xmlns="http://schemas.openxmlformats.org/spreadsheetml/2006/main" count="3918" uniqueCount="517">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</sst>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Swera Store</v>
      </c>
      <c r="T3" s="301">
        <f>+'1'!P35</f>
        <v>27342.469040211865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</v>
      </c>
      <c r="H16" s="113">
        <f t="shared" ref="H16:M16" si="3">SUM(H7:H15)</f>
        <v>440</v>
      </c>
      <c r="I16" s="114">
        <f t="shared" si="3"/>
        <v>26311.9</v>
      </c>
      <c r="J16" s="274">
        <f>SUM(J7:J15)</f>
        <v>3157.4279999999999</v>
      </c>
      <c r="K16" s="275">
        <f t="shared" si="3"/>
        <v>920.91650000000016</v>
      </c>
      <c r="L16" s="276">
        <f t="shared" si="3"/>
        <v>0</v>
      </c>
      <c r="M16" s="232">
        <f t="shared" si="3"/>
        <v>22233.555500000002</v>
      </c>
      <c r="N16" s="233">
        <f>SUM(N7:N15)</f>
        <v>4972.8813559322016</v>
      </c>
      <c r="O16" s="101">
        <f>SUM(O7:O15)</f>
        <v>136.03218427966101</v>
      </c>
      <c r="P16" s="113">
        <f>SUM(P7:P15)</f>
        <v>27342.469040211865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26311.9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3157.4279999999999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920.91650000000016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22233.555500000002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4972.8813559322016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27206.436855932203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136.03218427966101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27342.469040211865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27342.469040211865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26311.9</v>
      </c>
      <c r="J25" s="274">
        <f>SUM(J16:J24)</f>
        <v>3157.4279999999999</v>
      </c>
      <c r="K25" s="275">
        <f t="shared" si="10"/>
        <v>920.91650000000016</v>
      </c>
      <c r="L25" s="276">
        <f t="shared" si="10"/>
        <v>0</v>
      </c>
      <c r="M25" s="232">
        <f t="shared" si="10"/>
        <v>22233.555500000002</v>
      </c>
      <c r="N25" s="233">
        <f>SUM(N16:N24)</f>
        <v>4972.8813559322016</v>
      </c>
      <c r="O25" s="101">
        <f>SUM(O16:O24)</f>
        <v>136.03218427966101</v>
      </c>
      <c r="P25" s="113">
        <f>SUM(P16:P24)</f>
        <v>27342.469040211865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26311.9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3157.4279999999999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920.91650000000016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22233.555500000002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4972.8813559322016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27206.436855932203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136.03218427966101</v>
      </c>
    </row>
    <row r="35" spans="2:16" ht="15.75" customHeight="1" thickBot="1" x14ac:dyDescent="0.4">
      <c r="N35" s="345" t="s">
        <v>88</v>
      </c>
      <c r="O35" s="346"/>
      <c r="P35" s="297">
        <f>+P33+P34</f>
        <v>27342.469040211865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2026-09-08T07:11:10Z</dcterms:modified>
</cp:coreProperties>
</file>