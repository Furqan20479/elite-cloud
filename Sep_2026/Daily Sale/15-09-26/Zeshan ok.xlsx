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37C72CC1-A5C6-40C1-AB01-0356DC19D1D0}" xr6:coauthVersionLast="47" xr6:coauthVersionMax="47" xr10:uidLastSave="{00000000-0000-0000-0000-000000000000}"/>
  <bookViews>
    <workbookView xWindow="-110" yWindow="-110" windowWidth="19420" windowHeight="10420" tabRatio="948" firstSheet="3" activeTab="26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55" l="1"/>
  <c r="N4" i="69"/>
  <c r="N5" i="69" s="1"/>
  <c r="N4" i="65"/>
  <c r="N5" i="65" s="1"/>
  <c r="N4" i="60"/>
  <c r="N4" i="52"/>
  <c r="N4" i="44"/>
  <c r="N4" i="72"/>
  <c r="N5" i="72" s="1"/>
  <c r="N4" i="71"/>
  <c r="N5" i="71" s="1"/>
  <c r="N4" i="54"/>
  <c r="N5" i="54" s="1"/>
  <c r="N4" i="66"/>
  <c r="N5" i="66" s="1"/>
  <c r="N4" i="49"/>
  <c r="N4" i="43"/>
  <c r="N5" i="43" s="1"/>
  <c r="N4" i="56"/>
  <c r="N5" i="56" s="1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M20" i="48" s="1"/>
  <c r="O20" i="48" s="1"/>
  <c r="P20" i="48" s="1"/>
  <c r="R20" i="48" s="1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K20" i="61"/>
  <c r="J20" i="61"/>
  <c r="M20" i="61" s="1"/>
  <c r="O20" i="61" s="1"/>
  <c r="P20" i="61" s="1"/>
  <c r="R20" i="61" s="1"/>
  <c r="L20" i="6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2" i="64" l="1"/>
  <c r="O22" i="64" s="1"/>
  <c r="P22" i="64" s="1"/>
  <c r="M17" i="61"/>
  <c r="O17" i="61" s="1"/>
  <c r="P17" i="61" s="1"/>
  <c r="J25" i="61"/>
  <c r="P29" i="61" s="1"/>
  <c r="K12" i="62"/>
  <c r="M20" i="57"/>
  <c r="O20" i="57" s="1"/>
  <c r="P20" i="57" s="1"/>
  <c r="R20" i="57" s="1"/>
  <c r="J7" i="62"/>
  <c r="M20" i="47"/>
  <c r="O20" i="47" s="1"/>
  <c r="P20" i="47" s="1"/>
  <c r="R20" i="47" s="1"/>
  <c r="M16" i="44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<sst xmlns="http://schemas.openxmlformats.org/spreadsheetml/2006/main" count="3948" uniqueCount="537">
  <si>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</si>
  <si>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</si>
  <si>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</si>
  <si>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</si>
  <si>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</si>
  <si>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</si>
  <si>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</si>
  <si>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</si>
  <si>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</si>
  <si>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</si>
  <si>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</si>
  <si>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</si>
  <si>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</si>
  <si>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</si>
  <si>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</si>
  <si>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</si>
  <si>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</si>
  <si>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</si>
  <si>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</si>
  <si>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</si>
  <si>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</si>
  <si>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</si>
  <si>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</si>
  <si>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</si>
  <si>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</si>
  <si>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</si>
  <si>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</si>
  <si>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</si>
  <si>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</si>
  <si>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</si>
  <si>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</si>
  <si>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</si>
  <si>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</si>
  <si>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</si>
  <si>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</si>
  <si>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</si>
  <si>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</si>
  <si>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</si>
  <si>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</si>
  <si>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</si>
  <si>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</si>
  <si>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</si>
  <si>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</si>
  <si>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</si>
  <si>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</si>
  <si>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</si>
  <si>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</si>
  <si>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</si>
  <si>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</si>
  <si>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</si>
  <si>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</si>
  <si>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</si>
  <si>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</si>
  <si>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</si>
  <si>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</si>
  <si>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</si>
  <si>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</si>
  <si>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</si>
  <si>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</si>
  <si>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</si>
  <si>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</si>
  <si>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</si>
  <si>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</si>
  <si>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</si>
  <si>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</si>
  <si>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</si>
  <si>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</si>
  <si>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</si>
  <si>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</si>
  <si>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</si>
  <si>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</si>
  <si>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</si>
  <si>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</si>
  <si>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</si>
  <si>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</si>
  <si>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</si>
  <si>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</si>
  <si>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</si>
  <si>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</si>
  <si>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</si>
  <si>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</si>
  <si>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</si>
  <si>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</si>
  <si>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</si>
  <si>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</si>
  <si>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</si>
  <si>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</si>
  <si>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</si>
  <si>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</si>
  <si>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</si>
  <si>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</si>
  <si>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</si>
  <si>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</si>
  <si>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</si>
  <si>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</si>
  <si>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</si>
  <si>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</si>
  <si>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</si>
  <si>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</si>
  <si>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</si>
  <si>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</si>
  <si>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</si>
  <si>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</si>
  <si>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</si>
  <si>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</si>
  <si>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</si>
  <si>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</si>
  <si>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</si>
  <si>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</si>
  <si>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</si>
  <si>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</si>
  <si>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</si>
  <si>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</si>
  <si>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</si>
  <si>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</si>
  <si>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</si>
  <si>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</si>
  <si>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</si>
  <si>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</si>
  <si>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</si>
  <si>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</si>
  <si>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</si>
  <si>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</si>
  <si>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</si>
  <si>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</si>
  <si>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</si>
  <si>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</si>
  <si>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</si>
  <si>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</si>
  <si>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</si>
  <si>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</si>
  <si>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</si>
  <si>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</si>
  <si>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</si>
  <si>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</si>
  <si>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</si>
  <si>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</si>
  <si>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</si>
  <si>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</si>
  <si>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</si>
  <si>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</si>
  <si>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</si>
  <si>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</si>
  <si>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</si>
  <si>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</si>
  <si>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</si>
  <si>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</si>
  <si>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</si>
  <si>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</si>
  <si>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</si>
  <si>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</si>
  <si>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</si>
  <si>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</si>
  <si>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</si>
  <si>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</si>
  <si>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</si>
  <si>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</si>
  <si>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</si>
  <si>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</si>
  <si>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</si>
  <si>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</si>
  <si>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</si>
  <si>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</si>
  <si>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</si>
  <si>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</si>
  <si>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</si>
  <si>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</si>
  <si>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</si>
  <si>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</si>
  <si>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</si>
  <si>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</si>
  <si>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</si>
  <si>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</si>
  <si>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</si>
  <si>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</si>
  <si>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</si>
  <si>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</si>
  <si>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</si>
  <si>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</si>
  <si>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</si>
  <si>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</si>
  <si>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</si>
  <si>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</si>
  <si>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</si>
  <si>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</si>
  <si>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</si>
  <si>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</si>
  <si>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</si>
  <si>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</si>
  <si>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</si>
  <si>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</si>
  <si>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</si>
  <si>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</si>
  <si>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</si>
  <si>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</si>
  <si>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</si>
  <si>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</si>
  <si>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</si>
  <si>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</si>
  <si>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</si>
  <si>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</si>
  <si>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</si>
  <si>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</si>
  <si>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</si>
  <si>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</si>
  <si>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</si>
  <si>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</si>
  <si>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</si>
  <si>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</si>
  <si>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</si>
  <si>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</si>
  <si>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</si>
  <si>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</si>
  <si>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</si>
  <si>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</si>
  <si>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</si>
  <si>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</si>
  <si>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</si>
  <si>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</si>
  <si>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</si>
  <si>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</si>
  <si>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</si>
  <si>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</si>
  <si>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</si>
  <si>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</si>
  <si>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</si>
  <si>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</si>
  <si>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</si>
  <si>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</si>
  <si>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</si>
  <si>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</si>
  <si>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</si>
  <si>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</si>
  <si>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</si>
  <si>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</si>
  <si>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</si>
  <si>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</si>
  <si>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</si>
  <si>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</si>
  <si>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</si>
  <si>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</si>
  <si>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</si>
  <si>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</si>
  <si>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</si>
  <si>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</si>
  <si>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</si>
  <si>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</si>
  <si>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</si>
  <si>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</si>
  <si>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</si>
  <si>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</si>
  <si>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</si>
  <si>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</si>
  <si>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</si>
  <si>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</si>
  <si>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</si>
  <si>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</si>
  <si>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</si>
  <si>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</si>
  <si>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</si>
  <si>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</si>
  <si>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</si>
  <si>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</si>
  <si>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</si>
  <si>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</si>
  <si>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</si>
  <si>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</si>
  <si>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</si>
  <si>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</si>
  <si>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</si>
  <si>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</si>
  <si>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</si>
  <si>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</si>
  <si>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</si>
  <si>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</si>
  <si>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</si>
  <si>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</si>
  <si>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</si>
  <si>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</si>
  <si>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</si>
  <si>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</si>
  <si>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</si>
  <si>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</si>
  <si>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</si>
  <si>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</si>
  <si>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</si>
  <si>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</si>
  <si>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</si>
  <si>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</si>
  <si>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</si>
  <si>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</si>
  <si>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</si>
  <si>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</si>
  <si>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</si>
  <si>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</si>
  <si>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</si>
  <si>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</si>
  <si>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</si>
  <si>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</si>
  <si>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</si>
  <si>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</si>
  <si>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</si>
  <si>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</si>
  <si>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</si>
  <si>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</si>
  <si>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</si>
  <si>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</si>
  <si>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</si>
  <si>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</si>
  <si>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</si>
  <si>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</si>
  <si>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</si>
  <si>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</si>
  <si>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</si>
  <si>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</si>
  <si>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</si>
  <si>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</si>
  <si>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</si>
  <si>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</si>
  <si>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</si>
  <si>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</si>
  <si>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</si>
  <si>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</si>
  <si>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</si>
  <si>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</si>
  <si>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</si>
  <si>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</si>
  <si>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</si>
  <si>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</si>
  <si>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</si>
  <si>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</si>
  <si>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</si>
  <si>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</si>
  <si>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</si>
  <si>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</si>
  <si>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</si>
  <si>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</si>
  <si>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</si>
  <si>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</si>
  <si>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</si>
  <si>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</si>
  <si>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</si>
  <si>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</si>
  <si>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</si>
  <si>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</si>
  <si>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</si>
  <si>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</si>
  <si>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</si>
  <si>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</si>
  <si>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</si>
  <si>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</si>
  <si>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</si>
  <si>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</si>
  <si>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</si>
  <si>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</si>
  <si>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</si>
  <si>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</si>
  <si>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</si>
  <si>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</si>
  <si>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</si>
  <si>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</si>
  <si>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</si>
  <si>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</si>
  <si>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</si>
  <si>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</si>
  <si>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</si>
  <si>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</si>
  <si>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</si>
  <si>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</si>
  <si>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</si>
  <si>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</si>
  <si>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</si>
  <si>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</si>
  <si>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</si>
  <si>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</si>
  <si>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</si>
  <si>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</si>
  <si>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</si>
  <si>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</si>
  <si>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</si>
  <si>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</si>
  <si>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</si>
  <si>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</si>
  <si>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</si>
  <si>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</si>
  <si>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</si>
  <si>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</si>
  <si>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</si>
  <si>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</si>
  <si>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</si>
  <si>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</si>
  <si>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</si>
  <si>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</si>
  <si>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</si>
  <si>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</si>
  <si>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</si>
  <si>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</si>
  <si>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</si>
  <si>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</si>
  <si>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</si>
  <si>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</si>
  <si>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</si>
  <si>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</si>
  <si>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</si>
  <si>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</si>
  <si>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</si>
  <si>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</si>
  <si>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</si>
  <si>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</si>
  <si>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</si>
  <si>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</si>
  <si>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</si>
  <si>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</si>
  <si>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</si>
  <si>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</si>
  <si>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</si>
  <si>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</si>
  <si>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</si>
  <si>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</si>
  <si>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</si>
  <si>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</si>
  <si>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</si>
  <si>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</si>
  <si>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</si>
  <si>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</si>
  <si>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</si>
  <si>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</si>
  <si>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</si>
  <si>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</si>
  <si>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</si>
  <si>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</si>
  <si>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</si>
  <si>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</si>
  <si>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</si>
  <si>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</si>
  <si>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</si>
  <si>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</si>
  <si>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</si>
  <si>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</si>
  <si>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</si>
  <si>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</si>
  <si>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</si>
  <si>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</si>
  <si>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</si>
  <si>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</si>
  <si>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</si>
  <si>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</si>
  <si>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</si>
  <si>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</si>
  <si>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</si>
  <si>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</si>
  <si>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</si>
  <si>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</si>
  <si>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</si>
  <si>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</si>
  <si>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</si>
  <si>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</si>
  <si>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</si>
  <si>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</si>
  <si>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</si>
  <si>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</si>
  <si>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</si>
  <si>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</si>
  <si>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</si>
  <si>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</si>
  <si>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</si>
  <si>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</si>
  <si>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</si>
  <si>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</si>
  <si>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</si>
  <si>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</si>
  <si>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</si>
  <si>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</si>
  <si>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</si>
  <si>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</si>
  <si>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</si>
  <si>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</si>
  <si>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</si>
  <si>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</si>
  <si>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</si>
  <si>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</si>
  <si>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</si>
  <si>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</si>
  <si>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</si>
  <si>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</si>
  <si>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</si>
  <si>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</si>
  <si>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</si>
  <si>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</si>
  <si>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</si>
  <si>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</si>
  <si>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</si>
  <si>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</si>
  <si>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</si>
  <si>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</si>
  <si>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</si>
  <si>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</si>
  <si>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</si>
  <si>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</si>
  <si>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</si>
  <si>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</si>
  <si>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</si>
  <si>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</si>
  <si>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</si>
  <si>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</si>
  <si>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</si>
  <si>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</si>
  <si>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</si>
  <si>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</si>
  <si>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</si>
  <si>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</si>
  <si>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</si>
  <si>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</si>
  <si>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>Zesahn</t>
  </si>
  <si>
    <t xml:space="preserve">Mirch Mahel </t>
  </si>
  <si>
    <t>Address: Rifal Range Road</t>
  </si>
  <si>
    <t>A one Store</t>
  </si>
  <si>
    <t>Bhatti Store</t>
  </si>
  <si>
    <t>786 Store</t>
  </si>
  <si>
    <t>Sheikh Store</t>
  </si>
  <si>
    <t xml:space="preserve">Bread And Butter </t>
  </si>
  <si>
    <t>Khan Store</t>
  </si>
  <si>
    <t>Hyper Store</t>
  </si>
  <si>
    <t>Best Store</t>
  </si>
  <si>
    <t>Shamza Store</t>
  </si>
  <si>
    <t>Khwaja Store</t>
  </si>
  <si>
    <t>Awan Store</t>
  </si>
  <si>
    <t>Mirza Store</t>
  </si>
  <si>
    <t xml:space="preserve">Al Makkah </t>
  </si>
  <si>
    <t>Shbeer Store</t>
  </si>
  <si>
    <t>Ahmad Store</t>
  </si>
  <si>
    <t>Rehman Store</t>
  </si>
  <si>
    <t>Ashraf Store</t>
  </si>
  <si>
    <t>786 Stroe</t>
  </si>
  <si>
    <t>Hadi Store</t>
  </si>
  <si>
    <t>Rana Store</t>
  </si>
  <si>
    <t>Azan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</si>
</sst>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workbookViewId="0">
      <selection activeCell="S4" sqref="S4:S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498</v>
      </c>
      <c r="F2" s="357"/>
      <c r="G2" s="357"/>
      <c r="H2" s="354" t="s">
        <v>513</v>
      </c>
      <c r="I2" s="354"/>
      <c r="J2" s="355"/>
      <c r="R2" s="351" t="s">
        <v>497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508</v>
      </c>
      <c r="F3" s="361"/>
      <c r="G3" s="361"/>
      <c r="H3" s="358">
        <v>46280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 xml:space="preserve">Mirch Mahel </v>
      </c>
      <c r="T3" s="301">
        <f>+'1'!P35</f>
        <v>0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A one Store</v>
      </c>
      <c r="T4" s="301">
        <f>+'2'!P35</f>
        <v>283.13144785487287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Bhatti Store</v>
      </c>
      <c r="T5" s="301">
        <f>+'3'!P35</f>
        <v>283.13144785487287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786 Store</v>
      </c>
      <c r="T6" s="301">
        <f>+'4'!P35</f>
        <v>283.13144785487287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106</v>
      </c>
      <c r="I7" s="235">
        <f>(G7*D7)*F7+H7*F7</f>
        <v>5561.0249999999996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444.88199999999995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194.635875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4921.5071250000001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1051.0169491525419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29.862620370762709</v>
      </c>
      <c r="P7" s="310">
        <f>M7+N7+O7</f>
        <v>6002.3866945233049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24</v>
      </c>
      <c r="R7" s="313">
        <v>5</v>
      </c>
      <c r="S7" s="300" t="str">
        <f>+'5'!A6:A6</f>
        <v>Sheikh Store</v>
      </c>
      <c r="T7" s="301">
        <f>+'5'!P35</f>
        <v>283.13144785487287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86</v>
      </c>
      <c r="I8" s="236">
        <f t="shared" ref="I8:I14" si="0">(G8*D8)*F8+H8*F8</f>
        <v>4511.7749999999996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360.94199999999995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157.912125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3992.9208749999998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852.71186440677923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24.228163697033896</v>
      </c>
      <c r="P8" s="311">
        <f t="shared" ref="P8:P15" si="2">M8+N8+O8</f>
        <v>4869.8609031038131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24</v>
      </c>
      <c r="R8" s="313">
        <v>6</v>
      </c>
      <c r="S8" s="300" t="str">
        <f>+'6'!A6:A6</f>
        <v xml:space="preserve">Bread And Butter </v>
      </c>
      <c r="T8" s="301">
        <f>+'6'!P35</f>
        <v>7070.4410814152552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Khan Store</v>
      </c>
      <c r="T9" s="301">
        <f>+'7'!P35</f>
        <v>2352.1586888135594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40</v>
      </c>
      <c r="I10" s="236">
        <f t="shared" si="0"/>
        <v>2905.6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232.44799999999998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101.696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2571.4560000000001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549.15254237288138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15.603042711864408</v>
      </c>
      <c r="P10" s="311">
        <f t="shared" si="2"/>
        <v>3136.2115850847458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Hyper Store</v>
      </c>
      <c r="T10" s="301">
        <f>+'8'!P35</f>
        <v>226.50515828389825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42</v>
      </c>
      <c r="I11" s="236">
        <f t="shared" si="0"/>
        <v>3050.88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244.07040000000001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106.78080000000001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2700.0288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576.61016949152543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16.383194847457627</v>
      </c>
      <c r="P11" s="311">
        <f t="shared" si="2"/>
        <v>3293.0221643389832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Best Store</v>
      </c>
      <c r="T11" s="301">
        <f>+'9'!P35</f>
        <v>226.50515828389825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52</v>
      </c>
      <c r="I12" s="236">
        <f t="shared" si="0"/>
        <v>3777.28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302.18240000000003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132.20480000000001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3342.8928000000001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713.89830508474574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20.283955525423728</v>
      </c>
      <c r="P12" s="311">
        <f t="shared" si="2"/>
        <v>4077.0750606101697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Shamza Store</v>
      </c>
      <c r="T12" s="301">
        <f>+'10'!P35</f>
        <v>283.13144785487287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83</v>
      </c>
      <c r="I13" s="236">
        <f t="shared" si="0"/>
        <v>3256.09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162.80450000000005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113.96315000000003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166.06058999999996</v>
      </c>
      <c r="M13" s="230">
        <f t="shared" si="1"/>
        <v>2813.2617600000003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633.05084745762667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17.231563037288137</v>
      </c>
      <c r="P13" s="311">
        <f t="shared" si="2"/>
        <v>3463.5441704949153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24</v>
      </c>
      <c r="R13" s="313">
        <v>11</v>
      </c>
      <c r="S13" s="300" t="str">
        <f>+'11'!A6:A6</f>
        <v>Khwaja Store</v>
      </c>
      <c r="T13" s="301">
        <f>+'11'!P35</f>
        <v>283.13144785487287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Awan Store</v>
      </c>
      <c r="T14" s="301">
        <f>+'12'!P35</f>
        <v>283.13144785487287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Mirza Store</v>
      </c>
      <c r="T15" s="301">
        <f>+'13'!P35</f>
        <v>283.13144785487287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10.225</v>
      </c>
      <c r="H16" s="113">
        <f t="shared" ref="H16:M16" si="3">SUM(H7:H15)</f>
        <v>409</v>
      </c>
      <c r="I16" s="114">
        <f t="shared" si="3"/>
        <v>23062.649999999998</v>
      </c>
      <c r="J16" s="274">
        <f>SUM(J7:J15)</f>
        <v>1747.3293000000001</v>
      </c>
      <c r="K16" s="275">
        <f t="shared" si="3"/>
        <v>807.19275000000005</v>
      </c>
      <c r="L16" s="276">
        <f t="shared" si="3"/>
        <v>166.06058999999996</v>
      </c>
      <c r="M16" s="232">
        <f t="shared" si="3"/>
        <v>20342.067360000001</v>
      </c>
      <c r="N16" s="233">
        <f>SUM(N7:N15)</f>
        <v>4376.4406779661003</v>
      </c>
      <c r="O16" s="101">
        <f>SUM(O7:O15)</f>
        <v>123.59254018983052</v>
      </c>
      <c r="P16" s="113">
        <f>SUM(P7:P15)</f>
        <v>24842.100578155929</v>
      </c>
      <c r="Q16" s="128">
        <f>SUM(Q7:Q15)</f>
        <v>72</v>
      </c>
      <c r="R16" s="313">
        <v>14</v>
      </c>
      <c r="S16" s="315" t="str">
        <f>+'14'!A6:A6</f>
        <v xml:space="preserve">Al Makkah </v>
      </c>
      <c r="T16" s="301">
        <f>+'14'!P35</f>
        <v>2265.051582838983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Shbeer Store</v>
      </c>
      <c r="T17" s="301">
        <f>+'15'!P35</f>
        <v>208.64723918644069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Ahmad Store</v>
      </c>
      <c r="T18" s="301">
        <f>+'16'!P35</f>
        <v>1881.7269510508474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23062.649999999998</v>
      </c>
      <c r="R19" s="299">
        <v>17</v>
      </c>
      <c r="S19" s="300" t="str">
        <f>+'17'!A6:A6</f>
        <v>Rehman Store</v>
      </c>
      <c r="T19" s="301">
        <f>+'17'!P35</f>
        <v>500.75337404745761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1747.3293000000001</v>
      </c>
      <c r="R20" s="299">
        <v>18</v>
      </c>
      <c r="S20" s="300" t="str">
        <f>+'18'!A6:A6</f>
        <v>Ashraf Store</v>
      </c>
      <c r="T20" s="301">
        <f>+'18'!P35</f>
        <v>208.64723918644069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973.25333999999998</v>
      </c>
      <c r="R21" s="299">
        <v>19</v>
      </c>
      <c r="S21" s="300" t="str">
        <f>+'19'!A6:A6</f>
        <v>786 Stroe</v>
      </c>
      <c r="T21" s="301">
        <f>+'19'!P35</f>
        <v>166.91779134915254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20342.067359999997</v>
      </c>
      <c r="R22" s="299">
        <v>20</v>
      </c>
      <c r="S22" s="300" t="str">
        <f>+'20'!A6:A6</f>
        <v>Hadi Store</v>
      </c>
      <c r="T22" s="301">
        <f>+'20'!P35</f>
        <v>5401.2631679237284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4376.4406779661003</v>
      </c>
      <c r="R23" s="299">
        <v>21</v>
      </c>
      <c r="S23" s="300" t="str">
        <f>+'21'!A6:A6</f>
        <v>Rana Store</v>
      </c>
      <c r="T23" s="301">
        <f>+'21'!P35</f>
        <v>1859.7843237508473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24718.508037966098</v>
      </c>
      <c r="R24" s="299">
        <v>22</v>
      </c>
      <c r="S24" s="300" t="str">
        <f>+'22'!A6:A6</f>
        <v>Azan Store</v>
      </c>
      <c r="T24" s="301">
        <f>+'22'!P35</f>
        <v>208.64723918644069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123.59254018983052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24842.100578155929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24842.100578155925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activeCell="F9" sqref="F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Summary!H3</f>
        <v>46280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46279</v>
      </c>
      <c r="O5" s="370"/>
      <c r="P5" s="370"/>
      <c r="R5" s="85"/>
      <c r="S5" s="266"/>
    </row>
    <row r="6" spans="1:22 16383:16384" ht="17.2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Zesahn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>
        <v>24</v>
      </c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>
        <v>24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>
        <v>24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0</v>
      </c>
      <c r="I25" s="114">
        <f t="shared" ref="I25:M25" si="10">SUM(I16:I24)</f>
        <v>0</v>
      </c>
      <c r="J25" s="274">
        <f>SUM(J16:J24)</f>
        <v>0</v>
      </c>
      <c r="K25" s="275">
        <f t="shared" si="10"/>
        <v>0</v>
      </c>
      <c r="L25" s="276">
        <f t="shared" si="10"/>
        <v>0</v>
      </c>
      <c r="M25" s="232">
        <f t="shared" si="10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72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6" workbookViewId="0">
      <selection activeCell="A25" sqref="A25:B2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46279</v>
      </c>
      <c r="O5" s="370"/>
      <c r="P5" s="370"/>
      <c r="R5" s="85"/>
      <c r="S5" s="266"/>
    </row>
    <row r="6" spans="1:22 16383:16384" ht="15" customHeight="1" x14ac:dyDescent="0.4">
      <c r="A6" s="399" t="s">
        <v>516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Zesahn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5</v>
      </c>
      <c r="I16" s="235">
        <f>(G16*D16)*F16+H16*F16</f>
        <v>262.3125</v>
      </c>
      <c r="J16" s="271">
        <f>$I16*S16</f>
        <v>20.984999999999999</v>
      </c>
      <c r="K16" s="127">
        <f>$I16*T16</f>
        <v>9.1809375000000006</v>
      </c>
      <c r="L16" s="118">
        <f>$I16*U16</f>
        <v>0</v>
      </c>
      <c r="M16" s="229">
        <f>I16-SUM(J16:L16)</f>
        <v>232.14656250000002</v>
      </c>
      <c r="N16" s="248">
        <f>+(G16*D16+H16)*V16</f>
        <v>49.576271186440657</v>
      </c>
      <c r="O16" s="238">
        <f>(N16+M16)*$O$15</f>
        <v>1.4086141684322033</v>
      </c>
      <c r="P16" s="118">
        <f>M16+N16+O16</f>
        <v>283.13144785487287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5</v>
      </c>
      <c r="I25" s="114">
        <f t="shared" si="7"/>
        <v>262.3125</v>
      </c>
      <c r="J25" s="274">
        <f>SUM(J16:J24)</f>
        <v>20.984999999999999</v>
      </c>
      <c r="K25" s="275">
        <f t="shared" si="7"/>
        <v>9.1809375000000006</v>
      </c>
      <c r="L25" s="276">
        <f t="shared" si="7"/>
        <v>0</v>
      </c>
      <c r="M25" s="232">
        <f t="shared" si="7"/>
        <v>232.14656250000002</v>
      </c>
      <c r="N25" s="233">
        <f>SUM(N16:N24)</f>
        <v>49.576271186440657</v>
      </c>
      <c r="O25" s="101">
        <f>SUM(O16:O24)</f>
        <v>1.4086141684322033</v>
      </c>
      <c r="P25" s="234">
        <f>SUM(P16:P24)</f>
        <v>283.13144785487287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262.3125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20.984999999999999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9.1809375000000006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232.14656249999999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49.576271186440657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281.72283368644065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1.4086141684322033</v>
      </c>
    </row>
    <row r="35" spans="2:16" ht="15.75" customHeight="1" thickBot="1" x14ac:dyDescent="0.4">
      <c r="N35" s="345" t="s">
        <v>88</v>
      </c>
      <c r="O35" s="346"/>
      <c r="P35" s="297">
        <f>+P33+P34</f>
        <v>283.13144785487287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46279</v>
      </c>
      <c r="O5" s="370"/>
      <c r="P5" s="370"/>
      <c r="R5" s="85"/>
      <c r="S5" s="266"/>
    </row>
    <row r="6" spans="1:22 16383:16384" ht="18.75" customHeight="1" x14ac:dyDescent="0.4">
      <c r="A6" s="399" t="s">
        <v>517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Zesahn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5</v>
      </c>
      <c r="I16" s="235">
        <f>(G16*D16)*F16+H16*F16</f>
        <v>262.3125</v>
      </c>
      <c r="J16" s="271">
        <f>$I16*S16</f>
        <v>20.984999999999999</v>
      </c>
      <c r="K16" s="127">
        <f>$I16*T16</f>
        <v>9.1809375000000006</v>
      </c>
      <c r="L16" s="118">
        <f>$I16*U16</f>
        <v>0</v>
      </c>
      <c r="M16" s="229">
        <f>I16-SUM(J16:L16)</f>
        <v>232.14656250000002</v>
      </c>
      <c r="N16" s="248">
        <f>+(G16*D16+H16)*V16</f>
        <v>49.576271186440657</v>
      </c>
      <c r="O16" s="238">
        <f>(N16+M16)*$O$15</f>
        <v>1.4086141684322033</v>
      </c>
      <c r="P16" s="118">
        <f>M16+N16+O16</f>
        <v>283.13144785487287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5</v>
      </c>
      <c r="I25" s="114">
        <f t="shared" si="7"/>
        <v>262.3125</v>
      </c>
      <c r="J25" s="274">
        <f>SUM(J16:J24)</f>
        <v>20.984999999999999</v>
      </c>
      <c r="K25" s="275">
        <f t="shared" si="7"/>
        <v>9.1809375000000006</v>
      </c>
      <c r="L25" s="276">
        <f t="shared" si="7"/>
        <v>0</v>
      </c>
      <c r="M25" s="232">
        <f t="shared" si="7"/>
        <v>232.14656250000002</v>
      </c>
      <c r="N25" s="233">
        <f>SUM(N16:N24)</f>
        <v>49.576271186440657</v>
      </c>
      <c r="O25" s="101">
        <f>SUM(O16:O24)</f>
        <v>1.4086141684322033</v>
      </c>
      <c r="P25" s="234">
        <f>SUM(P16:P24)</f>
        <v>283.13144785487287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262.3125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20.984999999999999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9.1809375000000006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232.14656249999999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49.576271186440657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281.72283368644065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1.4086141684322033</v>
      </c>
    </row>
    <row r="35" spans="2:16" ht="15.75" customHeight="1" thickBot="1" x14ac:dyDescent="0.4">
      <c r="N35" s="345" t="s">
        <v>88</v>
      </c>
      <c r="O35" s="346"/>
      <c r="P35" s="297">
        <f>+P33+P34</f>
        <v>283.13144785487287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46279</v>
      </c>
      <c r="O5" s="370"/>
      <c r="P5" s="370"/>
      <c r="R5" s="85"/>
      <c r="S5" s="266"/>
    </row>
    <row r="6" spans="1:22 16383:16384" ht="15" customHeight="1" x14ac:dyDescent="0.4">
      <c r="A6" s="399" t="s">
        <v>518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Zesahn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5</v>
      </c>
      <c r="I16" s="235">
        <f>(G16*D16)*F16+H16*F16</f>
        <v>262.3125</v>
      </c>
      <c r="J16" s="271">
        <f>$I16*S16</f>
        <v>20.984999999999999</v>
      </c>
      <c r="K16" s="127">
        <f>$I16*T16</f>
        <v>9.1809375000000006</v>
      </c>
      <c r="L16" s="118">
        <f>$I16*U16</f>
        <v>0</v>
      </c>
      <c r="M16" s="229">
        <f>I16-SUM(J16:L16)</f>
        <v>232.14656250000002</v>
      </c>
      <c r="N16" s="248">
        <f>+(G16*D16+H16)*V16</f>
        <v>49.576271186440657</v>
      </c>
      <c r="O16" s="238">
        <f>(N16+M16)*$O$15</f>
        <v>1.4086141684322033</v>
      </c>
      <c r="P16" s="118">
        <f>M16+N16+O16</f>
        <v>283.13144785487287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5</v>
      </c>
      <c r="I25" s="114">
        <f t="shared" si="7"/>
        <v>262.3125</v>
      </c>
      <c r="J25" s="274">
        <f>SUM(J16:J24)</f>
        <v>20.984999999999999</v>
      </c>
      <c r="K25" s="275">
        <f t="shared" si="7"/>
        <v>9.1809375000000006</v>
      </c>
      <c r="L25" s="276">
        <f t="shared" si="7"/>
        <v>0</v>
      </c>
      <c r="M25" s="232">
        <f t="shared" si="7"/>
        <v>232.14656250000002</v>
      </c>
      <c r="N25" s="233">
        <f>SUM(N16:N24)</f>
        <v>49.576271186440657</v>
      </c>
      <c r="O25" s="101">
        <f>SUM(O16:O24)</f>
        <v>1.4086141684322033</v>
      </c>
      <c r="P25" s="234">
        <f>SUM(P16:P24)</f>
        <v>283.13144785487287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262.3125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20.984999999999999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9.1809375000000006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232.14656249999999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49.576271186440657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281.72283368644065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1.4086141684322033</v>
      </c>
    </row>
    <row r="35" spans="2:16" ht="15.75" customHeight="1" thickBot="1" x14ac:dyDescent="0.4">
      <c r="N35" s="345" t="s">
        <v>88</v>
      </c>
      <c r="O35" s="346"/>
      <c r="P35" s="297">
        <f>+P33+P34</f>
        <v>283.13144785487287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46279</v>
      </c>
      <c r="O5" s="370"/>
      <c r="P5" s="370"/>
      <c r="R5" s="85"/>
      <c r="S5" s="266"/>
    </row>
    <row r="6" spans="1:22 16383:16384" ht="15" customHeight="1" x14ac:dyDescent="0.4">
      <c r="A6" s="399" t="s">
        <v>519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Zesahn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5</v>
      </c>
      <c r="I16" s="235">
        <f>(G16*D16)*F16+H16*F16</f>
        <v>262.3125</v>
      </c>
      <c r="J16" s="271">
        <f>$I16*S16</f>
        <v>20.984999999999999</v>
      </c>
      <c r="K16" s="127">
        <f>$I16*T16</f>
        <v>9.1809375000000006</v>
      </c>
      <c r="L16" s="118">
        <f>$I16*U16</f>
        <v>0</v>
      </c>
      <c r="M16" s="229">
        <f>I16-SUM(J16:L16)</f>
        <v>232.14656250000002</v>
      </c>
      <c r="N16" s="248">
        <f>+(G16*D16+H16)*V16</f>
        <v>49.576271186440657</v>
      </c>
      <c r="O16" s="238">
        <f>(N16+M16)*$O$15</f>
        <v>1.4086141684322033</v>
      </c>
      <c r="P16" s="118">
        <f>M16+N16+O16</f>
        <v>283.13144785487287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5</v>
      </c>
      <c r="I25" s="114">
        <f t="shared" si="7"/>
        <v>262.3125</v>
      </c>
      <c r="J25" s="274">
        <f>SUM(J16:J24)</f>
        <v>20.984999999999999</v>
      </c>
      <c r="K25" s="275">
        <f t="shared" si="7"/>
        <v>9.1809375000000006</v>
      </c>
      <c r="L25" s="276">
        <f t="shared" si="7"/>
        <v>0</v>
      </c>
      <c r="M25" s="232">
        <f t="shared" si="7"/>
        <v>232.14656250000002</v>
      </c>
      <c r="N25" s="233">
        <f>SUM(N16:N24)</f>
        <v>49.576271186440657</v>
      </c>
      <c r="O25" s="101">
        <f>SUM(O16:O24)</f>
        <v>1.4086141684322033</v>
      </c>
      <c r="P25" s="234">
        <f>SUM(P16:P24)</f>
        <v>283.13144785487287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262.3125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20.984999999999999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9.1809375000000006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232.14656249999999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49.576271186440657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281.72283368644065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1.4086141684322033</v>
      </c>
    </row>
    <row r="35" spans="2:16" ht="15.75" customHeight="1" thickBot="1" x14ac:dyDescent="0.4">
      <c r="N35" s="345" t="s">
        <v>88</v>
      </c>
      <c r="O35" s="346"/>
      <c r="P35" s="297">
        <f>+P33+P34</f>
        <v>283.13144785487287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3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'1'!N4:P5</f>
        <v>46280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46279</v>
      </c>
      <c r="O5" s="370"/>
      <c r="P5" s="370"/>
      <c r="R5" s="85"/>
      <c r="S5" s="266"/>
    </row>
    <row r="6" spans="1:22 16383:16384" ht="15" customHeight="1" x14ac:dyDescent="0.4">
      <c r="A6" s="399" t="s">
        <v>520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Zesahn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5.6344566737288133</v>
      </c>
      <c r="P16" s="118">
        <f>M16+N16+O16</f>
        <v>1132.5257914194915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83.94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928.58625000000006</v>
      </c>
      <c r="N17" s="277">
        <f t="shared" ref="N17:N24" si="3">+(G17*D17+H17)*V17</f>
        <v>198.30508474576263</v>
      </c>
      <c r="O17" s="239">
        <f t="shared" ref="O17:O24" si="4">(N17+M17)*$O$15</f>
        <v>5.6344566737288133</v>
      </c>
      <c r="P17" s="119">
        <f t="shared" ref="P17:P24" si="5">M17+N17+O17</f>
        <v>1132.5257914194915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119">
        <f t="shared" si="5"/>
        <v>1669.1779134915255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120</v>
      </c>
      <c r="I25" s="114">
        <f t="shared" si="7"/>
        <v>6573.3000000000011</v>
      </c>
      <c r="J25" s="274">
        <f>SUM(J16:J24)</f>
        <v>478.78800000000007</v>
      </c>
      <c r="K25" s="275">
        <f t="shared" si="7"/>
        <v>230.06550000000004</v>
      </c>
      <c r="L25" s="276">
        <f t="shared" si="7"/>
        <v>80.029200000000003</v>
      </c>
      <c r="M25" s="232">
        <f t="shared" si="7"/>
        <v>5784.4173000000001</v>
      </c>
      <c r="N25" s="233">
        <f>SUM(N16:N24)</f>
        <v>1250.8474576271183</v>
      </c>
      <c r="O25" s="101">
        <f>SUM(O16:O24)</f>
        <v>35.176323788135591</v>
      </c>
      <c r="P25" s="234">
        <f>SUM(P16:P24)</f>
        <v>7070.4410814152543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6573.3000000000011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478.78800000000007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310.09470000000005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5784.417300000001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1250.8474576271183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7035.2647576271193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35.176323788135598</v>
      </c>
    </row>
    <row r="35" spans="2:16" ht="15.75" customHeight="1" thickBot="1" x14ac:dyDescent="0.4">
      <c r="N35" s="345" t="s">
        <v>88</v>
      </c>
      <c r="O35" s="346"/>
      <c r="P35" s="297">
        <f>+P33+P34</f>
        <v>7070.4410814152552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46279</v>
      </c>
      <c r="O5" s="370"/>
      <c r="P5" s="370"/>
      <c r="R5" s="85"/>
      <c r="S5" s="266"/>
    </row>
    <row r="6" spans="1:22 16383:16384" ht="15" customHeight="1" x14ac:dyDescent="0.4">
      <c r="A6" s="399" t="s">
        <v>521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Zesahn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30</v>
      </c>
      <c r="I25" s="114">
        <f t="shared" si="7"/>
        <v>2179.1999999999998</v>
      </c>
      <c r="J25" s="274">
        <f>SUM(J16:J24)</f>
        <v>174.33600000000001</v>
      </c>
      <c r="K25" s="275">
        <f t="shared" si="7"/>
        <v>76.272000000000006</v>
      </c>
      <c r="L25" s="276">
        <f t="shared" si="7"/>
        <v>0</v>
      </c>
      <c r="M25" s="232">
        <f t="shared" si="7"/>
        <v>1928.5920000000001</v>
      </c>
      <c r="N25" s="233">
        <f>SUM(N16:N24)</f>
        <v>411.86440677966107</v>
      </c>
      <c r="O25" s="101">
        <f>SUM(O16:O24)</f>
        <v>11.702282033898307</v>
      </c>
      <c r="P25" s="234">
        <f>SUM(P16:P24)</f>
        <v>2352.1586888135594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2179.1999999999998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174.33600000000001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76.272000000000006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1928.5919999999999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411.86440677966107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2340.4564067796609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11.702282033898305</v>
      </c>
    </row>
    <row r="35" spans="2:16" ht="15.75" customHeight="1" thickBot="1" x14ac:dyDescent="0.4">
      <c r="N35" s="345" t="s">
        <v>88</v>
      </c>
      <c r="O35" s="346"/>
      <c r="P35" s="297">
        <f>+P33+P34</f>
        <v>2352.1586888135594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46279</v>
      </c>
      <c r="O5" s="370"/>
      <c r="P5" s="370"/>
      <c r="R5" s="85"/>
      <c r="S5" s="266"/>
    </row>
    <row r="6" spans="1:22 16383:16384" ht="15" customHeight="1" x14ac:dyDescent="0.4">
      <c r="A6" s="399" t="s">
        <v>522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Zesahn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</v>
      </c>
      <c r="I16" s="235">
        <f>(G16*D16)*F16+H16*F16</f>
        <v>209.85</v>
      </c>
      <c r="J16" s="271">
        <f>$I16*S16</f>
        <v>16.788</v>
      </c>
      <c r="K16" s="127">
        <f>$I16*T16</f>
        <v>7.3447500000000003</v>
      </c>
      <c r="L16" s="118">
        <f>$I16*U16</f>
        <v>0</v>
      </c>
      <c r="M16" s="229">
        <f>I16-SUM(J16:L16)</f>
        <v>185.71724999999998</v>
      </c>
      <c r="N16" s="248">
        <f>+(G16*D16+H16)*V16</f>
        <v>39.661016949152526</v>
      </c>
      <c r="O16" s="238">
        <f>(N16+M16)*$O$15</f>
        <v>1.1268913347457625</v>
      </c>
      <c r="P16" s="118">
        <f>M16+N16+O16</f>
        <v>226.50515828389825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</v>
      </c>
      <c r="I25" s="114">
        <f t="shared" si="7"/>
        <v>209.85</v>
      </c>
      <c r="J25" s="274">
        <f>SUM(J16:J24)</f>
        <v>16.788</v>
      </c>
      <c r="K25" s="275">
        <f t="shared" si="7"/>
        <v>7.3447500000000003</v>
      </c>
      <c r="L25" s="276">
        <f t="shared" si="7"/>
        <v>0</v>
      </c>
      <c r="M25" s="232">
        <f t="shared" si="7"/>
        <v>185.71724999999998</v>
      </c>
      <c r="N25" s="233">
        <f>SUM(N16:N24)</f>
        <v>39.661016949152526</v>
      </c>
      <c r="O25" s="101">
        <f>SUM(O16:O24)</f>
        <v>1.1268913347457625</v>
      </c>
      <c r="P25" s="234">
        <f>SUM(P16:P24)</f>
        <v>226.50515828389825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209.85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16.788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7.3447500000000003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185.71724999999998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39.661016949152526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225.3782669491525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1.1268913347457625</v>
      </c>
    </row>
    <row r="35" spans="2:16" ht="15.75" customHeight="1" thickBot="1" x14ac:dyDescent="0.4">
      <c r="N35" s="345" t="s">
        <v>88</v>
      </c>
      <c r="O35" s="346"/>
      <c r="P35" s="297">
        <f>+P33+P34</f>
        <v>226.50515828389825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46279</v>
      </c>
      <c r="O5" s="370"/>
      <c r="P5" s="370"/>
      <c r="R5" s="85"/>
      <c r="S5" s="266"/>
    </row>
    <row r="6" spans="1:22 16383:16384" ht="15" customHeight="1" x14ac:dyDescent="0.4">
      <c r="A6" s="399" t="s">
        <v>523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Zesahn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</v>
      </c>
      <c r="I17" s="236">
        <f t="shared" ref="I17:I23" si="0">(G17*D17)*F17+H17*F17</f>
        <v>209.85</v>
      </c>
      <c r="J17" s="272">
        <f t="shared" ref="J17:L24" si="1">$I17*S17</f>
        <v>16.788</v>
      </c>
      <c r="K17" s="128">
        <f>$I17*T17</f>
        <v>7.3447500000000003</v>
      </c>
      <c r="L17" s="119">
        <f>$I17*U17</f>
        <v>0</v>
      </c>
      <c r="M17" s="230">
        <f t="shared" ref="M17:M24" si="2">I17-SUM(J17:L17)</f>
        <v>185.71724999999998</v>
      </c>
      <c r="N17" s="277">
        <f t="shared" ref="N17:N24" si="3">+(G17*D17+H17)*V17</f>
        <v>39.661016949152526</v>
      </c>
      <c r="O17" s="239">
        <f t="shared" ref="O17:O24" si="4">(N17+M17)*$O$15</f>
        <v>1.1268913347457625</v>
      </c>
      <c r="P17" s="119">
        <f t="shared" ref="P17:P24" si="5">M17+N17+O17</f>
        <v>226.50515828389825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</v>
      </c>
      <c r="I25" s="114">
        <f t="shared" si="7"/>
        <v>209.85</v>
      </c>
      <c r="J25" s="274">
        <f>SUM(J16:J24)</f>
        <v>16.788</v>
      </c>
      <c r="K25" s="275">
        <f t="shared" si="7"/>
        <v>7.3447500000000003</v>
      </c>
      <c r="L25" s="276">
        <f t="shared" si="7"/>
        <v>0</v>
      </c>
      <c r="M25" s="232">
        <f t="shared" si="7"/>
        <v>185.71724999999998</v>
      </c>
      <c r="N25" s="233">
        <f>SUM(N16:N24)</f>
        <v>39.661016949152526</v>
      </c>
      <c r="O25" s="101">
        <f>SUM(O16:O24)</f>
        <v>1.1268913347457625</v>
      </c>
      <c r="P25" s="234">
        <f>SUM(P16:P24)</f>
        <v>226.50515828389825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209.85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16.788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7.3447500000000003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185.71724999999998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39.661016949152526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225.3782669491525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1.1268913347457625</v>
      </c>
    </row>
    <row r="35" spans="2:16" ht="15.75" customHeight="1" thickBot="1" x14ac:dyDescent="0.4">
      <c r="N35" s="345" t="s">
        <v>88</v>
      </c>
      <c r="O35" s="346"/>
      <c r="P35" s="297">
        <f>+P33+P34</f>
        <v>226.50515828389825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46279</v>
      </c>
      <c r="O5" s="370"/>
      <c r="P5" s="370"/>
      <c r="R5" s="85"/>
      <c r="S5" s="266"/>
    </row>
    <row r="6" spans="1:22 16383:16384" ht="15" customHeight="1" x14ac:dyDescent="0.4">
      <c r="A6" s="399" t="s">
        <v>524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Zesahn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5</v>
      </c>
      <c r="I17" s="236">
        <f t="shared" ref="I17:I23" si="0">(G17*D17)*F17+H17*F17</f>
        <v>262.3125</v>
      </c>
      <c r="J17" s="272">
        <f t="shared" ref="J17:L24" si="1">$I17*S17</f>
        <v>20.984999999999999</v>
      </c>
      <c r="K17" s="128">
        <f>$I17*T17</f>
        <v>9.1809375000000006</v>
      </c>
      <c r="L17" s="119">
        <f>$I17*U17</f>
        <v>0</v>
      </c>
      <c r="M17" s="230">
        <f t="shared" ref="M17:M24" si="2">I17-SUM(J17:L17)</f>
        <v>232.14656250000002</v>
      </c>
      <c r="N17" s="277">
        <f t="shared" ref="N17:N24" si="3">+(G17*D17+H17)*V17</f>
        <v>49.576271186440657</v>
      </c>
      <c r="O17" s="239">
        <f t="shared" ref="O17:O24" si="4">(N17+M17)*$O$15</f>
        <v>1.4086141684322033</v>
      </c>
      <c r="P17" s="119">
        <f t="shared" ref="P17:P24" si="5">M17+N17+O17</f>
        <v>283.13144785487287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5</v>
      </c>
      <c r="I25" s="114">
        <f t="shared" si="7"/>
        <v>262.3125</v>
      </c>
      <c r="J25" s="274">
        <f>SUM(J16:J24)</f>
        <v>20.984999999999999</v>
      </c>
      <c r="K25" s="275">
        <f t="shared" si="7"/>
        <v>9.1809375000000006</v>
      </c>
      <c r="L25" s="276">
        <f t="shared" si="7"/>
        <v>0</v>
      </c>
      <c r="M25" s="232">
        <f t="shared" si="7"/>
        <v>232.14656250000002</v>
      </c>
      <c r="N25" s="233">
        <f>SUM(N16:N24)</f>
        <v>49.576271186440657</v>
      </c>
      <c r="O25" s="101">
        <f>SUM(O16:O24)</f>
        <v>1.4086141684322033</v>
      </c>
      <c r="P25" s="234">
        <f>SUM(P16:P24)</f>
        <v>283.13144785487287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262.3125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20.984999999999999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9.1809375000000006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232.14656249999999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49.576271186440657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281.72283368644065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1.4086141684322033</v>
      </c>
    </row>
    <row r="35" spans="2:16" ht="15.75" customHeight="1" thickBot="1" x14ac:dyDescent="0.4">
      <c r="N35" s="345" t="s">
        <v>88</v>
      </c>
      <c r="O35" s="346"/>
      <c r="P35" s="297">
        <f>+P33+P34</f>
        <v>283.13144785487287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3" workbookViewId="0">
      <selection activeCell="A22" sqref="A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46279</v>
      </c>
      <c r="O5" s="370"/>
      <c r="P5" s="370"/>
      <c r="R5" s="85"/>
      <c r="S5" s="266"/>
    </row>
    <row r="6" spans="1:22 16383:16384" ht="15" customHeight="1" x14ac:dyDescent="0.4">
      <c r="A6" s="399" t="s">
        <v>525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Zesahn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5</v>
      </c>
      <c r="I17" s="236">
        <f t="shared" ref="I17:I23" si="0">(G17*D17)*F17+H17*F17</f>
        <v>262.3125</v>
      </c>
      <c r="J17" s="272">
        <f t="shared" ref="J17:L24" si="1">$I17*S17</f>
        <v>20.984999999999999</v>
      </c>
      <c r="K17" s="128">
        <f>$I17*T17</f>
        <v>9.1809375000000006</v>
      </c>
      <c r="L17" s="119">
        <f>$I17*U17</f>
        <v>0</v>
      </c>
      <c r="M17" s="230">
        <f t="shared" ref="M17:M24" si="2">I17-SUM(J17:L17)</f>
        <v>232.14656250000002</v>
      </c>
      <c r="N17" s="277">
        <f t="shared" ref="N17:N24" si="3">+(G17*D17+H17)*V17</f>
        <v>49.576271186440657</v>
      </c>
      <c r="O17" s="239">
        <f t="shared" ref="O17:O24" si="4">(N17+M17)*$O$15</f>
        <v>1.4086141684322033</v>
      </c>
      <c r="P17" s="119">
        <f t="shared" ref="P17:P24" si="5">M17+N17+O17</f>
        <v>283.13144785487287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5</v>
      </c>
      <c r="I25" s="114">
        <f t="shared" si="7"/>
        <v>262.3125</v>
      </c>
      <c r="J25" s="274">
        <f>SUM(J16:J24)</f>
        <v>20.984999999999999</v>
      </c>
      <c r="K25" s="275">
        <f t="shared" si="7"/>
        <v>9.1809375000000006</v>
      </c>
      <c r="L25" s="276">
        <f t="shared" si="7"/>
        <v>0</v>
      </c>
      <c r="M25" s="232">
        <f t="shared" si="7"/>
        <v>232.14656250000002</v>
      </c>
      <c r="N25" s="233">
        <f>SUM(N16:N24)</f>
        <v>49.576271186440657</v>
      </c>
      <c r="O25" s="101">
        <f>SUM(O16:O24)</f>
        <v>1.4086141684322033</v>
      </c>
      <c r="P25" s="234">
        <f>SUM(P16:P24)</f>
        <v>283.13144785487287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262.3125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20.984999999999999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9.1809375000000006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232.14656249999999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49.576271186440657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281.72283368644065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1.4086141684322033</v>
      </c>
    </row>
    <row r="35" spans="2:16" ht="15.75" customHeight="1" thickBot="1" x14ac:dyDescent="0.4">
      <c r="N35" s="345" t="s">
        <v>88</v>
      </c>
      <c r="O35" s="346"/>
      <c r="P35" s="297">
        <f>+P33+P34</f>
        <v>283.13144785487287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46279</v>
      </c>
      <c r="O5" s="370"/>
      <c r="P5" s="370"/>
      <c r="R5" s="85"/>
      <c r="S5" s="266"/>
    </row>
    <row r="6" spans="1:22 16383:16384" ht="15" customHeight="1" x14ac:dyDescent="0.4">
      <c r="A6" s="399" t="s">
        <v>526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Zesahn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5</v>
      </c>
      <c r="I17" s="236">
        <f t="shared" ref="I17:I23" si="0">(G17*D17)*F17+H17*F17</f>
        <v>262.3125</v>
      </c>
      <c r="J17" s="272">
        <f t="shared" ref="J17:L24" si="1">$I17*S17</f>
        <v>20.984999999999999</v>
      </c>
      <c r="K17" s="128">
        <f>$I17*T17</f>
        <v>9.1809375000000006</v>
      </c>
      <c r="L17" s="119">
        <f>$I17*U17</f>
        <v>0</v>
      </c>
      <c r="M17" s="230">
        <f t="shared" ref="M17:M24" si="2">I17-SUM(J17:L17)</f>
        <v>232.14656250000002</v>
      </c>
      <c r="N17" s="277">
        <f t="shared" ref="N17:N24" si="3">+(G17*D17+H17)*V17</f>
        <v>49.576271186440657</v>
      </c>
      <c r="O17" s="239">
        <f t="shared" ref="O17:O24" si="4">(N17+M17)*$O$15</f>
        <v>1.4086141684322033</v>
      </c>
      <c r="P17" s="119">
        <f t="shared" ref="P17:P24" si="5">M17+N17+O17</f>
        <v>283.13144785487287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5</v>
      </c>
      <c r="I25" s="114">
        <f t="shared" si="7"/>
        <v>262.3125</v>
      </c>
      <c r="J25" s="274">
        <f>SUM(J16:J24)</f>
        <v>20.984999999999999</v>
      </c>
      <c r="K25" s="275">
        <f t="shared" si="7"/>
        <v>9.1809375000000006</v>
      </c>
      <c r="L25" s="276">
        <f t="shared" si="7"/>
        <v>0</v>
      </c>
      <c r="M25" s="232">
        <f t="shared" si="7"/>
        <v>232.14656250000002</v>
      </c>
      <c r="N25" s="233">
        <f>SUM(N16:N24)</f>
        <v>49.576271186440657</v>
      </c>
      <c r="O25" s="101">
        <f>SUM(O16:O24)</f>
        <v>1.4086141684322033</v>
      </c>
      <c r="P25" s="234">
        <f>SUM(P16:P24)</f>
        <v>283.13144785487287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262.3125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20.984999999999999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9.1809375000000006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232.14656249999999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49.576271186440657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281.72283368644065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1.4086141684322033</v>
      </c>
    </row>
    <row r="35" spans="2:16" ht="15.75" customHeight="1" thickBot="1" x14ac:dyDescent="0.4">
      <c r="N35" s="345" t="s">
        <v>88</v>
      </c>
      <c r="O35" s="346"/>
      <c r="P35" s="297">
        <f>+P33+P34</f>
        <v>283.13144785487287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46279</v>
      </c>
      <c r="O5" s="370"/>
      <c r="P5" s="370"/>
      <c r="R5" s="85"/>
      <c r="S5" s="266"/>
    </row>
    <row r="6" spans="1:22 16383:16384" ht="15" customHeight="1" x14ac:dyDescent="0.4">
      <c r="A6" s="399" t="s">
        <v>527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Zesahn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5</v>
      </c>
      <c r="I17" s="236">
        <f t="shared" ref="I17:I23" si="0">(G17*D17)*F17+H17*F17</f>
        <v>262.3125</v>
      </c>
      <c r="J17" s="272">
        <f t="shared" ref="J17:L24" si="1">$I17*S17</f>
        <v>20.984999999999999</v>
      </c>
      <c r="K17" s="128">
        <f>$I17*T17</f>
        <v>9.1809375000000006</v>
      </c>
      <c r="L17" s="119">
        <f>$I17*U17</f>
        <v>0</v>
      </c>
      <c r="M17" s="230">
        <f t="shared" ref="M17:M24" si="2">I17-SUM(J17:L17)</f>
        <v>232.14656250000002</v>
      </c>
      <c r="N17" s="277">
        <f t="shared" ref="N17:N24" si="3">+(G17*D17+H17)*V17</f>
        <v>49.576271186440657</v>
      </c>
      <c r="O17" s="239">
        <f t="shared" ref="O17:O24" si="4">(N17+M17)*$O$15</f>
        <v>1.4086141684322033</v>
      </c>
      <c r="P17" s="119">
        <f t="shared" ref="P17:P24" si="5">M17+N17+O17</f>
        <v>283.13144785487287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5</v>
      </c>
      <c r="I25" s="114">
        <f t="shared" si="7"/>
        <v>262.3125</v>
      </c>
      <c r="J25" s="274">
        <f>SUM(J16:J24)</f>
        <v>20.984999999999999</v>
      </c>
      <c r="K25" s="275">
        <f t="shared" si="7"/>
        <v>9.1809375000000006</v>
      </c>
      <c r="L25" s="276">
        <f t="shared" si="7"/>
        <v>0</v>
      </c>
      <c r="M25" s="232">
        <f t="shared" si="7"/>
        <v>232.14656250000002</v>
      </c>
      <c r="N25" s="233">
        <f>SUM(N16:N24)</f>
        <v>49.576271186440657</v>
      </c>
      <c r="O25" s="101">
        <f>SUM(O16:O24)</f>
        <v>1.4086141684322033</v>
      </c>
      <c r="P25" s="234">
        <f>SUM(P16:P24)</f>
        <v>283.13144785487287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262.3125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20.984999999999999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9.1809375000000006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232.14656249999999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49.576271186440657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281.72283368644065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1.4086141684322033</v>
      </c>
    </row>
    <row r="35" spans="2:16" ht="15.75" customHeight="1" thickBot="1" x14ac:dyDescent="0.4">
      <c r="N35" s="345" t="s">
        <v>88</v>
      </c>
      <c r="O35" s="346"/>
      <c r="P35" s="297">
        <f>+P33+P34</f>
        <v>283.13144785487287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46279</v>
      </c>
      <c r="O5" s="370"/>
      <c r="P5" s="370"/>
      <c r="R5" s="85"/>
      <c r="S5" s="266"/>
    </row>
    <row r="6" spans="1:22 16383:16384" ht="15" customHeight="1" x14ac:dyDescent="0.4">
      <c r="A6" s="399" t="s">
        <v>528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Zesahn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30</v>
      </c>
      <c r="I16" s="235">
        <f>(G16*D16)*F16+H16*F16</f>
        <v>1573.875</v>
      </c>
      <c r="J16" s="271">
        <f>$I16*S16</f>
        <v>125.91</v>
      </c>
      <c r="K16" s="127">
        <f>$I16*T16</f>
        <v>55.085625000000007</v>
      </c>
      <c r="L16" s="118">
        <f>$I16*U16</f>
        <v>0</v>
      </c>
      <c r="M16" s="229">
        <f>I16-SUM(J16:L16)</f>
        <v>1392.879375</v>
      </c>
      <c r="N16" s="248">
        <f>+(G16*D16+H16)*V16</f>
        <v>297.45762711864393</v>
      </c>
      <c r="O16" s="238">
        <f>(N16+M16)*$O$15</f>
        <v>8.45168501059322</v>
      </c>
      <c r="P16" s="118">
        <f>M16+N16+O16</f>
        <v>1698.7886871292369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167.88</v>
      </c>
      <c r="K25" s="275">
        <f t="shared" si="7"/>
        <v>73.447500000000005</v>
      </c>
      <c r="L25" s="276">
        <f t="shared" si="7"/>
        <v>0</v>
      </c>
      <c r="M25" s="232">
        <f t="shared" si="7"/>
        <v>1857.1725000000001</v>
      </c>
      <c r="N25" s="233">
        <f>SUM(N16:N24)</f>
        <v>396.61016949152526</v>
      </c>
      <c r="O25" s="101">
        <f>SUM(O16:O24)</f>
        <v>11.268913347457627</v>
      </c>
      <c r="P25" s="234">
        <f>SUM(P16:P24)</f>
        <v>2265.0515828389825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2098.5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167.88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73.447500000000005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1857.1724999999999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2253.7826694915252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11.268913347457627</v>
      </c>
    </row>
    <row r="35" spans="2:16" ht="15.75" customHeight="1" thickBot="1" x14ac:dyDescent="0.4">
      <c r="N35" s="345" t="s">
        <v>88</v>
      </c>
      <c r="O35" s="346"/>
      <c r="P35" s="297">
        <f>+P33+P34</f>
        <v>2265.051582838983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46279</v>
      </c>
      <c r="O5" s="370"/>
      <c r="P5" s="370"/>
      <c r="R5" s="85"/>
      <c r="S5" s="266"/>
    </row>
    <row r="6" spans="1:22 16383:16384" ht="15" customHeight="1" x14ac:dyDescent="0.4">
      <c r="A6" s="399" t="s">
        <v>529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Zesahn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5</v>
      </c>
      <c r="I22" s="236">
        <f t="shared" si="0"/>
        <v>196.15000000000003</v>
      </c>
      <c r="J22" s="272">
        <f t="shared" si="1"/>
        <v>9.8075000000000028</v>
      </c>
      <c r="K22" s="128">
        <f t="shared" si="1"/>
        <v>6.8652500000000014</v>
      </c>
      <c r="L22" s="119">
        <f t="shared" si="1"/>
        <v>10.00365</v>
      </c>
      <c r="M22" s="230">
        <f t="shared" si="2"/>
        <v>169.47360000000003</v>
      </c>
      <c r="N22" s="277">
        <f t="shared" si="3"/>
        <v>38.135593220338961</v>
      </c>
      <c r="O22" s="239">
        <f t="shared" si="4"/>
        <v>1.038045966101695</v>
      </c>
      <c r="P22" s="119">
        <f t="shared" si="5"/>
        <v>208.64723918644069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5</v>
      </c>
      <c r="I25" s="114">
        <f t="shared" si="7"/>
        <v>196.15000000000003</v>
      </c>
      <c r="J25" s="274">
        <f>SUM(J16:J24)</f>
        <v>9.8075000000000028</v>
      </c>
      <c r="K25" s="275">
        <f t="shared" si="7"/>
        <v>6.8652500000000014</v>
      </c>
      <c r="L25" s="276">
        <f t="shared" si="7"/>
        <v>10.00365</v>
      </c>
      <c r="M25" s="232">
        <f t="shared" si="7"/>
        <v>169.47360000000003</v>
      </c>
      <c r="N25" s="233">
        <f>SUM(N16:N24)</f>
        <v>38.135593220338961</v>
      </c>
      <c r="O25" s="101">
        <f>SUM(O16:O24)</f>
        <v>1.038045966101695</v>
      </c>
      <c r="P25" s="234">
        <f>SUM(P16:P24)</f>
        <v>208.64723918644069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196.15000000000003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9.8075000000000028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16.868900000000004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169.47360000000003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38.135593220338961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207.60919322033899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1.038045966101695</v>
      </c>
    </row>
    <row r="35" spans="2:16" ht="15.75" customHeight="1" thickBot="1" x14ac:dyDescent="0.4">
      <c r="N35" s="345" t="s">
        <v>88</v>
      </c>
      <c r="O35" s="346"/>
      <c r="P35" s="297">
        <f>+P33+P34</f>
        <v>208.64723918644069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46279</v>
      </c>
      <c r="O5" s="370"/>
      <c r="P5" s="370"/>
      <c r="R5" s="85"/>
      <c r="S5" s="266"/>
    </row>
    <row r="6" spans="1:22 16383:16384" ht="15" customHeight="1" x14ac:dyDescent="0.4">
      <c r="A6" s="399" t="s">
        <v>530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Zesahn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12</v>
      </c>
      <c r="I20" s="236">
        <f t="shared" si="0"/>
        <v>871.68000000000006</v>
      </c>
      <c r="J20" s="272">
        <f t="shared" si="1"/>
        <v>69.734400000000008</v>
      </c>
      <c r="K20" s="128">
        <f t="shared" si="1"/>
        <v>30.508800000000004</v>
      </c>
      <c r="L20" s="119">
        <f t="shared" si="1"/>
        <v>0</v>
      </c>
      <c r="M20" s="230">
        <f t="shared" si="2"/>
        <v>771.43680000000006</v>
      </c>
      <c r="N20" s="277">
        <f t="shared" si="3"/>
        <v>164.74576271186442</v>
      </c>
      <c r="O20" s="239">
        <f t="shared" si="4"/>
        <v>4.6809128135593223</v>
      </c>
      <c r="P20" s="119">
        <f t="shared" si="5"/>
        <v>940.86347552542372</v>
      </c>
      <c r="Q20" s="319"/>
      <c r="R20">
        <f>P20/21</f>
        <v>44.803022644067795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</v>
      </c>
      <c r="I21" s="236">
        <f t="shared" si="0"/>
        <v>871.68000000000006</v>
      </c>
      <c r="J21" s="272">
        <f t="shared" si="1"/>
        <v>69.734400000000008</v>
      </c>
      <c r="K21" s="128">
        <f t="shared" si="1"/>
        <v>30.508800000000004</v>
      </c>
      <c r="L21" s="119">
        <f t="shared" si="1"/>
        <v>0</v>
      </c>
      <c r="M21" s="230">
        <f t="shared" si="2"/>
        <v>771.43680000000006</v>
      </c>
      <c r="N21" s="277">
        <f t="shared" si="3"/>
        <v>164.74576271186442</v>
      </c>
      <c r="O21" s="239">
        <f t="shared" si="4"/>
        <v>4.6809128135593223</v>
      </c>
      <c r="P21" s="119">
        <f t="shared" si="5"/>
        <v>940.86347552542372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24</v>
      </c>
      <c r="I25" s="114">
        <f t="shared" si="7"/>
        <v>1743.3600000000001</v>
      </c>
      <c r="J25" s="274">
        <f>SUM(J16:J24)</f>
        <v>139.46880000000002</v>
      </c>
      <c r="K25" s="275">
        <f t="shared" si="7"/>
        <v>61.017600000000009</v>
      </c>
      <c r="L25" s="276">
        <f t="shared" si="7"/>
        <v>0</v>
      </c>
      <c r="M25" s="232">
        <f t="shared" si="7"/>
        <v>1542.8736000000001</v>
      </c>
      <c r="N25" s="233">
        <f>SUM(N16:N24)</f>
        <v>329.49152542372883</v>
      </c>
      <c r="O25" s="101">
        <f>SUM(O16:O24)</f>
        <v>9.3618256271186446</v>
      </c>
      <c r="P25" s="234">
        <f>SUM(P16:P24)</f>
        <v>1881.7269510508474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1743.3600000000001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139.46880000000002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61.017600000000009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1542.8736000000001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329.49152542372883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1872.3651254237288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9.3618256271186446</v>
      </c>
    </row>
    <row r="35" spans="2:16" ht="15.75" customHeight="1" thickBot="1" x14ac:dyDescent="0.4">
      <c r="N35" s="345" t="s">
        <v>88</v>
      </c>
      <c r="O35" s="346"/>
      <c r="P35" s="297">
        <f>+P33+P34</f>
        <v>1881.7269510508474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46279</v>
      </c>
      <c r="O5" s="370"/>
      <c r="P5" s="370"/>
      <c r="R5" s="85"/>
      <c r="S5" s="266"/>
    </row>
    <row r="6" spans="1:22 16383:16384" ht="15" customHeight="1" x14ac:dyDescent="0.4">
      <c r="A6" s="399" t="s">
        <v>531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Zesahn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119">
        <f t="shared" si="5"/>
        <v>500.75337404745761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12</v>
      </c>
      <c r="I25" s="114">
        <f t="shared" si="7"/>
        <v>470.76000000000005</v>
      </c>
      <c r="J25" s="274">
        <f>SUM(J16:J24)</f>
        <v>23.538000000000004</v>
      </c>
      <c r="K25" s="275">
        <f t="shared" si="7"/>
        <v>16.476600000000005</v>
      </c>
      <c r="L25" s="276">
        <f t="shared" si="7"/>
        <v>24.008760000000002</v>
      </c>
      <c r="M25" s="232">
        <f t="shared" si="7"/>
        <v>406.73664000000002</v>
      </c>
      <c r="N25" s="233">
        <f>SUM(N16:N24)</f>
        <v>91.525423728813507</v>
      </c>
      <c r="O25" s="101">
        <f>SUM(O16:O24)</f>
        <v>2.4913103186440675</v>
      </c>
      <c r="P25" s="234">
        <f>SUM(P16:P24)</f>
        <v>500.75337404745761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470.76000000000005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23.538000000000004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40.485360000000007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406.73664000000002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91.525423728813507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498.26206372881353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2.4913103186440675</v>
      </c>
    </row>
    <row r="35" spans="2:16" ht="15.75" customHeight="1" thickBot="1" x14ac:dyDescent="0.4">
      <c r="N35" s="345" t="s">
        <v>88</v>
      </c>
      <c r="O35" s="346"/>
      <c r="P35" s="297">
        <f>+P33+P34</f>
        <v>500.75337404745761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46279</v>
      </c>
      <c r="O5" s="370"/>
      <c r="P5" s="370"/>
      <c r="R5" s="85"/>
      <c r="S5" s="266"/>
    </row>
    <row r="6" spans="1:22 16383:16384" ht="15" customHeight="1" x14ac:dyDescent="0.4">
      <c r="A6" s="399" t="s">
        <v>532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Zesahn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5</v>
      </c>
      <c r="I22" s="236">
        <f t="shared" si="0"/>
        <v>196.15000000000003</v>
      </c>
      <c r="J22" s="272">
        <f t="shared" si="1"/>
        <v>9.8075000000000028</v>
      </c>
      <c r="K22" s="128">
        <f t="shared" si="1"/>
        <v>6.8652500000000014</v>
      </c>
      <c r="L22" s="119">
        <f t="shared" si="1"/>
        <v>10.00365</v>
      </c>
      <c r="M22" s="230">
        <f t="shared" si="2"/>
        <v>169.47360000000003</v>
      </c>
      <c r="N22" s="277">
        <f t="shared" si="3"/>
        <v>38.135593220338961</v>
      </c>
      <c r="O22" s="239">
        <f t="shared" si="4"/>
        <v>1.038045966101695</v>
      </c>
      <c r="P22" s="119">
        <f t="shared" si="5"/>
        <v>208.64723918644069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5</v>
      </c>
      <c r="I25" s="114">
        <f t="shared" si="7"/>
        <v>196.15000000000003</v>
      </c>
      <c r="J25" s="274">
        <f>SUM(J16:J24)</f>
        <v>9.8075000000000028</v>
      </c>
      <c r="K25" s="275">
        <f t="shared" si="7"/>
        <v>6.8652500000000014</v>
      </c>
      <c r="L25" s="276">
        <f t="shared" si="7"/>
        <v>10.00365</v>
      </c>
      <c r="M25" s="232">
        <f t="shared" si="7"/>
        <v>169.47360000000003</v>
      </c>
      <c r="N25" s="233">
        <f>SUM(N16:N24)</f>
        <v>38.135593220338961</v>
      </c>
      <c r="O25" s="101">
        <f>SUM(O16:O24)</f>
        <v>1.038045966101695</v>
      </c>
      <c r="P25" s="234">
        <f>SUM(P16:P24)</f>
        <v>208.64723918644069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196.15000000000003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9.8075000000000028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16.868900000000004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169.47360000000003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38.135593220338961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207.60919322033899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1.038045966101695</v>
      </c>
    </row>
    <row r="35" spans="2:16" ht="15.75" customHeight="1" thickBot="1" x14ac:dyDescent="0.4">
      <c r="N35" s="345" t="s">
        <v>88</v>
      </c>
      <c r="O35" s="346"/>
      <c r="P35" s="297">
        <f>+P33+P34</f>
        <v>208.64723918644069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46279</v>
      </c>
      <c r="O5" s="370"/>
      <c r="P5" s="370"/>
      <c r="R5" s="85"/>
      <c r="S5" s="266"/>
    </row>
    <row r="6" spans="1:22 16383:16384" ht="15" customHeight="1" x14ac:dyDescent="0.4">
      <c r="A6" s="399" t="s">
        <v>533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Zesahn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</v>
      </c>
      <c r="I22" s="236">
        <f t="shared" si="0"/>
        <v>156.92000000000002</v>
      </c>
      <c r="J22" s="272">
        <f t="shared" si="1"/>
        <v>7.846000000000001</v>
      </c>
      <c r="K22" s="128">
        <f t="shared" si="1"/>
        <v>5.4922000000000013</v>
      </c>
      <c r="L22" s="119">
        <f t="shared" si="1"/>
        <v>8.0029199999999996</v>
      </c>
      <c r="M22" s="230">
        <f t="shared" si="2"/>
        <v>135.57888000000003</v>
      </c>
      <c r="N22" s="277">
        <f t="shared" si="3"/>
        <v>30.508474576271169</v>
      </c>
      <c r="O22" s="239">
        <f t="shared" si="4"/>
        <v>0.83043677288135598</v>
      </c>
      <c r="P22" s="119">
        <f t="shared" si="5"/>
        <v>166.91779134915254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</v>
      </c>
      <c r="I25" s="114">
        <f t="shared" si="7"/>
        <v>156.92000000000002</v>
      </c>
      <c r="J25" s="274">
        <f>SUM(J16:J24)</f>
        <v>7.846000000000001</v>
      </c>
      <c r="K25" s="275">
        <f t="shared" si="7"/>
        <v>5.4922000000000013</v>
      </c>
      <c r="L25" s="276">
        <f t="shared" si="7"/>
        <v>8.0029199999999996</v>
      </c>
      <c r="M25" s="232">
        <f t="shared" si="7"/>
        <v>135.57888000000003</v>
      </c>
      <c r="N25" s="233">
        <f>SUM(N16:N24)</f>
        <v>30.508474576271169</v>
      </c>
      <c r="O25" s="101">
        <f>SUM(O16:O24)</f>
        <v>0.83043677288135598</v>
      </c>
      <c r="P25" s="234">
        <f>SUM(P16:P24)</f>
        <v>166.91779134915254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156.92000000000002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7.846000000000001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13.49512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135.57888000000003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30.508474576271169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166.0873545762712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0.83043677288135598</v>
      </c>
    </row>
    <row r="35" spans="2:16" ht="15.75" customHeight="1" thickBot="1" x14ac:dyDescent="0.4">
      <c r="N35" s="345" t="s">
        <v>88</v>
      </c>
      <c r="O35" s="346"/>
      <c r="P35" s="297">
        <f>+P33+P34</f>
        <v>166.91779134915254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topLeftCell="A4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46279</v>
      </c>
      <c r="O5" s="370"/>
      <c r="P5" s="370"/>
      <c r="R5" s="85"/>
      <c r="S5" s="266"/>
    </row>
    <row r="6" spans="1:22 16383:16384" ht="18.75" customHeight="1" x14ac:dyDescent="0.4">
      <c r="A6" s="399" t="s">
        <v>534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Zesahn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5.6344566737288133</v>
      </c>
      <c r="P16" s="118">
        <f>M16+N16+O16</f>
        <v>1132.5257914194915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83.94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928.58625000000006</v>
      </c>
      <c r="N17" s="277">
        <f t="shared" ref="N17:N24" si="3">+(G17*D17+H17)*V17</f>
        <v>198.30508474576263</v>
      </c>
      <c r="O17" s="239">
        <f t="shared" ref="O17:O24" si="4">(N17+M17)*$O$15</f>
        <v>5.6344566737288133</v>
      </c>
      <c r="P17" s="119">
        <f t="shared" ref="P17:P24" si="5">M17+N17+O17</f>
        <v>1132.5257914194915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80</v>
      </c>
      <c r="I25" s="114">
        <f t="shared" si="7"/>
        <v>5004.1000000000004</v>
      </c>
      <c r="J25" s="274">
        <f>SUM(J16:J24)</f>
        <v>400.32800000000003</v>
      </c>
      <c r="K25" s="275">
        <f t="shared" si="7"/>
        <v>175.14350000000002</v>
      </c>
      <c r="L25" s="276">
        <f t="shared" si="7"/>
        <v>0</v>
      </c>
      <c r="M25" s="232">
        <f t="shared" si="7"/>
        <v>4428.6284999999998</v>
      </c>
      <c r="N25" s="233">
        <f>SUM(N16:N24)</f>
        <v>945.76271186440658</v>
      </c>
      <c r="O25" s="101">
        <f>SUM(O16:O24)</f>
        <v>26.871956059322034</v>
      </c>
      <c r="P25" s="234">
        <f>SUM(P16:P24)</f>
        <v>5401.2631679237284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5004.1000000000004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400.32800000000003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175.14350000000002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4428.6284999999998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5374.3912118644066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26.871956059322034</v>
      </c>
    </row>
    <row r="35" spans="2:16" ht="15.75" customHeight="1" thickBot="1" x14ac:dyDescent="0.4">
      <c r="N35" s="345" t="s">
        <v>88</v>
      </c>
      <c r="O35" s="346"/>
      <c r="P35" s="297">
        <f>+P33+P34</f>
        <v>5401.2631679237284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46279</v>
      </c>
      <c r="O5" s="370"/>
      <c r="P5" s="370"/>
      <c r="R5" s="85"/>
      <c r="S5" s="266"/>
    </row>
    <row r="6" spans="1:22 16383:16384" ht="15" customHeight="1" x14ac:dyDescent="0.4">
      <c r="A6" s="399" t="s">
        <v>535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Zesahn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12</v>
      </c>
      <c r="I16" s="235">
        <f>(G16*D16)*F16+H16*F16</f>
        <v>629.54999999999995</v>
      </c>
      <c r="J16" s="271">
        <f>$I16*S16</f>
        <v>50.363999999999997</v>
      </c>
      <c r="K16" s="127">
        <f>$I16*T16</f>
        <v>22.03425</v>
      </c>
      <c r="L16" s="118">
        <f>$I16*U16</f>
        <v>0</v>
      </c>
      <c r="M16" s="229">
        <f>I16-SUM(J16:L16)</f>
        <v>557.15174999999999</v>
      </c>
      <c r="N16" s="248">
        <f>+(G16*D16+H16)*V16</f>
        <v>118.98305084745758</v>
      </c>
      <c r="O16" s="238">
        <f>(N16+M16)*$O$15</f>
        <v>3.3806740042372878</v>
      </c>
      <c r="P16" s="118">
        <f>M16+N16+O16</f>
        <v>679.51547485169488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12</v>
      </c>
      <c r="I17" s="236">
        <f t="shared" ref="I17:I23" si="0">(G17*D17)*F17+H17*F17</f>
        <v>629.54999999999995</v>
      </c>
      <c r="J17" s="272">
        <f t="shared" ref="J17:L24" si="1">$I17*S17</f>
        <v>50.363999999999997</v>
      </c>
      <c r="K17" s="128">
        <f>$I17*T17</f>
        <v>22.03425</v>
      </c>
      <c r="L17" s="119">
        <f>$I17*U17</f>
        <v>0</v>
      </c>
      <c r="M17" s="230">
        <f t="shared" ref="M17:M24" si="2">I17-SUM(J17:L17)</f>
        <v>557.15174999999999</v>
      </c>
      <c r="N17" s="277">
        <f t="shared" ref="N17:N24" si="3">+(G17*D17+H17)*V17</f>
        <v>118.98305084745758</v>
      </c>
      <c r="O17" s="239">
        <f t="shared" ref="O17:O24" si="4">(N17+M17)*$O$15</f>
        <v>3.3806740042372878</v>
      </c>
      <c r="P17" s="119">
        <f t="shared" ref="P17:P24" si="5">M17+N17+O17</f>
        <v>679.51547485169488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119">
        <f t="shared" si="5"/>
        <v>500.75337404745761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36</v>
      </c>
      <c r="I25" s="114">
        <f t="shared" si="7"/>
        <v>1729.86</v>
      </c>
      <c r="J25" s="274">
        <f>SUM(J16:J24)</f>
        <v>124.26599999999999</v>
      </c>
      <c r="K25" s="275">
        <f t="shared" si="7"/>
        <v>60.545100000000005</v>
      </c>
      <c r="L25" s="276">
        <f t="shared" si="7"/>
        <v>24.008760000000002</v>
      </c>
      <c r="M25" s="232">
        <f t="shared" si="7"/>
        <v>1521.0401400000001</v>
      </c>
      <c r="N25" s="233">
        <f>SUM(N16:N24)</f>
        <v>329.49152542372866</v>
      </c>
      <c r="O25" s="101">
        <f>SUM(O16:O24)</f>
        <v>9.2526583271186436</v>
      </c>
      <c r="P25" s="234">
        <f>SUM(P16:P24)</f>
        <v>1859.7843237508473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1729.86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124.26599999999999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84.553860000000014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1521.0401399999998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329.49152542372866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1850.5316654237286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9.2526583271186436</v>
      </c>
    </row>
    <row r="35" spans="2:16" ht="15.75" customHeight="1" thickBot="1" x14ac:dyDescent="0.4">
      <c r="N35" s="345" t="s">
        <v>88</v>
      </c>
      <c r="O35" s="346"/>
      <c r="P35" s="297">
        <f>+P33+P34</f>
        <v>1859.7843237508473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46279</v>
      </c>
      <c r="O5" s="370"/>
      <c r="P5" s="370"/>
      <c r="R5" s="85"/>
      <c r="S5" s="266"/>
    </row>
    <row r="6" spans="1:22 16383:16384" ht="15" customHeight="1" x14ac:dyDescent="0.4">
      <c r="A6" s="399" t="s">
        <v>536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Zesahn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5</v>
      </c>
      <c r="I22" s="236">
        <f t="shared" si="0"/>
        <v>196.15000000000003</v>
      </c>
      <c r="J22" s="272">
        <f t="shared" si="1"/>
        <v>9.8075000000000028</v>
      </c>
      <c r="K22" s="128">
        <f t="shared" si="1"/>
        <v>6.8652500000000014</v>
      </c>
      <c r="L22" s="119">
        <f t="shared" si="1"/>
        <v>10.00365</v>
      </c>
      <c r="M22" s="230">
        <f t="shared" si="2"/>
        <v>169.47360000000003</v>
      </c>
      <c r="N22" s="277">
        <f t="shared" si="3"/>
        <v>38.135593220338961</v>
      </c>
      <c r="O22" s="239">
        <f t="shared" si="4"/>
        <v>1.038045966101695</v>
      </c>
      <c r="P22" s="119">
        <f t="shared" si="5"/>
        <v>208.64723918644069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5</v>
      </c>
      <c r="I25" s="114">
        <f t="shared" si="7"/>
        <v>196.15000000000003</v>
      </c>
      <c r="J25" s="274">
        <f>SUM(J16:J24)</f>
        <v>9.8075000000000028</v>
      </c>
      <c r="K25" s="275">
        <f t="shared" si="7"/>
        <v>6.8652500000000014</v>
      </c>
      <c r="L25" s="276">
        <f t="shared" si="7"/>
        <v>10.00365</v>
      </c>
      <c r="M25" s="232">
        <f t="shared" si="7"/>
        <v>169.47360000000003</v>
      </c>
      <c r="N25" s="233">
        <f>SUM(N16:N24)</f>
        <v>38.135593220338961</v>
      </c>
      <c r="O25" s="101">
        <f>SUM(O16:O24)</f>
        <v>1.038045966101695</v>
      </c>
      <c r="P25" s="234">
        <f>SUM(P16:P24)</f>
        <v>208.64723918644069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196.15000000000003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9.8075000000000028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16.868900000000004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169.47360000000003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38.135593220338961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207.60919322033899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1.038045966101695</v>
      </c>
    </row>
    <row r="35" spans="2:16" ht="15.75" customHeight="1" thickBot="1" x14ac:dyDescent="0.4">
      <c r="N35" s="345" t="s">
        <v>88</v>
      </c>
      <c r="O35" s="346"/>
      <c r="P35" s="297">
        <f>+P33+P34</f>
        <v>208.64723918644069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tabSelected="1" workbookViewId="0">
      <selection activeCell="F9" sqref="F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Zesahn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F9" sqref="F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Zesahn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F9" sqref="F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Zesahn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F9" sqref="F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Zesahn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F9" sqref="F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Zesahn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F9" sqref="F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Zesahn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F9" sqref="F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Zesahn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F9" sqref="F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Zesahn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46296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46295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2026-09-30T07:22:57Z</dcterms:modified>
</cp:coreProperties>
</file>