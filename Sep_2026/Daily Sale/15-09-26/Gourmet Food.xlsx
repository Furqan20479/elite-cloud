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8668945-2ECD-40E8-A60B-A64EE6CE18EE}" xr6:coauthVersionLast="47" xr6:coauthVersionMax="47" xr10:uidLastSave="{00000000-0000-0000-0000-000000000000}"/>
  <bookViews>
    <workbookView xWindow="-110" yWindow="-110" windowWidth="19420" windowHeight="10420" tabRatio="87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 s="1"/>
  <c r="O24" i="56" s="1"/>
  <c r="P24" i="56" s="1"/>
  <c r="L24" i="43"/>
  <c r="K24" i="43"/>
  <c r="J24" i="43"/>
  <c r="M24" i="43" s="1"/>
  <c r="O24" i="43" s="1"/>
  <c r="P24" i="43" s="1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8" l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4" i="71" l="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<sst xmlns="http://schemas.openxmlformats.org/spreadsheetml/2006/main" count="3949" uniqueCount="550">
  <si>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</si>
  <si>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</si>
  <si>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</si>
  <si>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</si>
  <si>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</si>
  <si>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</si>
  <si>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</si>
  <si>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</si>
  <si>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</si>
  <si>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</si>
  <si>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</si>
  <si>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</si>
  <si>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</si>
  <si>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</si>
  <si>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</si>
  <si>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</si>
  <si>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</si>
  <si>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</si>
  <si>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</si>
  <si>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</si>
  <si>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</si>
  <si>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</si>
  <si>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</si>
  <si>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</si>
  <si>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</si>
  <si>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</si>
  <si>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</si>
  <si>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</si>
  <si>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</si>
  <si>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</si>
  <si>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</si>
  <si>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</si>
  <si>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</si>
  <si>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</si>
  <si>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</si>
  <si>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</si>
  <si>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</si>
  <si>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</si>
  <si>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</si>
  <si>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</si>
  <si>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</si>
  <si>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</si>
  <si>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</si>
  <si>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</si>
  <si>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</si>
  <si>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</si>
  <si>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</si>
  <si>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</si>
  <si>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</si>
  <si>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</si>
  <si>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</si>
  <si>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</si>
  <si>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</si>
  <si>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</si>
  <si>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</si>
  <si>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</si>
  <si>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</si>
  <si>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</si>
  <si>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</si>
  <si>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</si>
  <si>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</si>
  <si>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</si>
  <si>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</si>
  <si>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</si>
  <si>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</si>
  <si>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</si>
  <si>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</si>
  <si>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</si>
  <si>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</si>
  <si>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</si>
  <si>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</si>
  <si>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</si>
  <si>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</si>
  <si>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</si>
  <si>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</si>
  <si>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</si>
  <si>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</si>
  <si>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</si>
  <si>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</si>
  <si>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</si>
  <si>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</si>
  <si>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</si>
  <si>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</si>
  <si>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</si>
  <si>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</si>
  <si>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</si>
  <si>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</si>
  <si>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</si>
  <si>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</si>
  <si>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</si>
  <si>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</si>
  <si>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</si>
  <si>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</si>
  <si>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</si>
  <si>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</si>
  <si>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</si>
  <si>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</si>
  <si>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</si>
  <si>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</si>
  <si>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</si>
  <si>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</si>
  <si>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</si>
  <si>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</si>
  <si>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</si>
  <si>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</si>
  <si>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</si>
  <si>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</si>
  <si>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</si>
  <si>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</si>
  <si>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</si>
  <si>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</si>
  <si>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</si>
  <si>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</si>
  <si>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</si>
  <si>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</si>
  <si>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</si>
  <si>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</si>
  <si>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</si>
  <si>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</si>
  <si>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</si>
  <si>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</si>
  <si>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</si>
  <si>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</si>
  <si>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</si>
  <si>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</si>
  <si>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</si>
  <si>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</si>
  <si>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</si>
  <si>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</si>
  <si>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</si>
  <si>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</si>
  <si>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</si>
  <si>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</si>
  <si>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</si>
  <si>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</si>
  <si>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</si>
  <si>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</si>
  <si>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</si>
  <si>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</si>
  <si>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</si>
  <si>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</si>
  <si>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</si>
  <si>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</si>
  <si>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</si>
  <si>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</si>
  <si>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</si>
  <si>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</si>
  <si>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</si>
  <si>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</si>
  <si>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</si>
  <si>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</si>
  <si>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</si>
  <si>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</si>
  <si>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</si>
  <si>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</si>
  <si>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</si>
  <si>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</si>
  <si>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</si>
  <si>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</si>
  <si>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</si>
  <si>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</si>
  <si>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</si>
  <si>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</si>
  <si>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</si>
  <si>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</si>
  <si>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</si>
  <si>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</si>
  <si>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</si>
  <si>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</si>
  <si>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</si>
  <si>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</si>
  <si>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</si>
  <si>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</si>
  <si>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</si>
  <si>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</si>
  <si>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</si>
  <si>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</si>
  <si>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</si>
  <si>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</si>
  <si>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</si>
  <si>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</si>
  <si>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</si>
  <si>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</si>
  <si>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</si>
  <si>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</si>
  <si>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</si>
  <si>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</si>
  <si>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</si>
  <si>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</si>
  <si>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</si>
  <si>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</si>
  <si>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</si>
  <si>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</si>
  <si>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</si>
  <si>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</si>
  <si>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</si>
  <si>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</si>
  <si>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</si>
  <si>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</si>
  <si>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</si>
  <si>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</si>
  <si>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</si>
  <si>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</si>
  <si>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</si>
  <si>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</si>
  <si>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</si>
  <si>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</si>
  <si>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</si>
  <si>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</si>
  <si>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</si>
  <si>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</si>
  <si>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</si>
  <si>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</si>
  <si>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</si>
  <si>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</si>
  <si>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</si>
  <si>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</si>
  <si>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</si>
  <si>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</si>
  <si>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</si>
  <si>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</si>
  <si>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</si>
  <si>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</si>
  <si>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</si>
  <si>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</si>
  <si>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</si>
  <si>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</si>
  <si>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</si>
  <si>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</si>
  <si>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</si>
  <si>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</si>
  <si>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</si>
  <si>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</si>
  <si>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</si>
  <si>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</si>
  <si>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</si>
  <si>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</si>
  <si>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</si>
  <si>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</si>
  <si>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</si>
  <si>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</si>
  <si>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</si>
  <si>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</si>
  <si>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</si>
  <si>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</si>
  <si>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</si>
  <si>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</si>
  <si>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</si>
  <si>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</si>
  <si>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</si>
  <si>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</si>
  <si>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</si>
  <si>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</si>
  <si>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</si>
  <si>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</si>
  <si>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</si>
  <si>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</si>
  <si>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</si>
  <si>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</si>
  <si>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</si>
  <si>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</si>
  <si>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</si>
  <si>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</si>
  <si>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</si>
  <si>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</si>
  <si>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</si>
  <si>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</si>
  <si>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</si>
  <si>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</si>
  <si>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</si>
  <si>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</si>
  <si>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</si>
  <si>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</si>
  <si>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</si>
  <si>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</si>
  <si>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</si>
  <si>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</si>
  <si>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</si>
  <si>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</si>
  <si>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</si>
  <si>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</si>
  <si>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</si>
  <si>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</si>
  <si>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</si>
  <si>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</si>
  <si>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</si>
  <si>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</si>
  <si>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</si>
  <si>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</si>
  <si>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</si>
  <si>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</si>
  <si>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</si>
  <si>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</si>
  <si>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</si>
  <si>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</si>
  <si>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</si>
  <si>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</si>
  <si>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</si>
  <si>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</si>
  <si>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</si>
  <si>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</si>
  <si>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</si>
  <si>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</si>
  <si>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</si>
  <si>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</si>
  <si>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</si>
  <si>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</si>
  <si>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</si>
  <si>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</si>
  <si>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</si>
  <si>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</si>
  <si>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</si>
  <si>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</si>
  <si>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</si>
  <si>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</si>
  <si>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</si>
  <si>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</si>
  <si>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</si>
  <si>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</si>
  <si>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</si>
  <si>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</si>
  <si>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</si>
  <si>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</si>
  <si>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</si>
  <si>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</si>
  <si>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</si>
  <si>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</si>
  <si>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</si>
  <si>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</si>
  <si>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</si>
  <si>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</si>
  <si>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</si>
  <si>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</si>
  <si>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</si>
  <si>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</si>
  <si>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</si>
  <si>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</si>
  <si>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</si>
  <si>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</si>
  <si>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</si>
  <si>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</si>
  <si>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</si>
  <si>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</si>
  <si>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</si>
  <si>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</si>
  <si>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</si>
  <si>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</si>
  <si>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</si>
  <si>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</si>
  <si>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</si>
  <si>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</si>
  <si>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</si>
  <si>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</si>
  <si>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</si>
  <si>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</si>
  <si>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</si>
  <si>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</si>
  <si>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</si>
  <si>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</si>
  <si>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</si>
  <si>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</si>
  <si>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</si>
  <si>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</si>
  <si>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</si>
  <si>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</si>
  <si>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</si>
  <si>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</si>
  <si>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</si>
  <si>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</si>
  <si>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</si>
  <si>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</si>
  <si>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</si>
  <si>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</si>
  <si>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</si>
  <si>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</si>
  <si>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</si>
  <si>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</si>
  <si>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</si>
  <si>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</si>
  <si>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</si>
  <si>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</si>
  <si>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</si>
  <si>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</si>
  <si>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</si>
  <si>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</si>
  <si>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</si>
  <si>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</si>
  <si>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</si>
  <si>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</si>
  <si>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</si>
  <si>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</si>
  <si>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</si>
  <si>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</si>
  <si>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</si>
  <si>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</si>
  <si>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</si>
  <si>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</si>
  <si>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</si>
  <si>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</si>
  <si>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</si>
  <si>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</si>
  <si>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</si>
  <si>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</si>
  <si>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</si>
  <si>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</si>
  <si>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</si>
  <si>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</si>
  <si>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</si>
  <si>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</si>
  <si>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</si>
  <si>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</si>
  <si>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</si>
  <si>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</si>
  <si>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</si>
  <si>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</si>
  <si>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</si>
  <si>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</si>
  <si>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</si>
  <si>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</si>
  <si>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</si>
  <si>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</si>
  <si>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</si>
  <si>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</si>
  <si>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</si>
  <si>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</si>
  <si>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</si>
  <si>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</si>
  <si>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</si>
  <si>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</si>
  <si>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</si>
  <si>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</si>
  <si>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</si>
  <si>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</si>
  <si>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</si>
  <si>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</si>
  <si>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</si>
  <si>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</si>
  <si>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</si>
  <si>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</si>
  <si>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</si>
  <si>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</si>
  <si>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</si>
  <si>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</si>
  <si>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</si>
  <si>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</si>
  <si>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</si>
  <si>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</si>
  <si>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</si>
  <si>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</si>
  <si>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</si>
  <si>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</si>
  <si>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</si>
  <si>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</si>
  <si>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</si>
  <si>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</si>
  <si>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</si>
  <si>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</si>
  <si>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</si>
  <si>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</si>
  <si>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</si>
  <si>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</si>
  <si>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</si>
  <si>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</si>
  <si>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</si>
  <si>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</si>
  <si>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</si>
  <si>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</si>
  <si>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</si>
  <si>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</si>
  <si>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</si>
  <si>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</si>
  <si>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</si>
  <si>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</si>
  <si>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</si>
  <si>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</si>
  <si>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</si>
  <si>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</si>
  <si>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</si>
  <si>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</si>
  <si>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</si>
  <si>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</si>
  <si>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</si>
  <si>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</si>
  <si>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</si>
  <si>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</si>
  <si>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</si>
  <si>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</si>
  <si>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</si>
  <si>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</si>
  <si>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</si>
  <si>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</si>
  <si>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</si>
  <si>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</si>
  <si>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</si>
  <si>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</si>
  <si>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</si>
  <si>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</si>
  <si>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</si>
  <si>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</si>
  <si>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</si>
  <si>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</si>
  <si>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</si>
  <si>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</si>
  <si>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</si>
  <si>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</si>
  <si>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</si>
  <si>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</si>
  <si>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</si>
  <si>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</si>
  <si>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</si>
  <si>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</si>
  <si>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</si>
  <si>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</si>
  <si>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</si>
  <si>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</si>
  <si>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Shadman Road</t>
  </si>
  <si>
    <t>Gourmet Food Multan Road Fwara Chowk</t>
  </si>
  <si>
    <t xml:space="preserve">Gourmet Food Faisal Town </t>
  </si>
  <si>
    <t xml:space="preserve">Gourmet Food 18G Iqbal Town </t>
  </si>
  <si>
    <t>Gourmet Food Samnabad Lhr</t>
  </si>
  <si>
    <t>Gourmet Food Ghalib Market</t>
  </si>
  <si>
    <t>Gourmet Food Nisbat Road</t>
  </si>
  <si>
    <t>Gourmet Food Islam Pura</t>
  </si>
  <si>
    <t xml:space="preserve">Gourmet Food Jinnah Hospital </t>
  </si>
  <si>
    <t xml:space="preserve">Gourmet Food Shama Cenima </t>
  </si>
  <si>
    <t xml:space="preserve">Gourmet Food Muslim Town Ayubia </t>
  </si>
  <si>
    <t xml:space="preserve">Gourmet Food C Block Model Town </t>
  </si>
  <si>
    <t xml:space="preserve">Gourmet Food Liyaqat Chowk </t>
  </si>
  <si>
    <t>Gourmet Food Krishan Nagar</t>
  </si>
  <si>
    <t>Gourmet Food Poonch Road</t>
  </si>
  <si>
    <t xml:space="preserve">Gourmet Food Nadeem Shaheed </t>
  </si>
  <si>
    <t xml:space="preserve">Gourmet Food Gulshan Ravi </t>
  </si>
  <si>
    <t xml:space="preserve">Gourmet Food Riwind City </t>
  </si>
  <si>
    <t xml:space="preserve">Gourmet Food Link Road Model Town </t>
  </si>
  <si>
    <t>Gourmet Food Batapur</t>
  </si>
  <si>
    <t xml:space="preserve">Gourmet Food Jauray Pull </t>
  </si>
  <si>
    <t xml:space="preserve">Gourmet Food Bhatta Chowk </t>
  </si>
  <si>
    <t xml:space="preserve">Gourmet Food EME Society </t>
  </si>
  <si>
    <t xml:space="preserve">Gourmet Food  DHA XX- Block </t>
  </si>
  <si>
    <t>Gourmet Food Riwind Road Thokar</t>
  </si>
  <si>
    <t xml:space="preserve">Shakoor Husain </t>
  </si>
  <si>
    <t xml:space="preserve"> </t>
  </si>
  <si>
    <t>Gourmet Food Walton</t>
  </si>
  <si>
    <t>Gourmet Food Shadipura</t>
  </si>
  <si>
    <t>Invoice No # :100124</t>
  </si>
  <si>
    <t>Gourmet Food KOT Khawaja Saeed</t>
  </si>
  <si>
    <t>Gourmet Food Baghbanpura</t>
  </si>
  <si>
    <t>Invoice No # :100132</t>
  </si>
  <si>
    <t>Gourmet Food Zarar Shaheed Road</t>
  </si>
  <si>
    <t>Invoice No # :103451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</si>
</sst>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46280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18" t="str">
        <f>+'1'!A6:A6</f>
        <v>Gourmet Food Zarar Shaheed Road</v>
      </c>
      <c r="T3" s="300">
        <f>+'1'!P35</f>
        <v>10803.506108644067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8" t="str">
        <f>+'2'!A6:A6</f>
        <v>Gourmet Food Shadipura</v>
      </c>
      <c r="T4" s="300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18" t="str">
        <f>+'3'!A6:A6</f>
        <v>Gourmet Food KOT Khawaja Saeed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18" t="str">
        <f>+'4'!A6:A6</f>
        <v>Gourmet Food Baghbanpura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377.72999999999996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1720.77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10.586900847457626</v>
      </c>
      <c r="P7" s="309">
        <f>M7+N7+O7</f>
        <v>2127.9670703389825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100</v>
      </c>
      <c r="R7" s="313">
        <v>5</v>
      </c>
      <c r="S7" s="318" t="str">
        <f>+'5'!A6:A6</f>
        <v>Gourmet Food Shadman Road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377.72999999999996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1720.77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10.586900847457626</v>
      </c>
      <c r="P8" s="310">
        <f t="shared" ref="P8:P15" si="2">M8+N8+O8</f>
        <v>2127.9670703389825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70</v>
      </c>
      <c r="R8" s="313">
        <v>6</v>
      </c>
      <c r="S8" s="318" t="str">
        <f>+'6'!A6:A6</f>
        <v>Gourmet Food Multan Road Fwara Chowk</v>
      </c>
      <c r="T8" s="300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377.72999999999996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1720.77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10.586900847457626</v>
      </c>
      <c r="P9" s="310">
        <f t="shared" si="2"/>
        <v>2127.9670703389825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190</v>
      </c>
      <c r="R9" s="313">
        <v>7</v>
      </c>
      <c r="S9" s="318" t="str">
        <f>+'7'!A6:A6</f>
        <v xml:space="preserve">Gourmet Food Faisal Town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261.50399999999996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1191.296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7.3293613559322033</v>
      </c>
      <c r="P10" s="310">
        <f t="shared" si="2"/>
        <v>1473.2016325423729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80</v>
      </c>
      <c r="R10" s="313">
        <v>8</v>
      </c>
      <c r="S10" s="318" t="str">
        <f>+'8'!A6:A6</f>
        <v xml:space="preserve">Gourmet Food 18G Iqbal Town </v>
      </c>
      <c r="T10" s="300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261.50399999999996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1191.296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7.3293613559322033</v>
      </c>
      <c r="P11" s="310">
        <f t="shared" si="2"/>
        <v>1473.2016325423729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60</v>
      </c>
      <c r="R11" s="313">
        <v>9</v>
      </c>
      <c r="S11" s="318" t="str">
        <f>+'9'!A6:A6</f>
        <v>Gourmet Food Samnabad Lhr</v>
      </c>
      <c r="T11" s="300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261.50399999999996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1191.296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7.3293613559322033</v>
      </c>
      <c r="P12" s="310">
        <f t="shared" si="2"/>
        <v>1473.2016325423729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60</v>
      </c>
      <c r="R12" s="313">
        <v>10</v>
      </c>
      <c r="S12" s="318" t="str">
        <f>+'10'!A6:A6</f>
        <v>Gourmet Food Ghalib Market</v>
      </c>
      <c r="T12" s="300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18" t="str">
        <f>+'11'!A6:A6</f>
        <v>Gourmet Food Nisbat Road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18" t="str">
        <f>+'12'!A6:A6</f>
        <v>Gourmet Food Islam Pura</v>
      </c>
      <c r="T14" s="300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18" t="str">
        <f>+'13'!A6:A6</f>
        <v xml:space="preserve">Gourmet Food Jinnah Hospital </v>
      </c>
      <c r="T15" s="300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4.5</v>
      </c>
      <c r="H16" s="113">
        <f t="shared" ref="H16:M16" si="3">SUM(H7:H15)</f>
        <v>180</v>
      </c>
      <c r="I16" s="114">
        <f t="shared" si="3"/>
        <v>10653.9</v>
      </c>
      <c r="J16" s="274">
        <f>SUM(J7:J15)</f>
        <v>1917.7019999999995</v>
      </c>
      <c r="K16" s="275">
        <f t="shared" si="3"/>
        <v>0</v>
      </c>
      <c r="L16" s="276">
        <f t="shared" si="3"/>
        <v>0</v>
      </c>
      <c r="M16" s="232">
        <f t="shared" si="3"/>
        <v>8736.1980000000003</v>
      </c>
      <c r="N16" s="233">
        <f>SUM(N7:N15)</f>
        <v>2013.5593220338976</v>
      </c>
      <c r="O16" s="101">
        <f>SUM(O7:O15)</f>
        <v>53.748786610169489</v>
      </c>
      <c r="P16" s="113">
        <f>SUM(P7:P15)</f>
        <v>10803.506108644066</v>
      </c>
      <c r="Q16" s="128">
        <f>SUM(Q7:Q15)</f>
        <v>560</v>
      </c>
      <c r="R16" s="313">
        <v>14</v>
      </c>
      <c r="S16" s="318" t="str">
        <f>+'14'!A6:A6</f>
        <v xml:space="preserve">Gourmet Food Shama Cenima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8" t="str">
        <f>+'15'!A6:A6</f>
        <v xml:space="preserve">Gourmet Food Muslim Town Ayubia 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9" t="str">
        <f>+'16'!A6:A6</f>
        <v>Gourmet Food Walton</v>
      </c>
      <c r="T18" s="300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10653.9</v>
      </c>
      <c r="R19" s="299">
        <v>17</v>
      </c>
      <c r="S19" s="318" t="str">
        <f>+'17'!A6:A6</f>
        <v xml:space="preserve">Gourmet Food C Block Model Town </v>
      </c>
      <c r="T19" s="300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1917.7019999999995</v>
      </c>
      <c r="R20" s="299">
        <v>18</v>
      </c>
      <c r="S20" s="318" t="str">
        <f>+'18'!A6:A6</f>
        <v xml:space="preserve">Gourmet Food Liyaqat Chowk </v>
      </c>
      <c r="T20" s="300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18" t="str">
        <f>+'19'!A6:A6</f>
        <v>Gourmet Food Krishan Nagar</v>
      </c>
      <c r="T21" s="300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8736.1980000000003</v>
      </c>
      <c r="R22" s="299">
        <v>20</v>
      </c>
      <c r="S22" s="318" t="str">
        <f>+'20'!A6:A6</f>
        <v>Gourmet Food Poonch Road</v>
      </c>
      <c r="T22" s="300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2013.5593220338976</v>
      </c>
      <c r="R23" s="299">
        <v>21</v>
      </c>
      <c r="S23" s="318" t="str">
        <f>+'21'!A6:A6</f>
        <v xml:space="preserve">Gourmet Food Nadeem Shaheed </v>
      </c>
      <c r="T23" s="300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10749.757322033898</v>
      </c>
      <c r="R24" s="299">
        <v>22</v>
      </c>
      <c r="S24" s="318" t="str">
        <f>+'22'!A6:A6</f>
        <v xml:space="preserve">Gourmet Food Gulshan Ravi </v>
      </c>
      <c r="T24" s="300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53.748786610169489</v>
      </c>
      <c r="R25" s="299">
        <v>23</v>
      </c>
      <c r="S25" s="318" t="str">
        <f>+'23'!A6:A6</f>
        <v xml:space="preserve">Gourmet Food Riwind City </v>
      </c>
      <c r="T25" s="300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10803.506108644067</v>
      </c>
      <c r="R26" s="299">
        <v>24</v>
      </c>
      <c r="S26" s="318" t="str">
        <f>+'24'!A6:A6</f>
        <v xml:space="preserve">Gourmet Food Link Road Model Town </v>
      </c>
      <c r="T26" s="300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18" t="str">
        <f>+'25'!A6:A6</f>
        <v>Gourmet Food Batapur</v>
      </c>
      <c r="T27" s="300">
        <f>+'25'!P35</f>
        <v>0</v>
      </c>
    </row>
    <row r="28" spans="1:20" ht="21.75" customHeight="1" x14ac:dyDescent="0.35">
      <c r="R28" s="299">
        <v>26</v>
      </c>
      <c r="S28" s="318" t="str">
        <f>+'26'!A6:A6</f>
        <v xml:space="preserve">Gourmet Food Jauray Pull 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8" t="str">
        <f>+'27'!A6:A6</f>
        <v xml:space="preserve">Gourmet Food Bhatta Chowk </v>
      </c>
      <c r="T29" s="300">
        <f>+'27'!P35</f>
        <v>0</v>
      </c>
    </row>
    <row r="30" spans="1:20" ht="21.75" customHeight="1" x14ac:dyDescent="0.35">
      <c r="R30" s="299">
        <v>28</v>
      </c>
      <c r="S30" s="318" t="str">
        <f>+'28'!A6:A6</f>
        <v xml:space="preserve">Gourmet Food EME Society </v>
      </c>
      <c r="T30" s="300">
        <f>+'28'!P35</f>
        <v>0</v>
      </c>
    </row>
    <row r="31" spans="1:20" ht="21.75" customHeight="1" x14ac:dyDescent="0.35">
      <c r="R31" s="299">
        <v>29</v>
      </c>
      <c r="S31" s="318" t="str">
        <f>+'29'!A6:A6</f>
        <v xml:space="preserve">Gourmet Food  DHA XX- Block </v>
      </c>
      <c r="T31" s="300">
        <f>+'29'!P35</f>
        <v>0</v>
      </c>
    </row>
    <row r="32" spans="1:20" ht="21.75" customHeight="1" x14ac:dyDescent="0.35">
      <c r="R32" s="299">
        <v>30</v>
      </c>
      <c r="S32" s="318" t="str">
        <f>+'30'!A6:A6</f>
        <v>Gourmet Food Riwind Road Thokar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10803.506108644067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zoomScaleNormal="100" workbookViewId="0">
      <selection activeCell="R31" sqref="R3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549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46280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46279</v>
      </c>
      <c r="O5" s="393"/>
      <c r="P5" s="393"/>
      <c r="R5" s="85"/>
      <c r="S5" s="266"/>
    </row>
    <row r="6" spans="1:22 16383:16384" ht="17.25" customHeight="1" x14ac:dyDescent="0.4">
      <c r="A6" s="399" t="s">
        <v>548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0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0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0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180</v>
      </c>
      <c r="I25" s="114">
        <f t="shared" ref="I25:M25" si="10">SUM(I16:I24)</f>
        <v>10653.9</v>
      </c>
      <c r="J25" s="274">
        <f>SUM(J16:J24)</f>
        <v>1917.7019999999995</v>
      </c>
      <c r="K25" s="275">
        <f t="shared" si="10"/>
        <v>0</v>
      </c>
      <c r="L25" s="276">
        <f t="shared" si="10"/>
        <v>0</v>
      </c>
      <c r="M25" s="232">
        <f t="shared" si="10"/>
        <v>8736.1980000000003</v>
      </c>
      <c r="N25" s="233">
        <f>SUM(N16:N24)</f>
        <v>2013.5593220338976</v>
      </c>
      <c r="O25" s="101">
        <f>SUM(O16:O24)</f>
        <v>53.748786610169489</v>
      </c>
      <c r="P25" s="113">
        <f>SUM(P16:P24)</f>
        <v>10803.506108644066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10653.9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1917.7019999999995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8736.1980000000003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2013.5593220338976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10749.757322033898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53.748786610169489</v>
      </c>
    </row>
    <row r="35" spans="2:16" ht="15.75" customHeight="1" thickBot="1" x14ac:dyDescent="0.4">
      <c r="N35" s="373" t="s">
        <v>88</v>
      </c>
      <c r="O35" s="374"/>
      <c r="P35" s="297">
        <f>+P33+P34</f>
        <v>10803.506108644067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  <c r="F2" t="s">
        <v>541</v>
      </c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543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8.75" customHeight="1" x14ac:dyDescent="0.4">
      <c r="A6" s="399" t="s">
        <v>545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547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546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zoomScaleNormal="100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20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G5" sqref="G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46277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46276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10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zoomScale="110" zoomScaleNormal="11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9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20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10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10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10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542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  <c r="S30" s="215"/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8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1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20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8.7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10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8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40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>
        <v>40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40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>
        <v>40</v>
      </c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>
        <v>0</v>
      </c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8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40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>
        <v>20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>
        <v>20</v>
      </c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>
        <v>10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94" t="s">
        <v>69</v>
      </c>
      <c r="L6" s="394"/>
      <c r="M6" s="394"/>
      <c r="N6" s="396" t="s">
        <v>540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7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46281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46280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2026-09-15T04:22:13Z</dcterms:modified>
</cp:coreProperties>
</file>