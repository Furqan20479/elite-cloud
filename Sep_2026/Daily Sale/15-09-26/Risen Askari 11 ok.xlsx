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C396A37-FD62-4080-9CCB-E55FC54E5D5A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O16" i="43" s="1"/>
  <c r="P16" i="43" s="1"/>
  <c r="J7" i="62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<sst xmlns="http://schemas.openxmlformats.org/spreadsheetml/2006/main" count="3947" uniqueCount="525">
  <si>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</si>
  <si>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</si>
  <si>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</si>
  <si>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</si>
  <si>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</si>
  <si>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</si>
  <si>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</si>
  <si>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</si>
  <si>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</si>
  <si>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</si>
  <si>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</si>
  <si>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</si>
  <si>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</si>
  <si>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</si>
  <si>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</si>
  <si>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</si>
  <si>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</si>
  <si>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</si>
  <si>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</si>
  <si>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</si>
  <si>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</si>
  <si>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</si>
  <si>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</si>
  <si>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</si>
  <si>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</si>
  <si>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</si>
  <si>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</si>
  <si>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</si>
  <si>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</si>
  <si>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</si>
  <si>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</si>
  <si>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</si>
  <si>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</si>
  <si>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</si>
  <si>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</si>
  <si>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</si>
  <si>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</si>
  <si>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</si>
  <si>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</si>
  <si>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</si>
  <si>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</si>
  <si>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</si>
  <si>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</si>
  <si>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</si>
  <si>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</si>
  <si>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</si>
  <si>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</si>
  <si>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</si>
  <si>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</si>
  <si>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</si>
  <si>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</si>
  <si>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</si>
  <si>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</si>
  <si>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</si>
  <si>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</si>
  <si>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</si>
  <si>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</si>
  <si>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</si>
  <si>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</si>
  <si>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</si>
  <si>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</si>
  <si>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</si>
  <si>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</si>
  <si>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</si>
  <si>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</si>
  <si>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</si>
  <si>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</si>
  <si>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</si>
  <si>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</si>
  <si>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</si>
  <si>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</si>
  <si>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</si>
  <si>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</si>
  <si>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</si>
  <si>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</si>
  <si>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</si>
  <si>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</si>
  <si>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</si>
  <si>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</si>
  <si>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</si>
  <si>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</si>
  <si>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</si>
  <si>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</si>
  <si>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</si>
  <si>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</si>
  <si>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</si>
  <si>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</si>
  <si>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</si>
  <si>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</si>
  <si>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</si>
  <si>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</si>
  <si>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</si>
  <si>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</si>
  <si>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</si>
  <si>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</si>
  <si>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</si>
  <si>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</si>
  <si>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</si>
  <si>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</si>
  <si>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</si>
  <si>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</si>
  <si>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</si>
  <si>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</si>
  <si>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</si>
  <si>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</si>
  <si>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</si>
  <si>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</si>
  <si>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</si>
  <si>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</si>
  <si>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</si>
  <si>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</si>
  <si>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</si>
  <si>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</si>
  <si>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</si>
  <si>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</si>
  <si>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</si>
  <si>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</si>
  <si>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</si>
  <si>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</si>
  <si>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</si>
  <si>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</si>
  <si>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</si>
  <si>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</si>
  <si>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</si>
  <si>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</si>
  <si>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</si>
  <si>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</si>
  <si>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</si>
  <si>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</si>
  <si>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</si>
  <si>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</si>
  <si>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</si>
  <si>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</si>
  <si>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</si>
  <si>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</si>
  <si>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</si>
  <si>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</si>
  <si>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</si>
  <si>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</si>
  <si>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</si>
  <si>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</si>
  <si>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</si>
  <si>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</si>
  <si>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</si>
  <si>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</si>
  <si>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</si>
  <si>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</si>
  <si>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</si>
  <si>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</si>
  <si>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</si>
  <si>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</si>
  <si>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</si>
  <si>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</si>
  <si>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</si>
  <si>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</si>
  <si>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</si>
  <si>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</si>
  <si>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</si>
  <si>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</si>
  <si>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</si>
  <si>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</si>
  <si>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</si>
  <si>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</si>
  <si>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</si>
  <si>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</si>
  <si>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</si>
  <si>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</si>
  <si>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</si>
  <si>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</si>
  <si>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</si>
  <si>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</si>
  <si>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</si>
  <si>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</si>
  <si>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</si>
  <si>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</si>
  <si>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</si>
  <si>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</si>
  <si>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</si>
  <si>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</si>
  <si>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</si>
  <si>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</si>
  <si>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</si>
  <si>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</si>
  <si>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</si>
  <si>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</si>
  <si>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</si>
  <si>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</si>
  <si>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</si>
  <si>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</si>
  <si>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</si>
  <si>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</si>
  <si>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</si>
  <si>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</si>
  <si>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</si>
  <si>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</si>
  <si>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</si>
  <si>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</si>
  <si>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</si>
  <si>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</si>
  <si>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</si>
  <si>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</si>
  <si>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</si>
  <si>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</si>
  <si>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</si>
  <si>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</si>
  <si>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</si>
  <si>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</si>
  <si>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</si>
  <si>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</si>
  <si>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</si>
  <si>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</si>
  <si>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</si>
  <si>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</si>
  <si>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</si>
  <si>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</si>
  <si>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</si>
  <si>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</si>
  <si>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</si>
  <si>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</si>
  <si>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</si>
  <si>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</si>
  <si>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</si>
  <si>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</si>
  <si>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</si>
  <si>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</si>
  <si>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</si>
  <si>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</si>
  <si>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</si>
  <si>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</si>
  <si>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</si>
  <si>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</si>
  <si>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</si>
  <si>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</si>
  <si>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</si>
  <si>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</si>
  <si>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</si>
  <si>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</si>
  <si>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</si>
  <si>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</si>
  <si>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</si>
  <si>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</si>
  <si>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</si>
  <si>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</si>
  <si>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</si>
  <si>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</si>
  <si>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</si>
  <si>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</si>
  <si>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</si>
  <si>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</si>
  <si>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</si>
  <si>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</si>
  <si>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</si>
  <si>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</si>
  <si>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</si>
  <si>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</si>
  <si>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</si>
  <si>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</si>
  <si>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</si>
  <si>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</si>
  <si>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</si>
  <si>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</si>
  <si>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</si>
  <si>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</si>
  <si>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</si>
  <si>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</si>
  <si>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</si>
  <si>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</si>
  <si>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</si>
  <si>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</si>
  <si>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</si>
  <si>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</si>
  <si>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</si>
  <si>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</si>
  <si>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</si>
  <si>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</si>
  <si>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</si>
  <si>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</si>
  <si>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</si>
  <si>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</si>
  <si>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</si>
  <si>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</si>
  <si>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</si>
  <si>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</si>
  <si>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</si>
  <si>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</si>
  <si>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</si>
  <si>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</si>
  <si>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</si>
  <si>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</si>
  <si>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</si>
  <si>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</si>
  <si>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</si>
  <si>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</si>
  <si>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</si>
  <si>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</si>
  <si>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</si>
  <si>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</si>
  <si>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</si>
  <si>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</si>
  <si>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</si>
  <si>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</si>
  <si>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</si>
  <si>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</si>
  <si>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</si>
  <si>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</si>
  <si>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</si>
  <si>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</si>
  <si>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</si>
  <si>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</si>
  <si>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</si>
  <si>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</si>
  <si>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</si>
  <si>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</si>
  <si>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</si>
  <si>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</si>
  <si>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</si>
  <si>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</si>
  <si>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</si>
  <si>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</si>
  <si>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</si>
  <si>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</si>
  <si>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</si>
  <si>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</si>
  <si>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</si>
  <si>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</si>
  <si>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</si>
  <si>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</si>
  <si>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</si>
  <si>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</si>
  <si>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</si>
  <si>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</si>
  <si>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</si>
  <si>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</si>
  <si>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</si>
  <si>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</si>
  <si>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</si>
  <si>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</si>
  <si>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</si>
  <si>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</si>
  <si>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</si>
  <si>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</si>
  <si>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</si>
  <si>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</si>
  <si>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</si>
  <si>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</si>
  <si>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</si>
  <si>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</si>
  <si>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</si>
  <si>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</si>
  <si>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</si>
  <si>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</si>
  <si>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</si>
  <si>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</si>
  <si>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</si>
  <si>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</si>
  <si>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</si>
  <si>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</si>
  <si>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</si>
  <si>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</si>
  <si>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</si>
  <si>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</si>
  <si>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</si>
  <si>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</si>
  <si>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</si>
  <si>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</si>
  <si>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</si>
  <si>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</si>
  <si>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</si>
  <si>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</si>
  <si>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</si>
  <si>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</si>
  <si>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</si>
  <si>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</si>
  <si>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</si>
  <si>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</si>
  <si>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</si>
  <si>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</si>
  <si>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</si>
  <si>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</si>
  <si>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</si>
  <si>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</si>
  <si>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</si>
  <si>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</si>
  <si>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</si>
  <si>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</si>
  <si>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</si>
  <si>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</si>
  <si>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</si>
  <si>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</si>
  <si>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</si>
  <si>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</si>
  <si>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</si>
  <si>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</si>
  <si>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</si>
  <si>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</si>
  <si>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</si>
  <si>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</si>
  <si>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</si>
  <si>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</si>
  <si>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</si>
  <si>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</si>
  <si>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</si>
  <si>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</si>
  <si>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</si>
  <si>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</si>
  <si>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</si>
  <si>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</si>
  <si>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</si>
  <si>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</si>
  <si>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</si>
  <si>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</si>
  <si>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</si>
  <si>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</si>
  <si>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</si>
  <si>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</si>
  <si>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</si>
  <si>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</si>
  <si>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</si>
  <si>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</si>
  <si>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</si>
  <si>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</si>
  <si>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</si>
  <si>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</si>
  <si>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</si>
  <si>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</si>
  <si>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</si>
  <si>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</si>
  <si>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</si>
  <si>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</si>
  <si>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</si>
  <si>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</si>
  <si>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</si>
  <si>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</si>
  <si>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</si>
  <si>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</si>
  <si>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</si>
  <si>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</si>
  <si>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</si>
  <si>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</si>
  <si>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</si>
  <si>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</si>
  <si>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</si>
  <si>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</si>
  <si>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</si>
  <si>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</si>
  <si>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</si>
  <si>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</si>
  <si>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</si>
  <si>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</si>
  <si>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</si>
  <si>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</si>
  <si>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</si>
  <si>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</si>
  <si>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</si>
  <si>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</si>
  <si>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</si>
  <si>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</si>
  <si>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</si>
  <si>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</si>
  <si>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</si>
  <si>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</si>
  <si>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</si>
  <si>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</si>
  <si>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</si>
  <si>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</si>
  <si>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</si>
  <si>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</si>
  <si>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</si>
  <si>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</si>
  <si>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</si>
  <si>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</si>
  <si>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</si>
  <si>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</si>
  <si>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</si>
  <si>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</si>
  <si>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</si>
  <si>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</si>
  <si>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</si>
  <si>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</si>
  <si>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</si>
  <si>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</si>
  <si>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</si>
  <si>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</si>
  <si>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</si>
  <si>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</si>
  <si>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</si>
  <si>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</si>
  <si>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</si>
  <si>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</si>
  <si>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</si>
  <si>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</si>
  <si>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</si>
  <si>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</si>
  <si>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</si>
  <si>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</si>
  <si>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</si>
  <si>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</si>
  <si>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</si>
  <si>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</si>
  <si>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</si>
  <si>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</si>
  <si>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</si>
  <si>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</si>
  <si>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</si>
  <si>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</si>
  <si>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</si>
  <si>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</si>
  <si>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</si>
  <si>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</si>
  <si>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</si>
  <si>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</si>
  <si>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</si>
  <si>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</si>
  <si>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Invoice No # :1566516</t>
  </si>
  <si>
    <t>Rafaqat Sons</t>
  </si>
  <si>
    <t>NTN #: 8822959-7</t>
  </si>
  <si>
    <t>M &amp; M Traders</t>
  </si>
  <si>
    <t xml:space="preserve">Address: Manawan </t>
  </si>
  <si>
    <t>_CB TRADERS</t>
  </si>
  <si>
    <t>NTN #: 4987374-2</t>
  </si>
  <si>
    <t>Invoice No # :11462</t>
  </si>
  <si>
    <t>NTN #:9725069-2</t>
  </si>
  <si>
    <t>MS Traders</t>
  </si>
  <si>
    <t>Address: Askari 11</t>
  </si>
  <si>
    <t>Invoice No # :156154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</si>
</sst>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46295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MS Traders</v>
      </c>
      <c r="T3" s="301">
        <f>+'1'!P35</f>
        <v>7238.0279707627124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_CB TRADERS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M &amp; M Traders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 &amp; M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310">
        <f>M7+N7+O7</f>
        <v>2138.512032838983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 &amp; M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311">
        <f t="shared" ref="P8:P15" si="2">M8+N8+O8</f>
        <v>2138.512032838983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 &amp; M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 &amp; M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311">
        <f t="shared" si="2"/>
        <v>2961.0039050847454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 &amp; M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M &amp; M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 &amp; M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 &amp; M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 &amp; M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 &amp; M Traders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3</v>
      </c>
      <c r="H16" s="113">
        <f t="shared" ref="H16:M16" si="3">SUM(H7:H15)</f>
        <v>120</v>
      </c>
      <c r="I16" s="114">
        <f t="shared" si="3"/>
        <v>7102.6</v>
      </c>
      <c r="J16" s="274">
        <f>SUM(J7:J15)</f>
        <v>994.36400000000003</v>
      </c>
      <c r="K16" s="275">
        <f t="shared" si="3"/>
        <v>248.59100000000001</v>
      </c>
      <c r="L16" s="276">
        <f t="shared" si="3"/>
        <v>0</v>
      </c>
      <c r="M16" s="232">
        <f t="shared" si="3"/>
        <v>5859.6450000000004</v>
      </c>
      <c r="N16" s="233">
        <f>SUM(N7:N15)</f>
        <v>1342.3728813559319</v>
      </c>
      <c r="O16" s="101">
        <f>SUM(O7:O15)</f>
        <v>36.010089406779656</v>
      </c>
      <c r="P16" s="113">
        <f>SUM(P7:P15)</f>
        <v>7238.0279707627114</v>
      </c>
      <c r="Q16" s="128">
        <f>SUM(Q7:Q15)</f>
        <v>0</v>
      </c>
      <c r="R16" s="314">
        <v>14</v>
      </c>
      <c r="S16" s="300" t="str">
        <f>+'14'!A6:A6</f>
        <v>M &amp; M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 &amp; M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 &amp; M Traders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7102.6</v>
      </c>
      <c r="R19" s="299">
        <v>17</v>
      </c>
      <c r="S19" s="300" t="str">
        <f>+'17'!A6:A6</f>
        <v>M &amp; M Traders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994.36400000000003</v>
      </c>
      <c r="R20" s="299">
        <v>18</v>
      </c>
      <c r="S20" s="300" t="str">
        <f>+'18'!A6:A6</f>
        <v>M &amp; M Traders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248.59100000000001</v>
      </c>
      <c r="R21" s="299">
        <v>19</v>
      </c>
      <c r="S21" s="300" t="str">
        <f>+'19'!A6:A6</f>
        <v>M &amp; M Traders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5859.6450000000004</v>
      </c>
      <c r="R22" s="299">
        <v>20</v>
      </c>
      <c r="S22" s="300" t="str">
        <f>+'20'!A6:A6</f>
        <v>M &amp; M Traders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1342.3728813559319</v>
      </c>
      <c r="R23" s="299">
        <v>21</v>
      </c>
      <c r="S23" s="300" t="str">
        <f>+'21'!A6:A6</f>
        <v>M &amp; M Traders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7202.0178813559323</v>
      </c>
      <c r="R24" s="299">
        <v>22</v>
      </c>
      <c r="S24" s="300" t="str">
        <f>+'22'!A6:A6</f>
        <v>M &amp; M Traders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36.010089406779656</v>
      </c>
      <c r="R25" s="299">
        <v>23</v>
      </c>
      <c r="S25" s="300" t="str">
        <f>+'23'!A6:A6</f>
        <v>M &amp; M Traders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7238.0279707627124</v>
      </c>
      <c r="R26" s="299">
        <v>24</v>
      </c>
      <c r="S26" s="300" t="str">
        <f>+'24'!A6:A6</f>
        <v>M &amp; M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M &amp; M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 &amp; M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 &amp; M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 &amp; M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 &amp; M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 &amp; M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7238.0279707627124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46280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46279</v>
      </c>
      <c r="O5" s="369"/>
      <c r="P5" s="369"/>
      <c r="R5" s="85"/>
      <c r="S5" s="266"/>
    </row>
    <row r="6" spans="1:22 16383:16384" ht="17.2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319">
        <v>3.5000000000000003E-2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994.36400000000003</v>
      </c>
      <c r="K25" s="275">
        <f t="shared" si="10"/>
        <v>248.59100000000001</v>
      </c>
      <c r="L25" s="276">
        <f t="shared" si="10"/>
        <v>0</v>
      </c>
      <c r="M25" s="232">
        <f t="shared" si="10"/>
        <v>5859.6450000000004</v>
      </c>
      <c r="N25" s="233">
        <f>SUM(N16:N24)</f>
        <v>1342.3728813559319</v>
      </c>
      <c r="O25" s="101">
        <f>SUM(O16:O24)</f>
        <v>36.010089406779656</v>
      </c>
      <c r="P25" s="113">
        <f>SUM(P16:P24)</f>
        <v>7238.0279707627114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7102.6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994.36400000000003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248.59100000000001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5859.6450000000004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7202.0178813559323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36.010089406779663</v>
      </c>
    </row>
    <row r="35" spans="2:16" ht="15.75" customHeight="1" thickBot="1" x14ac:dyDescent="0.4">
      <c r="N35" s="344" t="s">
        <v>88</v>
      </c>
      <c r="O35" s="345"/>
      <c r="P35" s="297">
        <f>+P33+P34</f>
        <v>7238.0279707627124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D6" sqref="D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520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519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517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515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512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8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46296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46295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2026-09-30T07:09:30Z</dcterms:modified>
</cp:coreProperties>
</file>