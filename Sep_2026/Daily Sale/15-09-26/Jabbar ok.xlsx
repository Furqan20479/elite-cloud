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C5E6719-1B65-46CD-8597-19A0EE070D40}" xr6:coauthVersionLast="47" xr6:coauthVersionMax="47" xr10:uidLastSave="{00000000-0000-0000-0000-000000000000}"/>
  <bookViews>
    <workbookView xWindow="-110" yWindow="-110" windowWidth="19420" windowHeight="10420" tabRatio="948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1" i="47"/>
  <c r="O21" i="47" s="1"/>
  <c r="P21" i="47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<sst xmlns="http://schemas.openxmlformats.org/spreadsheetml/2006/main" count="3948" uniqueCount="524">
  <si>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</si>
  <si>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</si>
  <si>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</si>
  <si>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</si>
  <si>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</si>
  <si>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</si>
  <si>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</si>
  <si>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</si>
  <si>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</si>
  <si>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</si>
  <si>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</si>
  <si>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</si>
  <si>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</si>
  <si>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</si>
  <si>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</si>
  <si>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</si>
  <si>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</si>
  <si>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</si>
  <si>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</si>
  <si>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</si>
  <si>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</si>
  <si>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</si>
  <si>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</si>
  <si>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</si>
  <si>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</si>
  <si>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</si>
  <si>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</si>
  <si>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</si>
  <si>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</si>
  <si>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</si>
  <si>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</si>
  <si>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</si>
  <si>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</si>
  <si>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</si>
  <si>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</si>
  <si>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</si>
  <si>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</si>
  <si>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</si>
  <si>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</si>
  <si>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</si>
  <si>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</si>
  <si>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</si>
  <si>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</si>
  <si>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</si>
  <si>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</si>
  <si>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</si>
  <si>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</si>
  <si>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</si>
  <si>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</si>
  <si>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</si>
  <si>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</si>
  <si>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</si>
  <si>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</si>
  <si>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</si>
  <si>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</si>
  <si>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</si>
  <si>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</si>
  <si>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</si>
  <si>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</si>
  <si>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</si>
  <si>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</si>
  <si>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</si>
  <si>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</si>
  <si>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</si>
  <si>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</si>
  <si>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</si>
  <si>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</si>
  <si>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</si>
  <si>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</si>
  <si>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</si>
  <si>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</si>
  <si>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</si>
  <si>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</si>
  <si>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</si>
  <si>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</si>
  <si>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</si>
  <si>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</si>
  <si>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</si>
  <si>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</si>
  <si>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</si>
  <si>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</si>
  <si>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</si>
  <si>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</si>
  <si>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</si>
  <si>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</si>
  <si>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</si>
  <si>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</si>
  <si>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</si>
  <si>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</si>
  <si>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</si>
  <si>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</si>
  <si>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</si>
  <si>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</si>
  <si>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</si>
  <si>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</si>
  <si>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</si>
  <si>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</si>
  <si>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</si>
  <si>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</si>
  <si>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</si>
  <si>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</si>
  <si>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</si>
  <si>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</si>
  <si>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</si>
  <si>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</si>
  <si>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</si>
  <si>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</si>
  <si>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</si>
  <si>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</si>
  <si>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</si>
  <si>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</si>
  <si>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</si>
  <si>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</si>
  <si>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</si>
  <si>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</si>
  <si>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</si>
  <si>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</si>
  <si>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</si>
  <si>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</si>
  <si>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</si>
  <si>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</si>
  <si>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</si>
  <si>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</si>
  <si>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</si>
  <si>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</si>
  <si>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</si>
  <si>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</si>
  <si>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</si>
  <si>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</si>
  <si>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</si>
  <si>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</si>
  <si>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</si>
  <si>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</si>
  <si>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</si>
  <si>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</si>
  <si>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</si>
  <si>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</si>
  <si>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</si>
  <si>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</si>
  <si>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</si>
  <si>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</si>
  <si>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</si>
  <si>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</si>
  <si>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</si>
  <si>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</si>
  <si>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</si>
  <si>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</si>
  <si>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</si>
  <si>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</si>
  <si>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</si>
  <si>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</si>
  <si>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</si>
  <si>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</si>
  <si>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</si>
  <si>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</si>
  <si>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</si>
  <si>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</si>
  <si>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</si>
  <si>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</si>
  <si>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</si>
  <si>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</si>
  <si>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</si>
  <si>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</si>
  <si>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</si>
  <si>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</si>
  <si>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</si>
  <si>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</si>
  <si>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</si>
  <si>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</si>
  <si>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</si>
  <si>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</si>
  <si>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</si>
  <si>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</si>
  <si>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</si>
  <si>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</si>
  <si>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</si>
  <si>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</si>
  <si>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</si>
  <si>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</si>
  <si>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</si>
  <si>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</si>
  <si>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</si>
  <si>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</si>
  <si>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</si>
  <si>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</si>
  <si>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</si>
  <si>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</si>
  <si>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</si>
  <si>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</si>
  <si>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</si>
  <si>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</si>
  <si>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</si>
  <si>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</si>
  <si>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</si>
  <si>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</si>
  <si>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</si>
  <si>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</si>
  <si>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</si>
  <si>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</si>
  <si>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</si>
  <si>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</si>
  <si>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</si>
  <si>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</si>
  <si>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</si>
  <si>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</si>
  <si>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</si>
  <si>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</si>
  <si>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</si>
  <si>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</si>
  <si>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</si>
  <si>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</si>
  <si>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</si>
  <si>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</si>
  <si>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</si>
  <si>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</si>
  <si>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</si>
  <si>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</si>
  <si>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</si>
  <si>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</si>
  <si>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</si>
  <si>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</si>
  <si>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</si>
  <si>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</si>
  <si>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</si>
  <si>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</si>
  <si>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</si>
  <si>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</si>
  <si>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</si>
  <si>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</si>
  <si>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</si>
  <si>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</si>
  <si>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</si>
  <si>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</si>
  <si>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</si>
  <si>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</si>
  <si>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</si>
  <si>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</si>
  <si>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</si>
  <si>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</si>
  <si>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</si>
  <si>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</si>
  <si>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</si>
  <si>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</si>
  <si>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</si>
  <si>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</si>
  <si>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</si>
  <si>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</si>
  <si>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</si>
  <si>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</si>
  <si>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</si>
  <si>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</si>
  <si>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</si>
  <si>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</si>
  <si>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</si>
  <si>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</si>
  <si>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</si>
  <si>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</si>
  <si>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</si>
  <si>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</si>
  <si>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</si>
  <si>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</si>
  <si>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</si>
  <si>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</si>
  <si>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</si>
  <si>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</si>
  <si>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</si>
  <si>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</si>
  <si>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</si>
  <si>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</si>
  <si>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</si>
  <si>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</si>
  <si>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</si>
  <si>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</si>
  <si>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</si>
  <si>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</si>
  <si>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</si>
  <si>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</si>
  <si>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</si>
  <si>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</si>
  <si>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</si>
  <si>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</si>
  <si>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</si>
  <si>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</si>
  <si>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</si>
  <si>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</si>
  <si>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</si>
  <si>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</si>
  <si>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</si>
  <si>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</si>
  <si>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</si>
  <si>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</si>
  <si>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</si>
  <si>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</si>
  <si>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</si>
  <si>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</si>
  <si>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</si>
  <si>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</si>
  <si>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</si>
  <si>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</si>
  <si>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</si>
  <si>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</si>
  <si>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</si>
  <si>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</si>
  <si>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</si>
  <si>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</si>
  <si>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</si>
  <si>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</si>
  <si>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</si>
  <si>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</si>
  <si>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</si>
  <si>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</si>
  <si>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</si>
  <si>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</si>
  <si>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</si>
  <si>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</si>
  <si>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</si>
  <si>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</si>
  <si>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</si>
  <si>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</si>
  <si>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</si>
  <si>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</si>
  <si>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</si>
  <si>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</si>
  <si>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</si>
  <si>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</si>
  <si>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</si>
  <si>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</si>
  <si>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</si>
  <si>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</si>
  <si>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</si>
  <si>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</si>
  <si>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</si>
  <si>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</si>
  <si>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</si>
  <si>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</si>
  <si>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</si>
  <si>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</si>
  <si>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</si>
  <si>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</si>
  <si>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</si>
  <si>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</si>
  <si>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</si>
  <si>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</si>
  <si>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</si>
  <si>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</si>
  <si>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</si>
  <si>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</si>
  <si>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</si>
  <si>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</si>
  <si>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</si>
  <si>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</si>
  <si>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</si>
  <si>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</si>
  <si>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</si>
  <si>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</si>
  <si>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</si>
  <si>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</si>
  <si>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</si>
  <si>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</si>
  <si>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</si>
  <si>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</si>
  <si>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</si>
  <si>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</si>
  <si>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</si>
  <si>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</si>
  <si>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</si>
  <si>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</si>
  <si>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</si>
  <si>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</si>
  <si>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</si>
  <si>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</si>
  <si>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</si>
  <si>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</si>
  <si>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</si>
  <si>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</si>
  <si>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</si>
  <si>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</si>
  <si>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</si>
  <si>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</si>
  <si>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</si>
  <si>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</si>
  <si>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</si>
  <si>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</si>
  <si>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</si>
  <si>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</si>
  <si>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</si>
  <si>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</si>
  <si>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</si>
  <si>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</si>
  <si>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</si>
  <si>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</si>
  <si>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</si>
  <si>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</si>
  <si>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</si>
  <si>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</si>
  <si>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</si>
  <si>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</si>
  <si>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</si>
  <si>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</si>
  <si>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</si>
  <si>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</si>
  <si>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</si>
  <si>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</si>
  <si>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</si>
  <si>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</si>
  <si>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</si>
  <si>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</si>
  <si>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</si>
  <si>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</si>
  <si>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</si>
  <si>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</si>
  <si>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</si>
  <si>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</si>
  <si>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</si>
  <si>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</si>
  <si>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</si>
  <si>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</si>
  <si>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</si>
  <si>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</si>
  <si>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</si>
  <si>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</si>
  <si>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</si>
  <si>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</si>
  <si>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</si>
  <si>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</si>
  <si>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</si>
  <si>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</si>
  <si>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</si>
  <si>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</si>
  <si>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</si>
  <si>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</si>
  <si>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</si>
  <si>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</si>
  <si>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</si>
  <si>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</si>
  <si>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</si>
  <si>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</si>
  <si>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</si>
  <si>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</si>
  <si>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</si>
  <si>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</si>
  <si>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</si>
  <si>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</si>
  <si>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</si>
  <si>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</si>
  <si>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</si>
  <si>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</si>
  <si>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</si>
  <si>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</si>
  <si>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</si>
  <si>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</si>
  <si>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</si>
  <si>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</si>
  <si>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</si>
  <si>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</si>
  <si>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</si>
  <si>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</si>
  <si>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</si>
  <si>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</si>
  <si>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</si>
  <si>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</si>
  <si>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</si>
  <si>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</si>
  <si>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</si>
  <si>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</si>
  <si>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</si>
  <si>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</si>
  <si>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</si>
  <si>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</si>
  <si>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</si>
  <si>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</si>
  <si>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</si>
  <si>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</si>
  <si>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</si>
  <si>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</si>
  <si>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</si>
  <si>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</si>
  <si>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</si>
  <si>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</si>
  <si>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</si>
  <si>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</si>
  <si>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</si>
  <si>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</si>
  <si>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</si>
  <si>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</si>
  <si>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</si>
  <si>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</si>
  <si>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</si>
  <si>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</si>
  <si>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</si>
  <si>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</si>
  <si>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</si>
  <si>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</si>
  <si>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</si>
  <si>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</si>
  <si>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</si>
  <si>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</si>
  <si>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</si>
  <si>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</si>
  <si>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</si>
  <si>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</si>
  <si>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</si>
  <si>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</si>
  <si>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</si>
  <si>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</si>
  <si>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</si>
  <si>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</si>
  <si>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</si>
  <si>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</si>
  <si>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</si>
  <si>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</si>
  <si>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</si>
  <si>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</si>
  <si>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</si>
  <si>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786 Store</t>
  </si>
  <si>
    <t xml:space="preserve">Address: Rehman Garden </t>
  </si>
  <si>
    <t xml:space="preserve">City Mart </t>
  </si>
  <si>
    <t xml:space="preserve">FGC Mart </t>
  </si>
  <si>
    <t>SMS Store</t>
  </si>
  <si>
    <t>Classic Store</t>
  </si>
  <si>
    <t>Bukhari Store</t>
  </si>
  <si>
    <t>Al Hamd Store</t>
  </si>
  <si>
    <t xml:space="preserve">Joya Mart </t>
  </si>
  <si>
    <t xml:space="preserve">Address: Sajid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</si>
</sst>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786 Store</v>
      </c>
      <c r="T3" s="301">
        <f>+'1'!P35</f>
        <v>1180.2688488991523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City Mart </v>
      </c>
      <c r="T4" s="301">
        <f>+'2'!P35</f>
        <v>313.62115850847459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786 Store</v>
      </c>
      <c r="T5" s="301">
        <f>+'3'!P35</f>
        <v>6235.8521246694918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FGC Mart </v>
      </c>
      <c r="T6" s="301">
        <f>+'4'!P35</f>
        <v>4158.1097259883472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93</v>
      </c>
      <c r="I7" s="235">
        <f>(G7*D7)*F7+H7*F7</f>
        <v>4879.0124999999998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390.32099999999997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170.76543750000002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4317.9260624999997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922.11864406779625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26.200223532838983</v>
      </c>
      <c r="P7" s="310">
        <f>M7+N7+O7</f>
        <v>5266.2449301006354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SMS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34</v>
      </c>
      <c r="I8" s="236">
        <f t="shared" ref="I8:I14" si="0">(G8*D8)*F8+H8*F8</f>
        <v>1783.7249999999999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142.69800000000001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62.430375000000005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1578.5966249999999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337.11864406779648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9.5785763453389823</v>
      </c>
      <c r="P8" s="311">
        <f t="shared" ref="P8:P15" si="2">M8+N8+O8</f>
        <v>1925.2938454131352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Classic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84</v>
      </c>
      <c r="I9" s="236">
        <f t="shared" si="0"/>
        <v>4406.8499999999995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352.548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154.23975000000002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3900.0622499999995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832.88135593220295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23.664718029661017</v>
      </c>
      <c r="P9" s="311">
        <f t="shared" si="2"/>
        <v>4756.6083239618638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Bukhari Store</v>
      </c>
      <c r="T9" s="301">
        <f>+'7'!P35</f>
        <v>2265.051582838983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106</v>
      </c>
      <c r="I10" s="236">
        <f t="shared" si="0"/>
        <v>7699.84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615.98720000000003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269.49440000000004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6814.3584000000001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1455.2542372881358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41.348063186440683</v>
      </c>
      <c r="P10" s="311">
        <f t="shared" si="2"/>
        <v>8310.9607004745758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Hamd Store</v>
      </c>
      <c r="T10" s="301">
        <f>+'8'!P35</f>
        <v>14140.88216283051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466.77966101694921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13.262586305084747</v>
      </c>
      <c r="P11" s="311">
        <f t="shared" si="2"/>
        <v>2665.7798473220346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Joya Mart </v>
      </c>
      <c r="T11" s="301">
        <f>+'9'!P35</f>
        <v>1560.7915834423727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96</v>
      </c>
      <c r="I12" s="236">
        <f t="shared" si="0"/>
        <v>6973.4400000000005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557.87520000000006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244.07040000000001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6171.4944000000005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1317.9661016949153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37.447302508474579</v>
      </c>
      <c r="P12" s="311">
        <f t="shared" si="2"/>
        <v>7526.9078042033898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136</v>
      </c>
      <c r="I13" s="236">
        <f t="shared" si="0"/>
        <v>5335.2800000000007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266.76400000000007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186.73480000000004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272.09928000000002</v>
      </c>
      <c r="M13" s="230">
        <f t="shared" si="1"/>
        <v>4609.6819200000009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1037.2881355932197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28.234850277966103</v>
      </c>
      <c r="P13" s="311">
        <f t="shared" si="2"/>
        <v>5675.2049058711864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14.574999999999999</v>
      </c>
      <c r="H16" s="113">
        <f t="shared" ref="H16:M16" si="3">SUM(H7:H15)</f>
        <v>583</v>
      </c>
      <c r="I16" s="114">
        <f t="shared" si="3"/>
        <v>33547.907500000001</v>
      </c>
      <c r="J16" s="274">
        <f>SUM(J7:J15)</f>
        <v>2523.7742000000003</v>
      </c>
      <c r="K16" s="275">
        <f t="shared" si="3"/>
        <v>1174.1767625</v>
      </c>
      <c r="L16" s="276">
        <f t="shared" si="3"/>
        <v>272.09928000000002</v>
      </c>
      <c r="M16" s="232">
        <f t="shared" si="3"/>
        <v>29577.8572575</v>
      </c>
      <c r="N16" s="233">
        <f>SUM(N7:N15)</f>
        <v>6369.4067796610152</v>
      </c>
      <c r="O16" s="101">
        <f>SUM(O7:O15)</f>
        <v>179.73632018580511</v>
      </c>
      <c r="P16" s="113">
        <f>SUM(P7:P15)</f>
        <v>36127.00035734682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33547.907500000001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2523.7742000000003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1446.2760425000001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29577.8572575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6369.4067796610152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35947.264037161018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179.73632018580511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36127.00035734682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36127.00035734682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ref="I18:I21" si="7">(G18*D18)*F18+H18*F18</f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1100.31</v>
      </c>
      <c r="J25" s="274">
        <f>SUM(J16:J24)</f>
        <v>73.902000000000015</v>
      </c>
      <c r="K25" s="275">
        <f t="shared" si="10"/>
        <v>38.510850000000005</v>
      </c>
      <c r="L25" s="276">
        <f t="shared" si="10"/>
        <v>24.008760000000002</v>
      </c>
      <c r="M25" s="232">
        <f t="shared" si="10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1100.31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73.902000000000015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62.519610000000007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963.88838999999984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1174.3968645762709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5" t="s">
        <v>88</v>
      </c>
      <c r="O35" s="346"/>
      <c r="P35" s="297">
        <f>+P33+P34</f>
        <v>1180.2688488991523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290.56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23.244800000000001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10.169600000000001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257.1456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312.06085423728814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313.62115850847459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100</v>
      </c>
      <c r="I25" s="114">
        <f t="shared" si="7"/>
        <v>5788.7000000000007</v>
      </c>
      <c r="J25" s="274">
        <f>SUM(J16:J24)</f>
        <v>439.55800000000005</v>
      </c>
      <c r="K25" s="275">
        <f t="shared" si="7"/>
        <v>202.60450000000003</v>
      </c>
      <c r="L25" s="276">
        <f t="shared" si="7"/>
        <v>40.014600000000002</v>
      </c>
      <c r="M25" s="232">
        <f t="shared" si="7"/>
        <v>5106.5228999999999</v>
      </c>
      <c r="N25" s="233">
        <f>SUM(N16:N24)</f>
        <v>1098.3050847457625</v>
      </c>
      <c r="O25" s="101">
        <f>SUM(O16:O24)</f>
        <v>31.024139923728814</v>
      </c>
      <c r="P25" s="234">
        <f>SUM(P16:P24)</f>
        <v>6235.8521246694909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5788.7000000000007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439.55800000000005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242.61910000000003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5106.5229000000008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6204.8279847457634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31.024139923728818</v>
      </c>
    </row>
    <row r="35" spans="2:16" ht="15.75" customHeight="1" thickBot="1" x14ac:dyDescent="0.4">
      <c r="N35" s="345" t="s">
        <v>88</v>
      </c>
      <c r="O35" s="346"/>
      <c r="P35" s="297">
        <f>+P33+P34</f>
        <v>6235.8521246694918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71</v>
      </c>
      <c r="I25" s="114">
        <f t="shared" si="7"/>
        <v>3863.7375000000002</v>
      </c>
      <c r="J25" s="274">
        <f>SUM(J16:J24)</f>
        <v>285.56099999999998</v>
      </c>
      <c r="K25" s="275">
        <f t="shared" si="7"/>
        <v>135.23081250000001</v>
      </c>
      <c r="L25" s="276">
        <f t="shared" si="7"/>
        <v>40.014600000000002</v>
      </c>
      <c r="M25" s="232">
        <f t="shared" si="7"/>
        <v>3402.9310875000001</v>
      </c>
      <c r="N25" s="233">
        <f>SUM(N16:N24)</f>
        <v>734.4915254237286</v>
      </c>
      <c r="O25" s="101">
        <f>SUM(O16:O24)</f>
        <v>20.687113064618647</v>
      </c>
      <c r="P25" s="234">
        <f>SUM(P16:P24)</f>
        <v>4158.1097259883472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3863.7375000000002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285.56099999999998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175.24541250000001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3402.9310875000001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734.4915254237286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4137.4226129237286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20.687113064618643</v>
      </c>
    </row>
    <row r="35" spans="2:16" ht="15.75" customHeight="1" thickBot="1" x14ac:dyDescent="0.4">
      <c r="N35" s="345" t="s">
        <v>88</v>
      </c>
      <c r="O35" s="346"/>
      <c r="P35" s="297">
        <f>+P33+P34</f>
        <v>4158.1097259883472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13146.600000000002</v>
      </c>
      <c r="J25" s="274">
        <f>SUM(J16:J24)</f>
        <v>957.57600000000002</v>
      </c>
      <c r="K25" s="275">
        <f t="shared" si="7"/>
        <v>460.13100000000009</v>
      </c>
      <c r="L25" s="276">
        <f t="shared" si="7"/>
        <v>160.05840000000001</v>
      </c>
      <c r="M25" s="232">
        <f t="shared" si="7"/>
        <v>11568.834600000002</v>
      </c>
      <c r="N25" s="233">
        <f>SUM(N16:N24)</f>
        <v>2501.6949152542365</v>
      </c>
      <c r="O25" s="101">
        <f>SUM(O16:O24)</f>
        <v>70.352647576271181</v>
      </c>
      <c r="P25" s="234">
        <f>SUM(P16:P24)</f>
        <v>14140.882162830509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13146.600000000002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957.57600000000002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620.18940000000009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11568.834600000002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2501.6949152542365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14070.529515254239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70.352647576271195</v>
      </c>
    </row>
    <row r="35" spans="2:16" ht="15.75" customHeight="1" thickBot="1" x14ac:dyDescent="0.4">
      <c r="N35" s="345" t="s">
        <v>88</v>
      </c>
      <c r="O35" s="346"/>
      <c r="P35" s="297">
        <f>+P33+P34</f>
        <v>14140.88216283051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119">
        <f t="shared" si="5"/>
        <v>166.91779134915254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1448.3</v>
      </c>
      <c r="J25" s="274">
        <f>SUM(J16:J24)</f>
        <v>111.1564</v>
      </c>
      <c r="K25" s="275">
        <f t="shared" si="7"/>
        <v>50.690500000000007</v>
      </c>
      <c r="L25" s="276">
        <f t="shared" si="7"/>
        <v>8.0029199999999996</v>
      </c>
      <c r="M25" s="232">
        <f t="shared" si="7"/>
        <v>1278.45018</v>
      </c>
      <c r="N25" s="233">
        <f>SUM(N16:N24)</f>
        <v>274.57627118644064</v>
      </c>
      <c r="O25" s="101">
        <f>SUM(O16:O24)</f>
        <v>7.7651322559322029</v>
      </c>
      <c r="P25" s="234">
        <f>SUM(P16:P24)</f>
        <v>1560.7915834423727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1448.3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111.1564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58.693420000000003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1278.4501799999998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1553.0264511864405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7.765132255932202</v>
      </c>
    </row>
    <row r="35" spans="2:16" ht="15.75" customHeight="1" thickBot="1" x14ac:dyDescent="0.4">
      <c r="N35" s="345" t="s">
        <v>88</v>
      </c>
      <c r="O35" s="346"/>
      <c r="P35" s="297">
        <f>+P33+P34</f>
        <v>1560.7915834423727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A25" sqref="A25:B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2026-09-30T07:05:46Z</dcterms:modified>
</cp:coreProperties>
</file>