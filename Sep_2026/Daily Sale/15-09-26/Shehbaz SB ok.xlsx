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DA2140C-9843-4D0F-A387-D9CA0995CD93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5" l="1"/>
  <c r="N4" i="69"/>
  <c r="N5" i="69" s="1"/>
  <c r="N4" i="65"/>
  <c r="N5" i="65" s="1"/>
  <c r="N4" i="60"/>
  <c r="N4" i="52"/>
  <c r="N4" i="44"/>
  <c r="N4" i="72"/>
  <c r="N5" i="72" s="1"/>
  <c r="N4" i="71"/>
  <c r="N5" i="71" s="1"/>
  <c r="N4" i="54"/>
  <c r="N5" i="54" s="1"/>
  <c r="N4" i="66"/>
  <c r="N5" i="66" s="1"/>
  <c r="N4" i="49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<sst xmlns="http://schemas.openxmlformats.org/spreadsheetml/2006/main" count="3948" uniqueCount="516">
  <si>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</si>
  <si>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</si>
  <si>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</si>
  <si>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</si>
  <si>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</si>
  <si>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</si>
  <si>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</si>
  <si>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</si>
  <si>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</si>
  <si>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</si>
  <si>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</si>
  <si>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</si>
  <si>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</si>
  <si>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</si>
  <si>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</si>
  <si>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</si>
  <si>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</si>
  <si>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</si>
  <si>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</si>
  <si>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</si>
  <si>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</si>
  <si>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</si>
  <si>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</si>
  <si>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</si>
  <si>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</si>
  <si>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</si>
  <si>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</si>
  <si>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</si>
  <si>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</si>
  <si>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</si>
  <si>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</si>
  <si>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</si>
  <si>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</si>
  <si>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</si>
  <si>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</si>
  <si>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</si>
  <si>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</si>
  <si>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</si>
  <si>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</si>
  <si>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</si>
  <si>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</si>
  <si>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</si>
  <si>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</si>
  <si>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</si>
  <si>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</si>
  <si>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</si>
  <si>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</si>
  <si>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</si>
  <si>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</si>
  <si>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</si>
  <si>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</si>
  <si>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</si>
  <si>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</si>
  <si>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</si>
  <si>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</si>
  <si>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</si>
  <si>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</si>
  <si>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</si>
  <si>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</si>
  <si>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</si>
  <si>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</si>
  <si>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</si>
  <si>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</si>
  <si>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</si>
  <si>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</si>
  <si>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</si>
  <si>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</si>
  <si>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</si>
  <si>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</si>
  <si>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</si>
  <si>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</si>
  <si>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</si>
  <si>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</si>
  <si>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</si>
  <si>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</si>
  <si>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</si>
  <si>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</si>
  <si>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</si>
  <si>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</si>
  <si>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</si>
  <si>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</si>
  <si>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</si>
  <si>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</si>
  <si>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</si>
  <si>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</si>
  <si>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</si>
  <si>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</si>
  <si>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</si>
  <si>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</si>
  <si>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</si>
  <si>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</si>
  <si>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</si>
  <si>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</si>
  <si>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</si>
  <si>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</si>
  <si>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</si>
  <si>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</si>
  <si>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</si>
  <si>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</si>
  <si>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</si>
  <si>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</si>
  <si>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</si>
  <si>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</si>
  <si>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</si>
  <si>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</si>
  <si>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</si>
  <si>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</si>
  <si>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</si>
  <si>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</si>
  <si>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</si>
  <si>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</si>
  <si>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</si>
  <si>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</si>
  <si>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</si>
  <si>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</si>
  <si>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</si>
  <si>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</si>
  <si>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</si>
  <si>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</si>
  <si>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</si>
  <si>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</si>
  <si>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</si>
  <si>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</si>
  <si>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</si>
  <si>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</si>
  <si>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</si>
  <si>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</si>
  <si>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</si>
  <si>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</si>
  <si>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</si>
  <si>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</si>
  <si>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</si>
  <si>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</si>
  <si>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</si>
  <si>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</si>
  <si>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</si>
  <si>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</si>
  <si>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</si>
  <si>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</si>
  <si>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</si>
  <si>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</si>
  <si>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</si>
  <si>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</si>
  <si>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</si>
  <si>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</si>
  <si>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</si>
  <si>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</si>
  <si>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</si>
  <si>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</si>
  <si>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</si>
  <si>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</si>
  <si>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</si>
  <si>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</si>
  <si>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</si>
  <si>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</si>
  <si>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</si>
  <si>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</si>
  <si>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</si>
  <si>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</si>
  <si>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</si>
  <si>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</si>
  <si>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</si>
  <si>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</si>
  <si>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</si>
  <si>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</si>
  <si>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</si>
  <si>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</si>
  <si>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</si>
  <si>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</si>
  <si>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</si>
  <si>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</si>
  <si>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</si>
  <si>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</si>
  <si>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</si>
  <si>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</si>
  <si>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</si>
  <si>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</si>
  <si>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</si>
  <si>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</si>
  <si>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</si>
  <si>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</si>
  <si>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</si>
  <si>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</si>
  <si>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</si>
  <si>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</si>
  <si>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</si>
  <si>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</si>
  <si>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</si>
  <si>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</si>
  <si>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</si>
  <si>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</si>
  <si>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</si>
  <si>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</si>
  <si>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</si>
  <si>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</si>
  <si>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</si>
  <si>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</si>
  <si>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</si>
  <si>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</si>
  <si>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</si>
  <si>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</si>
  <si>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</si>
  <si>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</si>
  <si>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</si>
  <si>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</si>
  <si>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</si>
  <si>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</si>
  <si>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</si>
  <si>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</si>
  <si>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</si>
  <si>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</si>
  <si>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</si>
  <si>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</si>
  <si>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</si>
  <si>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</si>
  <si>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</si>
  <si>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</si>
  <si>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</si>
  <si>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</si>
  <si>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</si>
  <si>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</si>
  <si>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</si>
  <si>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</si>
  <si>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</si>
  <si>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</si>
  <si>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</si>
  <si>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</si>
  <si>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</si>
  <si>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</si>
  <si>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</si>
  <si>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</si>
  <si>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</si>
  <si>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</si>
  <si>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</si>
  <si>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</si>
  <si>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</si>
  <si>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</si>
  <si>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</si>
  <si>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</si>
  <si>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</si>
  <si>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</si>
  <si>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</si>
  <si>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</si>
  <si>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</si>
  <si>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</si>
  <si>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</si>
  <si>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</si>
  <si>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</si>
  <si>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</si>
  <si>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</si>
  <si>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</si>
  <si>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</si>
  <si>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</si>
  <si>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</si>
  <si>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</si>
  <si>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</si>
  <si>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</si>
  <si>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</si>
  <si>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</si>
  <si>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</si>
  <si>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</si>
  <si>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</si>
  <si>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</si>
  <si>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</si>
  <si>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</si>
  <si>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</si>
  <si>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</si>
  <si>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</si>
  <si>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</si>
  <si>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</si>
  <si>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</si>
  <si>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</si>
  <si>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</si>
  <si>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</si>
  <si>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</si>
  <si>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</si>
  <si>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</si>
  <si>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</si>
  <si>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</si>
  <si>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</si>
  <si>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</si>
  <si>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</si>
  <si>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</si>
  <si>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</si>
  <si>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</si>
  <si>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</si>
  <si>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</si>
  <si>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</si>
  <si>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</si>
  <si>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</si>
  <si>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</si>
  <si>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</si>
  <si>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</si>
  <si>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</si>
  <si>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</si>
  <si>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</si>
  <si>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</si>
  <si>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</si>
  <si>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</si>
  <si>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</si>
  <si>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</si>
  <si>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</si>
  <si>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</si>
  <si>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</si>
  <si>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</si>
  <si>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</si>
  <si>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</si>
  <si>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</si>
  <si>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</si>
  <si>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</si>
  <si>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</si>
  <si>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</si>
  <si>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</si>
  <si>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</si>
  <si>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</si>
  <si>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</si>
  <si>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</si>
  <si>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</si>
  <si>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</si>
  <si>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</si>
  <si>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</si>
  <si>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</si>
  <si>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</si>
  <si>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</si>
  <si>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</si>
  <si>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</si>
  <si>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</si>
  <si>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</si>
  <si>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</si>
  <si>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</si>
  <si>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</si>
  <si>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</si>
  <si>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</si>
  <si>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</si>
  <si>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</si>
  <si>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</si>
  <si>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</si>
  <si>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</si>
  <si>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</si>
  <si>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</si>
  <si>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</si>
  <si>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</si>
  <si>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</si>
  <si>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</si>
  <si>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</si>
  <si>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</si>
  <si>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</si>
  <si>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</si>
  <si>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</si>
  <si>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</si>
  <si>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</si>
  <si>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</si>
  <si>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</si>
  <si>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</si>
  <si>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</si>
  <si>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</si>
  <si>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</si>
  <si>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</si>
  <si>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</si>
  <si>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</si>
  <si>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</si>
  <si>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</si>
  <si>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</si>
  <si>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</si>
  <si>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</si>
  <si>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</si>
  <si>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</si>
  <si>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</si>
  <si>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</si>
  <si>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</si>
  <si>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</si>
  <si>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</si>
  <si>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</si>
  <si>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</si>
  <si>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</si>
  <si>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</si>
  <si>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</si>
  <si>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</si>
  <si>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</si>
  <si>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</si>
  <si>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</si>
  <si>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</si>
  <si>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</si>
  <si>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</si>
  <si>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</si>
  <si>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</si>
  <si>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</si>
  <si>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</si>
  <si>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</si>
  <si>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</si>
  <si>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</si>
  <si>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</si>
  <si>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</si>
  <si>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</si>
  <si>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</si>
  <si>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</si>
  <si>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</si>
  <si>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</si>
  <si>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</si>
  <si>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</si>
  <si>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</si>
  <si>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</si>
  <si>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</si>
  <si>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</si>
  <si>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</si>
  <si>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</si>
  <si>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</si>
  <si>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</si>
  <si>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</si>
  <si>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</si>
  <si>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</si>
  <si>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</si>
  <si>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</si>
  <si>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</si>
  <si>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</si>
  <si>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</si>
  <si>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</si>
  <si>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</si>
  <si>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</si>
  <si>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</si>
  <si>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</si>
  <si>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</si>
  <si>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</si>
  <si>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</si>
  <si>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</si>
  <si>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</si>
  <si>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</si>
  <si>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</si>
  <si>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</si>
  <si>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</si>
  <si>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</si>
  <si>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</si>
  <si>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</si>
  <si>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</si>
  <si>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</si>
  <si>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</si>
  <si>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</si>
  <si>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</si>
  <si>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</si>
  <si>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</si>
  <si>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</si>
  <si>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</si>
  <si>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</si>
  <si>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</si>
  <si>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</si>
  <si>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</si>
  <si>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</si>
  <si>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</si>
  <si>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</si>
  <si>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</si>
  <si>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</si>
  <si>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</si>
  <si>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</si>
  <si>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</si>
  <si>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</si>
  <si>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</si>
  <si>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</si>
  <si>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</si>
  <si>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</si>
  <si>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</si>
  <si>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</si>
  <si>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</si>
  <si>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</si>
  <si>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</si>
  <si>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</si>
  <si>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</si>
  <si>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</si>
  <si>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</si>
  <si>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</si>
  <si>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</si>
  <si>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</si>
  <si>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</si>
  <si>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</si>
  <si>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</si>
  <si>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</si>
  <si>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</si>
  <si>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</si>
  <si>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</si>
  <si>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</si>
  <si>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</si>
  <si>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</si>
  <si>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</si>
  <si>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</si>
  <si>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</si>
  <si>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</si>
  <si>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</si>
  <si>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</si>
  <si>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</si>
  <si>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</si>
  <si>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</si>
  <si>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</si>
  <si>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</si>
  <si>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</si>
  <si>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</si>
  <si>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</si>
  <si>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</si>
  <si>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</si>
  <si>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</si>
  <si>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</si>
  <si>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</si>
  <si>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</si>
  <si>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</si>
  <si>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</si>
  <si>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</si>
  <si>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</si>
  <si>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</si>
  <si>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</si>
  <si>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</si>
  <si>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</si>
  <si>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</si>
  <si>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</si>
  <si>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</si>
  <si>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</si>
  <si>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</si>
  <si>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</si>
  <si>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>Shehbaz 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</si>
</sst>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46280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Shehbaz SB</v>
      </c>
      <c r="T3" s="301">
        <f>+'1'!P35</f>
        <v>2265.051582838983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13</v>
      </c>
      <c r="I7" s="235">
        <f>(G7*D7)*F7+H7*F7</f>
        <v>682.01249999999993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54.560999999999993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23.870437500000001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603.58106249999992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128.89830508474572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3.6623968379237284</v>
      </c>
      <c r="P7" s="310">
        <f>M7+N7+O7</f>
        <v>736.14176442266944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13</v>
      </c>
      <c r="I8" s="236">
        <f t="shared" ref="I8:I14" si="0">(G8*D8)*F8+H8*F8</f>
        <v>682.01249999999993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54.560999999999993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23.870437500000001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603.58106249999992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128.89830508474572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3.6623968379237284</v>
      </c>
      <c r="P8" s="311">
        <f t="shared" ref="P8:P15" si="2">M8+N8+O8</f>
        <v>736.14176442266944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14</v>
      </c>
      <c r="I9" s="236">
        <f t="shared" si="0"/>
        <v>734.47500000000002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58.758000000000003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25.706625000000003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650.01037500000007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138.81355932203383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3.9441196716101694</v>
      </c>
      <c r="P9" s="311">
        <f t="shared" si="2"/>
        <v>792.76805399364412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</v>
      </c>
      <c r="H16" s="113">
        <f t="shared" ref="H16:M16" si="3">SUM(H7:H15)</f>
        <v>40</v>
      </c>
      <c r="I16" s="114">
        <f t="shared" si="3"/>
        <v>2098.5</v>
      </c>
      <c r="J16" s="274">
        <f>SUM(J7:J15)</f>
        <v>167.88</v>
      </c>
      <c r="K16" s="275">
        <f t="shared" si="3"/>
        <v>73.447500000000005</v>
      </c>
      <c r="L16" s="276">
        <f t="shared" si="3"/>
        <v>0</v>
      </c>
      <c r="M16" s="232">
        <f t="shared" si="3"/>
        <v>1857.1724999999999</v>
      </c>
      <c r="N16" s="233">
        <f>SUM(N7:N15)</f>
        <v>396.61016949152526</v>
      </c>
      <c r="O16" s="101">
        <f>SUM(O7:O15)</f>
        <v>11.268913347457627</v>
      </c>
      <c r="P16" s="113">
        <f>SUM(P7:P15)</f>
        <v>2265.051582838983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2098.5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167.88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73.447500000000005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1857.1724999999999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396.61016949152526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2253.7826694915252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11.268913347457627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2265.051582838983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2265.051582838983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7"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13</v>
      </c>
      <c r="I16" s="235">
        <f>(G16*D16)*F16+H16*F16</f>
        <v>682.01249999999993</v>
      </c>
      <c r="J16" s="271">
        <f>$I16*S16</f>
        <v>54.560999999999993</v>
      </c>
      <c r="K16" s="127">
        <f>$I16*T16</f>
        <v>23.870437500000001</v>
      </c>
      <c r="L16" s="118">
        <f>$I16*U16</f>
        <v>0</v>
      </c>
      <c r="M16" s="229">
        <f>I16-SUM(J16:L16)</f>
        <v>603.58106249999992</v>
      </c>
      <c r="N16" s="248">
        <f>+(G16*D16+H16)*V16</f>
        <v>128.89830508474572</v>
      </c>
      <c r="O16" s="238">
        <f>(N16+M16)*$O$15</f>
        <v>3.6623968379237284</v>
      </c>
      <c r="P16" s="118">
        <f>M16+N16+O16</f>
        <v>736.14176442266944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13</v>
      </c>
      <c r="I17" s="236">
        <f t="shared" ref="I17:I23" si="0">(G17*D17)*F17+H17*F17</f>
        <v>682.01249999999993</v>
      </c>
      <c r="J17" s="272">
        <f t="shared" ref="J17:L24" si="1">$I17*S17</f>
        <v>54.560999999999993</v>
      </c>
      <c r="K17" s="128">
        <f>$I17*T17</f>
        <v>23.870437500000001</v>
      </c>
      <c r="L17" s="119">
        <f>$I17*U17</f>
        <v>0</v>
      </c>
      <c r="M17" s="230">
        <f t="shared" ref="M17:M24" si="2">I17-SUM(J17:L17)</f>
        <v>603.58106249999992</v>
      </c>
      <c r="N17" s="277">
        <f t="shared" ref="N17:N24" si="3">+(G17*D17+H17)*V17</f>
        <v>128.89830508474572</v>
      </c>
      <c r="O17" s="239">
        <f t="shared" ref="O17:O24" si="4">(N17+M17)*$O$15</f>
        <v>3.6623968379237284</v>
      </c>
      <c r="P17" s="119">
        <f t="shared" ref="P17:P24" si="5">M17+N17+O17</f>
        <v>736.14176442266944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14</v>
      </c>
      <c r="I18" s="236">
        <f t="shared" ref="I18:I21" si="7">(G18*D18)*F18+H18*F18</f>
        <v>734.47500000000002</v>
      </c>
      <c r="J18" s="272">
        <f t="shared" si="1"/>
        <v>58.758000000000003</v>
      </c>
      <c r="K18" s="128">
        <f t="shared" si="1"/>
        <v>25.706625000000003</v>
      </c>
      <c r="L18" s="119">
        <f t="shared" si="1"/>
        <v>0</v>
      </c>
      <c r="M18" s="230">
        <f t="shared" si="2"/>
        <v>650.01037500000007</v>
      </c>
      <c r="N18" s="277">
        <f t="shared" si="3"/>
        <v>138.81355932203383</v>
      </c>
      <c r="O18" s="239">
        <f t="shared" si="4"/>
        <v>3.9441196716101694</v>
      </c>
      <c r="P18" s="119">
        <f t="shared" si="5"/>
        <v>792.76805399364412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2098.5</v>
      </c>
      <c r="J25" s="274">
        <f>SUM(J16:J24)</f>
        <v>167.88</v>
      </c>
      <c r="K25" s="275">
        <f t="shared" si="10"/>
        <v>73.447500000000005</v>
      </c>
      <c r="L25" s="276">
        <f t="shared" si="10"/>
        <v>0</v>
      </c>
      <c r="M25" s="232">
        <f t="shared" si="10"/>
        <v>1857.1724999999999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46282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46281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2026-09-16T05:36:02Z</dcterms:modified>
</cp:coreProperties>
</file>