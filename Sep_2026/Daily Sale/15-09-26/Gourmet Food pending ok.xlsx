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55669AC-FB28-4BC6-A683-3F331E354041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 s="1"/>
  <c r="O24" i="56" s="1"/>
  <c r="P24" i="56" s="1"/>
  <c r="L24" i="43"/>
  <c r="K24" i="43"/>
  <c r="J24" i="43"/>
  <c r="M24" i="43" s="1"/>
  <c r="O24" i="43" s="1"/>
  <c r="P24" i="43" s="1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48" l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<sst xmlns="http://schemas.openxmlformats.org/spreadsheetml/2006/main" count="3949" uniqueCount="549">
  <si>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</si>
  <si>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</si>
  <si>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</si>
  <si>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</si>
  <si>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</si>
  <si>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</si>
  <si>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</si>
  <si>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</si>
  <si>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</si>
  <si>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</si>
  <si>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</si>
  <si>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</si>
  <si>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</si>
  <si>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</si>
  <si>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</si>
  <si>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</si>
  <si>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</si>
  <si>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</si>
  <si>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</si>
  <si>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</si>
  <si>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</si>
  <si>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</si>
  <si>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</si>
  <si>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</si>
  <si>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</si>
  <si>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</si>
  <si>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</si>
  <si>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</si>
  <si>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</si>
  <si>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</si>
  <si>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</si>
  <si>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</si>
  <si>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</si>
  <si>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</si>
  <si>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</si>
  <si>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</si>
  <si>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</si>
  <si>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</si>
  <si>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</si>
  <si>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</si>
  <si>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</si>
  <si>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</si>
  <si>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</si>
  <si>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</si>
  <si>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</si>
  <si>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</si>
  <si>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</si>
  <si>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</si>
  <si>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</si>
  <si>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</si>
  <si>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</si>
  <si>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</si>
  <si>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</si>
  <si>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</si>
  <si>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</si>
  <si>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</si>
  <si>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</si>
  <si>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</si>
  <si>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</si>
  <si>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</si>
  <si>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</si>
  <si>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</si>
  <si>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</si>
  <si>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</si>
  <si>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</si>
  <si>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</si>
  <si>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</si>
  <si>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</si>
  <si>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</si>
  <si>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</si>
  <si>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</si>
  <si>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</si>
  <si>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</si>
  <si>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</si>
  <si>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</si>
  <si>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</si>
  <si>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</si>
  <si>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</si>
  <si>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</si>
  <si>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</si>
  <si>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</si>
  <si>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</si>
  <si>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</si>
  <si>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</si>
  <si>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</si>
  <si>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</si>
  <si>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</si>
  <si>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</si>
  <si>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</si>
  <si>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</si>
  <si>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</si>
  <si>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</si>
  <si>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</si>
  <si>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</si>
  <si>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</si>
  <si>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</si>
  <si>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</si>
  <si>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</si>
  <si>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</si>
  <si>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</si>
  <si>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</si>
  <si>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</si>
  <si>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</si>
  <si>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</si>
  <si>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</si>
  <si>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</si>
  <si>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</si>
  <si>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</si>
  <si>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</si>
  <si>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</si>
  <si>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</si>
  <si>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</si>
  <si>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</si>
  <si>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</si>
  <si>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</si>
  <si>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</si>
  <si>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</si>
  <si>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</si>
  <si>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</si>
  <si>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</si>
  <si>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</si>
  <si>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</si>
  <si>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</si>
  <si>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</si>
  <si>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</si>
  <si>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</si>
  <si>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</si>
  <si>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</si>
  <si>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</si>
  <si>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</si>
  <si>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</si>
  <si>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</si>
  <si>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</si>
  <si>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</si>
  <si>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</si>
  <si>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</si>
  <si>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</si>
  <si>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</si>
  <si>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</si>
  <si>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</si>
  <si>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</si>
  <si>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</si>
  <si>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</si>
  <si>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</si>
  <si>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</si>
  <si>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</si>
  <si>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</si>
  <si>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</si>
  <si>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</si>
  <si>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</si>
  <si>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</si>
  <si>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</si>
  <si>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</si>
  <si>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</si>
  <si>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</si>
  <si>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</si>
  <si>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</si>
  <si>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</si>
  <si>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</si>
  <si>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</si>
  <si>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</si>
  <si>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</si>
  <si>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</si>
  <si>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</si>
  <si>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</si>
  <si>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</si>
  <si>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</si>
  <si>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</si>
  <si>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</si>
  <si>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</si>
  <si>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</si>
  <si>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</si>
  <si>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</si>
  <si>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</si>
  <si>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</si>
  <si>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</si>
  <si>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</si>
  <si>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</si>
  <si>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</si>
  <si>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</si>
  <si>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</si>
  <si>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</si>
  <si>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</si>
  <si>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</si>
  <si>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</si>
  <si>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</si>
  <si>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</si>
  <si>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</si>
  <si>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</si>
  <si>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</si>
  <si>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</si>
  <si>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</si>
  <si>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</si>
  <si>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</si>
  <si>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</si>
  <si>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</si>
  <si>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</si>
  <si>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</si>
  <si>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</si>
  <si>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</si>
  <si>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</si>
  <si>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</si>
  <si>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</si>
  <si>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</si>
  <si>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</si>
  <si>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</si>
  <si>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</si>
  <si>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</si>
  <si>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</si>
  <si>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</si>
  <si>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</si>
  <si>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</si>
  <si>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</si>
  <si>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</si>
  <si>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</si>
  <si>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</si>
  <si>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</si>
  <si>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</si>
  <si>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</si>
  <si>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</si>
  <si>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</si>
  <si>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</si>
  <si>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</si>
  <si>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</si>
  <si>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</si>
  <si>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</si>
  <si>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</si>
  <si>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</si>
  <si>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</si>
  <si>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</si>
  <si>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</si>
  <si>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</si>
  <si>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</si>
  <si>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</si>
  <si>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</si>
  <si>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</si>
  <si>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</si>
  <si>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</si>
  <si>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</si>
  <si>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</si>
  <si>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</si>
  <si>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</si>
  <si>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</si>
  <si>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</si>
  <si>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</si>
  <si>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</si>
  <si>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</si>
  <si>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</si>
  <si>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</si>
  <si>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</si>
  <si>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</si>
  <si>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</si>
  <si>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</si>
  <si>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</si>
  <si>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</si>
  <si>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</si>
  <si>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</si>
  <si>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</si>
  <si>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</si>
  <si>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</si>
  <si>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</si>
  <si>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</si>
  <si>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</si>
  <si>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</si>
  <si>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</si>
  <si>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</si>
  <si>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</si>
  <si>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</si>
  <si>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</si>
  <si>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</si>
  <si>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</si>
  <si>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</si>
  <si>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</si>
  <si>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</si>
  <si>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</si>
  <si>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</si>
  <si>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</si>
  <si>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</si>
  <si>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</si>
  <si>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</si>
  <si>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</si>
  <si>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</si>
  <si>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</si>
  <si>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</si>
  <si>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</si>
  <si>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</si>
  <si>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</si>
  <si>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</si>
  <si>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</si>
  <si>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</si>
  <si>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</si>
  <si>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</si>
  <si>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</si>
  <si>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</si>
  <si>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</si>
  <si>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</si>
  <si>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</si>
  <si>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</si>
  <si>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</si>
  <si>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</si>
  <si>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</si>
  <si>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</si>
  <si>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</si>
  <si>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</si>
  <si>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</si>
  <si>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</si>
  <si>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</si>
  <si>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</si>
  <si>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</si>
  <si>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</si>
  <si>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</si>
  <si>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</si>
  <si>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</si>
  <si>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</si>
  <si>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</si>
  <si>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</si>
  <si>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</si>
  <si>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</si>
  <si>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</si>
  <si>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</si>
  <si>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</si>
  <si>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</si>
  <si>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</si>
  <si>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</si>
  <si>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</si>
  <si>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</si>
  <si>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</si>
  <si>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</si>
  <si>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</si>
  <si>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</si>
  <si>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</si>
  <si>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</si>
  <si>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</si>
  <si>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</si>
  <si>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</si>
  <si>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</si>
  <si>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</si>
  <si>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</si>
  <si>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</si>
  <si>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</si>
  <si>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</si>
  <si>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</si>
  <si>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</si>
  <si>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</si>
  <si>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</si>
  <si>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</si>
  <si>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</si>
  <si>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</si>
  <si>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</si>
  <si>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</si>
  <si>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</si>
  <si>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</si>
  <si>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</si>
  <si>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</si>
  <si>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</si>
  <si>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</si>
  <si>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</si>
  <si>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</si>
  <si>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</si>
  <si>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</si>
  <si>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</si>
  <si>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</si>
  <si>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</si>
  <si>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</si>
  <si>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</si>
  <si>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</si>
  <si>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</si>
  <si>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</si>
  <si>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</si>
  <si>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</si>
  <si>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</si>
  <si>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</si>
  <si>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</si>
  <si>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</si>
  <si>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</si>
  <si>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</si>
  <si>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</si>
  <si>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</si>
  <si>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</si>
  <si>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</si>
  <si>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</si>
  <si>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</si>
  <si>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</si>
  <si>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</si>
  <si>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</si>
  <si>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</si>
  <si>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</si>
  <si>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</si>
  <si>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</si>
  <si>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</si>
  <si>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</si>
  <si>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</si>
  <si>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</si>
  <si>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</si>
  <si>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</si>
  <si>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</si>
  <si>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</si>
  <si>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</si>
  <si>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</si>
  <si>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</si>
  <si>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</si>
  <si>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</si>
  <si>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</si>
  <si>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</si>
  <si>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</si>
  <si>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</si>
  <si>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</si>
  <si>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</si>
  <si>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</si>
  <si>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</si>
  <si>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</si>
  <si>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</si>
  <si>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</si>
  <si>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</si>
  <si>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</si>
  <si>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</si>
  <si>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</si>
  <si>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</si>
  <si>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</si>
  <si>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</si>
  <si>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</si>
  <si>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</si>
  <si>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</si>
  <si>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</si>
  <si>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</si>
  <si>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</si>
  <si>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</si>
  <si>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</si>
  <si>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</si>
  <si>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</si>
  <si>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</si>
  <si>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</si>
  <si>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</si>
  <si>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</si>
  <si>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</si>
  <si>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</si>
  <si>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</si>
  <si>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</si>
  <si>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</si>
  <si>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</si>
  <si>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</si>
  <si>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</si>
  <si>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</si>
  <si>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</si>
  <si>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</si>
  <si>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</si>
  <si>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</si>
  <si>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</si>
  <si>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</si>
  <si>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</si>
  <si>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</si>
  <si>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</si>
  <si>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</si>
  <si>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</si>
  <si>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</si>
  <si>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</si>
  <si>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</si>
  <si>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</si>
  <si>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</si>
  <si>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</si>
  <si>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</si>
  <si>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</si>
  <si>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</si>
  <si>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</si>
  <si>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</si>
  <si>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</si>
  <si>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</si>
  <si>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</si>
  <si>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</si>
  <si>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</si>
  <si>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</si>
  <si>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</si>
  <si>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</si>
  <si>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</si>
  <si>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</si>
  <si>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</si>
  <si>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</si>
  <si>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</si>
  <si>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</si>
  <si>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</si>
  <si>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</si>
  <si>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</si>
  <si>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</si>
  <si>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</si>
  <si>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</si>
  <si>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</si>
  <si>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</si>
  <si>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</si>
  <si>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</si>
  <si>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</si>
  <si>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</si>
  <si>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</si>
  <si>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</si>
  <si>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</si>
  <si>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</si>
  <si>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</si>
  <si>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</si>
  <si>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</si>
  <si>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</si>
  <si>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</si>
  <si>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</si>
  <si>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</si>
  <si>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</si>
  <si>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</si>
  <si>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</si>
  <si>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</si>
  <si>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</si>
  <si>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</si>
  <si>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</si>
  <si>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</si>
  <si>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</si>
  <si>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</si>
  <si>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</si>
  <si>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</si>
  <si>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</si>
  <si>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Multan Road Fwara Chowk</t>
  </si>
  <si>
    <t xml:space="preserve">Gourmet Food Faisal Town </t>
  </si>
  <si>
    <t xml:space="preserve">Gourmet Food 18G Iqbal Town </t>
  </si>
  <si>
    <t>Gourmet Food Samnabad Lhr</t>
  </si>
  <si>
    <t>Gourmet Food Ghalib Market</t>
  </si>
  <si>
    <t>Gourmet Food Nisbat Road</t>
  </si>
  <si>
    <t>Gourmet Food Islam Pura</t>
  </si>
  <si>
    <t xml:space="preserve">Gourmet Food Jinnah Hospital </t>
  </si>
  <si>
    <t xml:space="preserve">Gourmet Food Shama Cenima </t>
  </si>
  <si>
    <t xml:space="preserve">Gourmet Food Muslim Town Ayubia 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</si>
  <si>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</si>
  <si>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</si>
  <si>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</si>
  <si>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</si>
  <si>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</si>
  <si>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</si>
  <si>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</si>
  <si>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</si>
  <si>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</si>
  <si>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</si>
  <si>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</si>
  <si>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</si>
  <si>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</si>
  <si>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</si>
  <si>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</si>
  <si>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</si>
  <si>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Walton</t>
  </si>
  <si>
    <t>Gourmet Food Manawan</t>
  </si>
  <si>
    <t>Gourmet Food Shadipura</t>
  </si>
  <si>
    <t>Invoice No # :100124</t>
  </si>
  <si>
    <t>Gourmet Food KOT Khawaja Saeed</t>
  </si>
  <si>
    <t>Gourmet Food Baghbanpura</t>
  </si>
  <si>
    <t>Invoice No # :100132</t>
  </si>
  <si>
    <t>Gourmet Food Zarar Shaheed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</si>
</sst>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B11" sqref="B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1.6328125" bestFit="1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513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46290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18" t="str">
        <f>+'1'!A6:A6</f>
        <v>Gourmet Food Manawan</v>
      </c>
      <c r="T3" s="300">
        <f>+'1'!P35</f>
        <v>18660.608952203387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8" t="str">
        <f>+'2'!A6:A6</f>
        <v>Gourmet Food Shadipura</v>
      </c>
      <c r="T4" s="300">
        <f>+'2'!P35</f>
        <v>8020.7736005084762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18" t="str">
        <f>+'3'!A6:A6</f>
        <v>Gourmet Food KOT Khawaja Saeed</v>
      </c>
      <c r="T5" s="300">
        <f>+'3'!P35</f>
        <v>12276.707741186441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18" t="str">
        <f>+'4'!A6:A6</f>
        <v>Gourmet Food Baghbanpura</v>
      </c>
      <c r="T6" s="300">
        <f>+'4'!P35</f>
        <v>6383.9012110169497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1888.6499999999999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8603.85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52.934504237288131</v>
      </c>
      <c r="P7" s="309">
        <f>M7+N7+O7</f>
        <v>10639.835351694914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100</v>
      </c>
      <c r="R7" s="313">
        <v>5</v>
      </c>
      <c r="S7" s="318" t="str">
        <f>+'5'!A6:A6</f>
        <v>Gourmet Food Zarar Shaheed Road</v>
      </c>
      <c r="T7" s="300">
        <f>+'5'!P35</f>
        <v>10803.506108644067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1888.6499999999999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8603.85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52.934504237288131</v>
      </c>
      <c r="P8" s="310">
        <f t="shared" ref="P8:P15" si="2">M8+N8+O8</f>
        <v>10639.835351694914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70</v>
      </c>
      <c r="R8" s="313">
        <v>6</v>
      </c>
      <c r="S8" s="318" t="str">
        <f>+'6'!A6:A6</f>
        <v>Gourmet Food Multan Road Fwara Chowk</v>
      </c>
      <c r="T8" s="300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2266.3799999999997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10324.620000000001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63.521405084745759</v>
      </c>
      <c r="P9" s="310">
        <f t="shared" si="2"/>
        <v>12767.802422033899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150</v>
      </c>
      <c r="R9" s="313">
        <v>7</v>
      </c>
      <c r="S9" s="318" t="str">
        <f>+'7'!A6:A6</f>
        <v xml:space="preserve">Gourmet Food Faisal Town </v>
      </c>
      <c r="T9" s="300">
        <f>+'7'!P35</f>
        <v>0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20</v>
      </c>
      <c r="I10" s="236">
        <f t="shared" si="0"/>
        <v>1452.8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261.50399999999996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1191.296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274.57627118644069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7.3293613559322033</v>
      </c>
      <c r="P10" s="310">
        <f t="shared" si="2"/>
        <v>1473.2016325423729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200</v>
      </c>
      <c r="R10" s="313">
        <v>8</v>
      </c>
      <c r="S10" s="318" t="str">
        <f>+'8'!A6:A6</f>
        <v xml:space="preserve">Gourmet Food 18G Iqbal Town </v>
      </c>
      <c r="T10" s="300">
        <f>+'8'!P35</f>
        <v>0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140</v>
      </c>
      <c r="I11" s="236">
        <f t="shared" si="0"/>
        <v>10169.6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1830.5279999999998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8339.0720000000001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1922.0338983050849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51.305529491525419</v>
      </c>
      <c r="P11" s="310">
        <f t="shared" si="2"/>
        <v>10312.411427796609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60</v>
      </c>
      <c r="R11" s="313">
        <v>9</v>
      </c>
      <c r="S11" s="318" t="str">
        <f>+'9'!A6:A6</f>
        <v>Gourmet Food Samnabad Lhr</v>
      </c>
      <c r="T11" s="300">
        <f>+'9'!P35</f>
        <v>0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140</v>
      </c>
      <c r="I12" s="236">
        <f t="shared" si="0"/>
        <v>10169.6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1830.5279999999998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8339.0720000000001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1922.0338983050849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51.305529491525419</v>
      </c>
      <c r="P12" s="310">
        <f t="shared" si="2"/>
        <v>10312.411427796609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3">
        <v>10</v>
      </c>
      <c r="S12" s="318" t="str">
        <f>+'10'!A6:A6</f>
        <v>Gourmet Food Ghalib Market</v>
      </c>
      <c r="T12" s="300">
        <f>+'10'!P35</f>
        <v>0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18" t="str">
        <f>+'11'!A6:A6</f>
        <v>Gourmet Food Nisbat Road</v>
      </c>
      <c r="T13" s="300">
        <f>+'11'!P35</f>
        <v>0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18" t="str">
        <f>+'12'!A6:A6</f>
        <v>Gourmet Food Islam Pura</v>
      </c>
      <c r="T14" s="300">
        <f>+'12'!P35</f>
        <v>0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18" t="str">
        <f>+'13'!A6:A6</f>
        <v xml:space="preserve">Gourmet Food Jinnah Hospital </v>
      </c>
      <c r="T15" s="300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274">
        <f>H16/40</f>
        <v>23.5</v>
      </c>
      <c r="H16" s="113">
        <f t="shared" ref="H16:M16" si="3">SUM(H7:H15)</f>
        <v>940</v>
      </c>
      <c r="I16" s="114">
        <f t="shared" si="3"/>
        <v>55368</v>
      </c>
      <c r="J16" s="274">
        <f>SUM(J7:J15)</f>
        <v>9966.24</v>
      </c>
      <c r="K16" s="275">
        <f t="shared" si="3"/>
        <v>0</v>
      </c>
      <c r="L16" s="276">
        <f t="shared" si="3"/>
        <v>0</v>
      </c>
      <c r="M16" s="232">
        <f t="shared" si="3"/>
        <v>45401.759999999995</v>
      </c>
      <c r="N16" s="233">
        <f>SUM(N7:N15)</f>
        <v>10464.406779661014</v>
      </c>
      <c r="O16" s="101">
        <f>SUM(O7:O15)</f>
        <v>279.33083389830506</v>
      </c>
      <c r="P16" s="113">
        <f>SUM(P7:P15)</f>
        <v>56145.497613559317</v>
      </c>
      <c r="Q16" s="128">
        <f>SUM(Q7:Q15)</f>
        <v>620</v>
      </c>
      <c r="R16" s="313">
        <v>14</v>
      </c>
      <c r="S16" s="318" t="str">
        <f>+'14'!A6:A6</f>
        <v xml:space="preserve">Gourmet Food Shama Cenima </v>
      </c>
      <c r="T16" s="300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8" t="str">
        <f>+'15'!A6:A6</f>
        <v xml:space="preserve">Gourmet Food Muslim Town Ayubia </v>
      </c>
      <c r="T17" s="300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9" t="str">
        <f>+'16'!A6:A6</f>
        <v>Gourmet Food Walton</v>
      </c>
      <c r="T18" s="300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55368</v>
      </c>
      <c r="R19" s="299">
        <v>17</v>
      </c>
      <c r="S19" s="318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9966.24</v>
      </c>
      <c r="R20" s="299">
        <v>18</v>
      </c>
      <c r="S20" s="318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0</v>
      </c>
      <c r="R21" s="299">
        <v>19</v>
      </c>
      <c r="S21" s="318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45401.760000000002</v>
      </c>
      <c r="R22" s="299">
        <v>20</v>
      </c>
      <c r="S22" s="318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10464.406779661014</v>
      </c>
      <c r="R23" s="299">
        <v>21</v>
      </c>
      <c r="S23" s="318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55866.166779661013</v>
      </c>
      <c r="R24" s="299">
        <v>22</v>
      </c>
      <c r="S24" s="318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279.33083389830506</v>
      </c>
      <c r="R25" s="299">
        <v>23</v>
      </c>
      <c r="S25" s="318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56145.497613559317</v>
      </c>
      <c r="R26" s="299">
        <v>24</v>
      </c>
      <c r="S26" s="318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18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8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8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8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8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56145.497613559324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7.25" customHeight="1" x14ac:dyDescent="0.4">
      <c r="A6" s="398" t="s">
        <v>542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18402.2</v>
      </c>
      <c r="J25" s="274">
        <f>SUM(J16:J24)</f>
        <v>3312.3959999999993</v>
      </c>
      <c r="K25" s="275">
        <f t="shared" si="10"/>
        <v>0</v>
      </c>
      <c r="L25" s="276">
        <f t="shared" si="10"/>
        <v>0</v>
      </c>
      <c r="M25" s="232">
        <f t="shared" si="10"/>
        <v>15089.804</v>
      </c>
      <c r="N25" s="233">
        <f>SUM(N16:N24)</f>
        <v>3477.966101694914</v>
      </c>
      <c r="O25" s="101">
        <f>SUM(O16:O24)</f>
        <v>92.838850508474565</v>
      </c>
      <c r="P25" s="113">
        <f>SUM(P16:P24)</f>
        <v>18660.608952203387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18402.2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3312.3959999999993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15089.804000000002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3477.966101694914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18567.770101694914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92.838850508474579</v>
      </c>
    </row>
    <row r="35" spans="2:16" ht="15.75" customHeight="1" thickBot="1" x14ac:dyDescent="0.4">
      <c r="N35" s="344" t="s">
        <v>88</v>
      </c>
      <c r="O35" s="345"/>
      <c r="P35" s="297">
        <f>+P33+P34</f>
        <v>18660.608952203387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  <c r="F2" t="s">
        <v>540</v>
      </c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544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543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7909.7000000000007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1423.7459999999996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6485.9540000000015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7980.8692542372901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4" t="s">
        <v>88</v>
      </c>
      <c r="O35" s="345"/>
      <c r="P35" s="297">
        <f>+P33+P34</f>
        <v>8020.7736005084762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8" workbookViewId="0">
      <selection activeCell="B28" sqref="B28:L3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46280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46279</v>
      </c>
      <c r="O5" s="369"/>
      <c r="P5" s="369"/>
      <c r="R5" s="85"/>
      <c r="S5" s="266"/>
    </row>
    <row r="6" spans="1:22 16383:16384" ht="18.75" customHeight="1" x14ac:dyDescent="0.4">
      <c r="A6" s="398" t="s">
        <v>545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12106.7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2179.2059999999997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9927.4940000000006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12215.629593220339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44" t="s">
        <v>88</v>
      </c>
      <c r="O35" s="345"/>
      <c r="P35" s="297">
        <f>+P33+P34</f>
        <v>12276.707741186441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16" sqref="H16: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547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546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6295.5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1133.1899999999998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5162.3100000000004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6352.1405084745766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44" t="s">
        <v>88</v>
      </c>
      <c r="O35" s="345"/>
      <c r="P35" s="297">
        <f>+P33+P34</f>
        <v>6383.9012110169497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548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10653.9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1917.7019999999995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8736.1980000000003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10749.757322033898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44" t="s">
        <v>88</v>
      </c>
      <c r="O35" s="345"/>
      <c r="P35" s="297">
        <f>+P33+P34</f>
        <v>10803.506108644067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8" workbookViewId="0">
      <selection activeCell="G5" sqref="G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10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zoomScale="110" zoomScaleNormal="1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9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521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524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541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  <c r="S30" s="215"/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20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8.75" customHeight="1" x14ac:dyDescent="0.4">
      <c r="A6" s="398" t="s">
        <v>528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10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530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>
        <v>0</v>
      </c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532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40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533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534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535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536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537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>
        <v>10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46265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46264</v>
      </c>
      <c r="O5" s="369"/>
      <c r="P5" s="369"/>
      <c r="R5" s="85"/>
      <c r="S5" s="266"/>
    </row>
    <row r="6" spans="1:22 16383:16384" ht="15" customHeight="1" x14ac:dyDescent="0.4">
      <c r="A6" s="398" t="s">
        <v>538</v>
      </c>
      <c r="B6" s="398"/>
      <c r="C6" s="398"/>
      <c r="F6" s="85"/>
      <c r="G6" s="86"/>
      <c r="K6" s="370" t="s">
        <v>69</v>
      </c>
      <c r="L6" s="370"/>
      <c r="M6" s="370"/>
      <c r="N6" s="399" t="s">
        <v>539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7">
        <v>0.18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46291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46290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2026-09-25T07:12:15Z</dcterms:modified>
</cp:coreProperties>
</file>