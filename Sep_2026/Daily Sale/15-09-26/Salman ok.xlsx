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911FB37-F5A9-4D1C-A2DB-F5B34E9E8AB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4"/>
  <c r="O17" i="44" s="1"/>
  <c r="P17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53" l="1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<sst xmlns="http://schemas.openxmlformats.org/spreadsheetml/2006/main" count="3948" uniqueCount="531">
  <si>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</si>
  <si>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</si>
  <si>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</si>
  <si>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</si>
  <si>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</si>
  <si>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</si>
  <si>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</si>
  <si>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</si>
  <si>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</si>
  <si>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</si>
  <si>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</si>
  <si>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</si>
  <si>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</si>
  <si>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</si>
  <si>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</si>
  <si>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</si>
  <si>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</si>
  <si>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</si>
  <si>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</si>
  <si>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</si>
  <si>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</si>
  <si>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</si>
  <si>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</si>
  <si>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</si>
  <si>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</si>
  <si>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</si>
  <si>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</si>
  <si>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</si>
  <si>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</si>
  <si>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</si>
  <si>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</si>
  <si>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</si>
  <si>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</si>
  <si>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</si>
  <si>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</si>
  <si>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</si>
  <si>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</si>
  <si>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</si>
  <si>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</si>
  <si>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</si>
  <si>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</si>
  <si>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</si>
  <si>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</si>
  <si>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</si>
  <si>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</si>
  <si>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</si>
  <si>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</si>
  <si>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</si>
  <si>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</si>
  <si>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</si>
  <si>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</si>
  <si>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</si>
  <si>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</si>
  <si>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</si>
  <si>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</si>
  <si>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</si>
  <si>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</si>
  <si>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</si>
  <si>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</si>
  <si>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</si>
  <si>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</si>
  <si>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</si>
  <si>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</si>
  <si>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</si>
  <si>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</si>
  <si>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</si>
  <si>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</si>
  <si>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</si>
  <si>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</si>
  <si>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</si>
  <si>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</si>
  <si>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</si>
  <si>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</si>
  <si>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</si>
  <si>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</si>
  <si>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</si>
  <si>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</si>
  <si>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</si>
  <si>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</si>
  <si>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</si>
  <si>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</si>
  <si>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</si>
  <si>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</si>
  <si>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</si>
  <si>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</si>
  <si>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</si>
  <si>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</si>
  <si>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</si>
  <si>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</si>
  <si>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</si>
  <si>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</si>
  <si>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</si>
  <si>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</si>
  <si>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</si>
  <si>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</si>
  <si>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</si>
  <si>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</si>
  <si>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</si>
  <si>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</si>
  <si>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</si>
  <si>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</si>
  <si>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</si>
  <si>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</si>
  <si>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</si>
  <si>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</si>
  <si>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</si>
  <si>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</si>
  <si>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</si>
  <si>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</si>
  <si>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</si>
  <si>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</si>
  <si>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</si>
  <si>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</si>
  <si>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</si>
  <si>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</si>
  <si>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</si>
  <si>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</si>
  <si>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</si>
  <si>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</si>
  <si>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</si>
  <si>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</si>
  <si>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</si>
  <si>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</si>
  <si>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</si>
  <si>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</si>
  <si>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</si>
  <si>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</si>
  <si>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</si>
  <si>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</si>
  <si>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</si>
  <si>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</si>
  <si>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</si>
  <si>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</si>
  <si>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</si>
  <si>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</si>
  <si>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</si>
  <si>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</si>
  <si>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</si>
  <si>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</si>
  <si>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</si>
  <si>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</si>
  <si>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</si>
  <si>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</si>
  <si>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</si>
  <si>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</si>
  <si>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</si>
  <si>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</si>
  <si>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</si>
  <si>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</si>
  <si>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</si>
  <si>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</si>
  <si>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</si>
  <si>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</si>
  <si>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</si>
  <si>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</si>
  <si>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</si>
  <si>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</si>
  <si>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</si>
  <si>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</si>
  <si>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</si>
  <si>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</si>
  <si>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</si>
  <si>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</si>
  <si>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</si>
  <si>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</si>
  <si>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</si>
  <si>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</si>
  <si>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</si>
  <si>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</si>
  <si>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</si>
  <si>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</si>
  <si>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</si>
  <si>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</si>
  <si>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</si>
  <si>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</si>
  <si>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</si>
  <si>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</si>
  <si>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</si>
  <si>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</si>
  <si>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</si>
  <si>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</si>
  <si>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</si>
  <si>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</si>
  <si>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</si>
  <si>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</si>
  <si>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</si>
  <si>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</si>
  <si>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</si>
  <si>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</si>
  <si>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</si>
  <si>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</si>
  <si>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</si>
  <si>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</si>
  <si>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</si>
  <si>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</si>
  <si>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</si>
  <si>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</si>
  <si>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</si>
  <si>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</si>
  <si>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</si>
  <si>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</si>
  <si>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</si>
  <si>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</si>
  <si>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</si>
  <si>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</si>
  <si>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</si>
  <si>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</si>
  <si>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</si>
  <si>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</si>
  <si>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</si>
  <si>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</si>
  <si>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</si>
  <si>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</si>
  <si>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</si>
  <si>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</si>
  <si>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</si>
  <si>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</si>
  <si>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</si>
  <si>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</si>
  <si>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</si>
  <si>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</si>
  <si>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</si>
  <si>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</si>
  <si>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</si>
  <si>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</si>
  <si>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</si>
  <si>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</si>
  <si>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</si>
  <si>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</si>
  <si>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</si>
  <si>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</si>
  <si>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</si>
  <si>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</si>
  <si>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</si>
  <si>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</si>
  <si>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</si>
  <si>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</si>
  <si>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</si>
  <si>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</si>
  <si>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</si>
  <si>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</si>
  <si>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</si>
  <si>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</si>
  <si>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</si>
  <si>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</si>
  <si>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</si>
  <si>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</si>
  <si>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</si>
  <si>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</si>
  <si>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</si>
  <si>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</si>
  <si>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</si>
  <si>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</si>
  <si>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</si>
  <si>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</si>
  <si>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</si>
  <si>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</si>
  <si>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</si>
  <si>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</si>
  <si>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</si>
  <si>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</si>
  <si>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</si>
  <si>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</si>
  <si>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</si>
  <si>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</si>
  <si>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</si>
  <si>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</si>
  <si>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</si>
  <si>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</si>
  <si>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</si>
  <si>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</si>
  <si>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</si>
  <si>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</si>
  <si>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</si>
  <si>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</si>
  <si>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</si>
  <si>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</si>
  <si>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</si>
  <si>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</si>
  <si>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</si>
  <si>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</si>
  <si>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</si>
  <si>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</si>
  <si>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</si>
  <si>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</si>
  <si>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</si>
  <si>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</si>
  <si>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</si>
  <si>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</si>
  <si>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</si>
  <si>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</si>
  <si>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</si>
  <si>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</si>
  <si>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</si>
  <si>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</si>
  <si>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</si>
  <si>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</si>
  <si>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</si>
  <si>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</si>
  <si>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</si>
  <si>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</si>
  <si>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</si>
  <si>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</si>
  <si>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</si>
  <si>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</si>
  <si>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</si>
  <si>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</si>
  <si>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</si>
  <si>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</si>
  <si>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</si>
  <si>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</si>
  <si>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</si>
  <si>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</si>
  <si>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</si>
  <si>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</si>
  <si>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</si>
  <si>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</si>
  <si>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</si>
  <si>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</si>
  <si>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</si>
  <si>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</si>
  <si>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</si>
  <si>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</si>
  <si>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</si>
  <si>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</si>
  <si>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</si>
  <si>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</si>
  <si>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</si>
  <si>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</si>
  <si>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</si>
  <si>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</si>
  <si>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</si>
  <si>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</si>
  <si>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</si>
  <si>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</si>
  <si>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</si>
  <si>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</si>
  <si>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</si>
  <si>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</si>
  <si>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</si>
  <si>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</si>
  <si>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</si>
  <si>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</si>
  <si>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</si>
  <si>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</si>
  <si>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</si>
  <si>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</si>
  <si>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</si>
  <si>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</si>
  <si>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</si>
  <si>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</si>
  <si>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</si>
  <si>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</si>
  <si>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</si>
  <si>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</si>
  <si>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</si>
  <si>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</si>
  <si>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</si>
  <si>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</si>
  <si>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</si>
  <si>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</si>
  <si>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</si>
  <si>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</si>
  <si>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</si>
  <si>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</si>
  <si>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</si>
  <si>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</si>
  <si>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</si>
  <si>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</si>
  <si>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</si>
  <si>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</si>
  <si>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</si>
  <si>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</si>
  <si>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</si>
  <si>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</si>
  <si>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</si>
  <si>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</si>
  <si>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</si>
  <si>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</si>
  <si>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</si>
  <si>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</si>
  <si>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</si>
  <si>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</si>
  <si>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</si>
  <si>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</si>
  <si>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</si>
  <si>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</si>
  <si>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</si>
  <si>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</si>
  <si>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</si>
  <si>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</si>
  <si>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</si>
  <si>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</si>
  <si>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</si>
  <si>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</si>
  <si>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</si>
  <si>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</si>
  <si>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</si>
  <si>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</si>
  <si>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</si>
  <si>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</si>
  <si>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</si>
  <si>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</si>
  <si>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</si>
  <si>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</si>
  <si>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</si>
  <si>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</si>
  <si>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</si>
  <si>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</si>
  <si>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</si>
  <si>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</si>
  <si>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</si>
  <si>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</si>
  <si>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</si>
  <si>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</si>
  <si>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</si>
  <si>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</si>
  <si>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</si>
  <si>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</si>
  <si>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</si>
  <si>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</si>
  <si>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</si>
  <si>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</si>
  <si>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</si>
  <si>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</si>
  <si>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</si>
  <si>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</si>
  <si>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</si>
  <si>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</si>
  <si>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</si>
  <si>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</si>
  <si>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</si>
  <si>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</si>
  <si>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</si>
  <si>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</si>
  <si>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</si>
  <si>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</si>
  <si>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</si>
  <si>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</si>
  <si>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</si>
  <si>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</si>
  <si>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</si>
  <si>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</si>
  <si>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</si>
  <si>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</si>
  <si>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</si>
  <si>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</si>
  <si>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</si>
  <si>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</si>
  <si>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</si>
  <si>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</si>
  <si>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</si>
  <si>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</si>
  <si>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</si>
  <si>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</si>
  <si>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</si>
  <si>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</si>
  <si>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</si>
  <si>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</si>
  <si>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</si>
  <si>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</si>
  <si>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</si>
  <si>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</si>
  <si>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</si>
  <si>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</si>
  <si>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</si>
  <si>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</si>
  <si>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</si>
  <si>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</si>
  <si>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</si>
  <si>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</si>
  <si>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</si>
  <si>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</si>
  <si>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</si>
  <si>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</si>
  <si>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</si>
  <si>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</si>
  <si>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</si>
  <si>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</si>
  <si>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</si>
  <si>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</si>
  <si>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</si>
  <si>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</si>
  <si>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</si>
  <si>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</si>
  <si>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</si>
  <si>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</si>
  <si>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</si>
  <si>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</si>
  <si>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</si>
  <si>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</si>
  <si>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</si>
  <si>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</si>
  <si>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</si>
  <si>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</si>
  <si>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</si>
  <si>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</si>
  <si>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</si>
  <si>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</si>
  <si>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</si>
  <si>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</si>
  <si>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</si>
  <si>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</si>
  <si>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</si>
  <si>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</si>
  <si>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</si>
  <si>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</si>
  <si>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</si>
  <si>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</si>
  <si>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</si>
  <si>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</si>
  <si>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</si>
  <si>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</si>
  <si>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Salman</t>
  </si>
  <si>
    <t xml:space="preserve">Alfalah Bakers </t>
  </si>
  <si>
    <t xml:space="preserve">Address: Calavery Ground </t>
  </si>
  <si>
    <t xml:space="preserve">K Mart </t>
  </si>
  <si>
    <t>Al Fateh Super Store</t>
  </si>
  <si>
    <t>Haider Store</t>
  </si>
  <si>
    <t>Hafiz Super Store</t>
  </si>
  <si>
    <t>Mughal Store</t>
  </si>
  <si>
    <t>Khatak Store</t>
  </si>
  <si>
    <t>Sherrabani Store</t>
  </si>
  <si>
    <t>Bholla Store</t>
  </si>
  <si>
    <t>Ali Super Store</t>
  </si>
  <si>
    <t>Khuramm Store</t>
  </si>
  <si>
    <t>Shareef General Store</t>
  </si>
  <si>
    <t xml:space="preserve">Hassan Mart </t>
  </si>
  <si>
    <t>Ashiyana Store</t>
  </si>
  <si>
    <t>Shahid Sons GS</t>
  </si>
  <si>
    <t>Al Sheikh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</si>
</sst>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7" workbookViewId="0">
      <selection activeCell="I17" sqref="I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Alfalah Bakers </v>
      </c>
      <c r="T3" s="301">
        <f>+'1'!P35</f>
        <v>4805.3894985762709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K Mart 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Al Fateh Super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Haider Store</v>
      </c>
      <c r="T6" s="301">
        <f>+'4'!P35</f>
        <v>470.43173776271186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31</v>
      </c>
      <c r="I7" s="235">
        <f>(G7*D7)*F7+H7*F7</f>
        <v>1626.3374999999999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130.107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56.921812500000009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1439.3086874999999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307.37288135593207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8.733407844279661</v>
      </c>
      <c r="P7" s="310">
        <f>M7+N7+O7</f>
        <v>1755.4149767002116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12</v>
      </c>
      <c r="R7" s="313">
        <v>5</v>
      </c>
      <c r="S7" s="300" t="str">
        <f>+'5'!A6:A6</f>
        <v>Hafiz Super Store</v>
      </c>
      <c r="T7" s="301">
        <f>+'5'!P35</f>
        <v>470.43173776271186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66</v>
      </c>
      <c r="I8" s="236">
        <f t="shared" ref="I8:I14" si="0">(G8*D8)*F8+H8*F8</f>
        <v>3462.5250000000001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277.00200000000001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121.18837500000001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3064.334625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654.40677966101669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18.593707023305083</v>
      </c>
      <c r="P8" s="311">
        <f t="shared" ref="P8:P15" si="2">M8+N8+O8</f>
        <v>3737.3351116843214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18</v>
      </c>
      <c r="R8" s="313">
        <v>6</v>
      </c>
      <c r="S8" s="300" t="str">
        <f>+'6'!A6:A6</f>
        <v>Mughal Store</v>
      </c>
      <c r="T8" s="301">
        <f>+'6'!P35</f>
        <v>470.43173776271186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25</v>
      </c>
      <c r="I9" s="236">
        <f t="shared" si="0"/>
        <v>1311.5625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104.925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45.904687500000001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1160.7328124999999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247.88135593220329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7.0430708421610166</v>
      </c>
      <c r="P9" s="311">
        <f t="shared" si="2"/>
        <v>1415.6572392743644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Khatak Store</v>
      </c>
      <c r="T9" s="301">
        <f>+'7'!P35</f>
        <v>470.43173776271186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</v>
      </c>
      <c r="I10" s="236">
        <f t="shared" si="0"/>
        <v>2615.04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209.20320000000001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91.52640000000001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2314.3103999999998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494.23728813559319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14.042738440677965</v>
      </c>
      <c r="P10" s="311">
        <f t="shared" si="2"/>
        <v>2822.5904265762711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10</v>
      </c>
      <c r="R10" s="313">
        <v>8</v>
      </c>
      <c r="S10" s="300" t="str">
        <f>+'8'!A6:A6</f>
        <v>Sherrabani Store</v>
      </c>
      <c r="T10" s="301">
        <f>+'8'!P35</f>
        <v>313.62115850847459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152.54399999999998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Bholla Store</v>
      </c>
      <c r="T11" s="301">
        <f>+'9'!P35</f>
        <v>392.02644813559328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51</v>
      </c>
      <c r="I12" s="236">
        <f t="shared" si="0"/>
        <v>3704.64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296.37120000000004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129.66240000000002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3278.6063999999997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700.16949152542384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19.893879457627119</v>
      </c>
      <c r="P12" s="311">
        <f t="shared" si="2"/>
        <v>3998.6697709830505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3">
        <v>10</v>
      </c>
      <c r="S12" s="300" t="str">
        <f>+'10'!A6:A6</f>
        <v>Ali Super Store</v>
      </c>
      <c r="T12" s="301">
        <f>+'10'!P35</f>
        <v>313.62115850847459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52</v>
      </c>
      <c r="I13" s="236">
        <f t="shared" si="0"/>
        <v>2039.9600000000003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101.99800000000002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71.398600000000016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104.03796</v>
      </c>
      <c r="M13" s="230">
        <f t="shared" si="1"/>
        <v>1762.5254400000003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396.6101694915252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10.795678047457628</v>
      </c>
      <c r="P13" s="311">
        <f t="shared" si="2"/>
        <v>2169.9312875389833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Khuramm Store</v>
      </c>
      <c r="T13" s="301">
        <f>+'11'!P35</f>
        <v>235.21586888135593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Shareef General Store</v>
      </c>
      <c r="T14" s="301">
        <f>+'12'!P35</f>
        <v>1359.0309497033895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Hassan Mart </v>
      </c>
      <c r="T15" s="301">
        <f>+'13'!P35</f>
        <v>2265.051582838983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8.0250000000000004</v>
      </c>
      <c r="H16" s="113">
        <f t="shared" ref="H16:M16" si="3">SUM(H7:H15)</f>
        <v>321</v>
      </c>
      <c r="I16" s="114">
        <f t="shared" si="3"/>
        <v>19118.465</v>
      </c>
      <c r="J16" s="274">
        <f>SUM(J7:J15)</f>
        <v>1468.2784000000001</v>
      </c>
      <c r="K16" s="275">
        <f t="shared" si="3"/>
        <v>669.14627500000006</v>
      </c>
      <c r="L16" s="276">
        <f t="shared" si="3"/>
        <v>104.03796</v>
      </c>
      <c r="M16" s="232">
        <f t="shared" si="3"/>
        <v>16877.002365</v>
      </c>
      <c r="N16" s="233">
        <f>SUM(N7:N15)</f>
        <v>3624.4067796610161</v>
      </c>
      <c r="O16" s="101">
        <f>SUM(O7:O15)</f>
        <v>102.50704572330508</v>
      </c>
      <c r="P16" s="113">
        <f>SUM(P7:P15)</f>
        <v>20603.916190384323</v>
      </c>
      <c r="Q16" s="128">
        <f>SUM(Q7:Q15)</f>
        <v>80</v>
      </c>
      <c r="R16" s="313">
        <v>14</v>
      </c>
      <c r="S16" s="315" t="str">
        <f>+'14'!A6:A6</f>
        <v>Ashiyana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Shahid Sons GS</v>
      </c>
      <c r="T17" s="301">
        <f>+'15'!P35</f>
        <v>2195.3525566843218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 Sheikh Store</v>
      </c>
      <c r="T18" s="301">
        <f>+'16'!P35</f>
        <v>1441.6168495728814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19118.465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1468.2784000000001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773.18423500000006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16877.002365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3624.4067796610161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20501.409144661018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102.50704572330508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20603.916190384323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20603.916190384323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7.25" customHeight="1" x14ac:dyDescent="0.4">
      <c r="A6" s="400" t="s">
        <v>514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4474.8</v>
      </c>
      <c r="J25" s="274">
        <f>SUM(J16:J24)</f>
        <v>310.90800000000002</v>
      </c>
      <c r="K25" s="275">
        <f t="shared" si="10"/>
        <v>156.61799999999999</v>
      </c>
      <c r="L25" s="276">
        <f t="shared" si="10"/>
        <v>80.029200000000003</v>
      </c>
      <c r="M25" s="232">
        <f t="shared" si="10"/>
        <v>3927.2447999999999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4474.8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310.90800000000002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236.6472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3927.2447999999999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4781.4820881355927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4" t="s">
        <v>88</v>
      </c>
      <c r="O35" s="375"/>
      <c r="P35" s="297">
        <f>+P33+P34</f>
        <v>4805.3894985762709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E23" sqref="E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8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R20">
        <f>P20/21</f>
        <v>7.4671704406779664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</v>
      </c>
      <c r="I20" s="236">
        <f t="shared" si="0"/>
        <v>72.64</v>
      </c>
      <c r="J20" s="272">
        <f t="shared" si="1"/>
        <v>5.8112000000000004</v>
      </c>
      <c r="K20" s="128">
        <f t="shared" si="1"/>
        <v>2.5424000000000002</v>
      </c>
      <c r="L20" s="119">
        <f t="shared" si="1"/>
        <v>0</v>
      </c>
      <c r="M20" s="230">
        <f t="shared" si="2"/>
        <v>64.2864</v>
      </c>
      <c r="N20" s="277">
        <f t="shared" si="3"/>
        <v>13.728813559322035</v>
      </c>
      <c r="O20" s="239">
        <f t="shared" si="4"/>
        <v>0.39007606779661019</v>
      </c>
      <c r="P20" s="119">
        <f t="shared" si="5"/>
        <v>78.405289627118648</v>
      </c>
      <c r="Q20" s="319"/>
      <c r="R20">
        <f>P20/21</f>
        <v>3.7335852203389832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363.20000000000005</v>
      </c>
      <c r="J25" s="274">
        <f>SUM(J16:J24)</f>
        <v>29.056000000000004</v>
      </c>
      <c r="K25" s="275">
        <f t="shared" si="7"/>
        <v>12.712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363.20000000000005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1.9503803389830512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234">
        <f>SUM(P16:P24)</f>
        <v>235.21586888135593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217.92000000000002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17.433600000000002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7.6272000000000011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192.85920000000002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234.04564067796611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74" t="s">
        <v>88</v>
      </c>
      <c r="O35" s="375"/>
      <c r="P35" s="297">
        <f>+P33+P34</f>
        <v>235.21586888135593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</v>
      </c>
      <c r="I18" s="236">
        <f t="shared" si="0"/>
        <v>209.85</v>
      </c>
      <c r="J18" s="272">
        <f t="shared" si="1"/>
        <v>16.788</v>
      </c>
      <c r="K18" s="128">
        <f t="shared" si="1"/>
        <v>7.3447500000000003</v>
      </c>
      <c r="L18" s="119">
        <f t="shared" si="1"/>
        <v>0</v>
      </c>
      <c r="M18" s="230">
        <f t="shared" si="2"/>
        <v>185.71724999999998</v>
      </c>
      <c r="N18" s="277">
        <f t="shared" si="3"/>
        <v>39.661016949152526</v>
      </c>
      <c r="O18" s="239">
        <f t="shared" si="4"/>
        <v>1.1268913347457625</v>
      </c>
      <c r="P18" s="119">
        <f t="shared" si="5"/>
        <v>226.50515828389825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1259.0999999999999</v>
      </c>
      <c r="J25" s="274">
        <f>SUM(J16:J24)</f>
        <v>100.72799999999999</v>
      </c>
      <c r="K25" s="275">
        <f t="shared" si="7"/>
        <v>44.0685</v>
      </c>
      <c r="L25" s="276">
        <f t="shared" si="7"/>
        <v>0</v>
      </c>
      <c r="M25" s="232">
        <f t="shared" si="7"/>
        <v>1114.3035</v>
      </c>
      <c r="N25" s="233">
        <f>SUM(N16:N24)</f>
        <v>237.96610169491515</v>
      </c>
      <c r="O25" s="101">
        <f>SUM(O16:O24)</f>
        <v>6.7613480084745756</v>
      </c>
      <c r="P25" s="234">
        <f>SUM(P16:P24)</f>
        <v>1359.0309497033898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1259.0999999999999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100.72799999999999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44.0685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1114.3034999999998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237.96610169491515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1352.2696016949149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6.7613480084745747</v>
      </c>
    </row>
    <row r="35" spans="2:16" ht="15.75" customHeight="1" thickBot="1" x14ac:dyDescent="0.4">
      <c r="N35" s="374" t="s">
        <v>88</v>
      </c>
      <c r="O35" s="375"/>
      <c r="P35" s="297">
        <f>+P33+P34</f>
        <v>1359.0309497033895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73.447500000000019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8" workbookViewId="0">
      <selection activeCell="H21" sqref="H17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25" workbookViewId="0">
      <selection activeCell="C36" sqref="C36:I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33</v>
      </c>
      <c r="I25" s="114">
        <f t="shared" si="7"/>
        <v>2033.925</v>
      </c>
      <c r="J25" s="274">
        <f>SUM(J16:J24)</f>
        <v>162.714</v>
      </c>
      <c r="K25" s="275">
        <f t="shared" si="7"/>
        <v>71.187375000000003</v>
      </c>
      <c r="L25" s="276">
        <f t="shared" si="7"/>
        <v>0</v>
      </c>
      <c r="M25" s="232">
        <f t="shared" si="7"/>
        <v>1800.023625</v>
      </c>
      <c r="N25" s="233">
        <f>SUM(N16:N24)</f>
        <v>384.40677966101686</v>
      </c>
      <c r="O25" s="101">
        <f>SUM(O16:O24)</f>
        <v>10.922152023305083</v>
      </c>
      <c r="P25" s="234">
        <f>SUM(P16:P24)</f>
        <v>2195.3525566843218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2033.925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162.714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71.187375000000003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1800.023625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384.40677966101686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2184.4304046610168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10.922152023305085</v>
      </c>
    </row>
    <row r="35" spans="2:16" ht="15.75" customHeight="1" thickBot="1" x14ac:dyDescent="0.4">
      <c r="N35" s="374" t="s">
        <v>88</v>
      </c>
      <c r="O35" s="375"/>
      <c r="P35" s="297">
        <f>+P33+P34</f>
        <v>2195.3525566843218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24</v>
      </c>
      <c r="I25" s="114">
        <f t="shared" si="7"/>
        <v>1342.44</v>
      </c>
      <c r="J25" s="274">
        <f>SUM(J16:J24)</f>
        <v>93.272400000000005</v>
      </c>
      <c r="K25" s="275">
        <f t="shared" si="7"/>
        <v>46.985400000000013</v>
      </c>
      <c r="L25" s="276">
        <f t="shared" si="7"/>
        <v>24.008760000000002</v>
      </c>
      <c r="M25" s="232">
        <f t="shared" si="7"/>
        <v>1178.17344</v>
      </c>
      <c r="N25" s="233">
        <f>SUM(N16:N24)</f>
        <v>256.27118644067792</v>
      </c>
      <c r="O25" s="101">
        <f>SUM(O16:O24)</f>
        <v>7.1722231322033903</v>
      </c>
      <c r="P25" s="234">
        <f>SUM(P16:P24)</f>
        <v>1441.6168495728814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1342.44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93.272400000000005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70.994160000000022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1178.17344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256.27118644067792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1434.4446264406779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7.1722231322033894</v>
      </c>
    </row>
    <row r="35" spans="2:16" ht="15.75" customHeight="1" thickBot="1" x14ac:dyDescent="0.4">
      <c r="N35" s="374" t="s">
        <v>88</v>
      </c>
      <c r="O35" s="375"/>
      <c r="P35" s="297">
        <f>+P33+P34</f>
        <v>1441.6168495728814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46279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Salman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46295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2026-09-30T07:13:55Z</dcterms:modified>
</cp:coreProperties>
</file>