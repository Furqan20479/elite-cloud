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987888A-D835-4A07-B638-CEEC9CB2C8BF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5" l="1"/>
  <c r="N4" i="69"/>
  <c r="N5" i="69" s="1"/>
  <c r="N4" i="65"/>
  <c r="N5" i="65" s="1"/>
  <c r="N4" i="60"/>
  <c r="N4" i="52"/>
  <c r="N4" i="44"/>
  <c r="N4" i="72"/>
  <c r="N5" i="72" s="1"/>
  <c r="N4" i="71"/>
  <c r="N5" i="71" s="1"/>
  <c r="N4" i="54"/>
  <c r="N5" i="54" s="1"/>
  <c r="N4" i="66"/>
  <c r="N5" i="66" s="1"/>
  <c r="N4" i="49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P31" i="51" s="1"/>
  <c r="P33" i="51" s="1"/>
  <c r="P34" i="51" s="1"/>
  <c r="P35" i="51" s="1"/>
  <c r="T12" i="62" s="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<sst xmlns="http://schemas.openxmlformats.org/spreadsheetml/2006/main" count="3948" uniqueCount="528">
  <si>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</si>
  <si>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</si>
  <si>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</si>
  <si>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</si>
  <si>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</si>
  <si>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</si>
  <si>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</si>
  <si>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</si>
  <si>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</si>
  <si>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</si>
  <si>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</si>
  <si>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</si>
  <si>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</si>
  <si>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</si>
  <si>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</si>
  <si>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</si>
  <si>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</si>
  <si>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</si>
  <si>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</si>
  <si>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</si>
  <si>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</si>
  <si>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</si>
  <si>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</si>
  <si>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</si>
  <si>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</si>
  <si>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</si>
  <si>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</si>
  <si>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</si>
  <si>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</si>
  <si>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</si>
  <si>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</si>
  <si>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</si>
  <si>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</si>
  <si>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</si>
  <si>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</si>
  <si>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</si>
  <si>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</si>
  <si>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</si>
  <si>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</si>
  <si>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</si>
  <si>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</si>
  <si>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</si>
  <si>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</si>
  <si>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</si>
  <si>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</si>
  <si>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</si>
  <si>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</si>
  <si>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</si>
  <si>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</si>
  <si>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</si>
  <si>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</si>
  <si>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</si>
  <si>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</si>
  <si>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</si>
  <si>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</si>
  <si>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</si>
  <si>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</si>
  <si>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</si>
  <si>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</si>
  <si>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</si>
  <si>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</si>
  <si>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</si>
  <si>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</si>
  <si>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</si>
  <si>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</si>
  <si>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</si>
  <si>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</si>
  <si>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</si>
  <si>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</si>
  <si>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</si>
  <si>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</si>
  <si>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</si>
  <si>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</si>
  <si>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</si>
  <si>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</si>
  <si>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</si>
  <si>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</si>
  <si>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</si>
  <si>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</si>
  <si>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</si>
  <si>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</si>
  <si>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</si>
  <si>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</si>
  <si>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</si>
  <si>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</si>
  <si>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</si>
  <si>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</si>
  <si>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</si>
  <si>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</si>
  <si>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</si>
  <si>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</si>
  <si>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</si>
  <si>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</si>
  <si>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</si>
  <si>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</si>
  <si>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</si>
  <si>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</si>
  <si>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</si>
  <si>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</si>
  <si>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</si>
  <si>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</si>
  <si>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</si>
  <si>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</si>
  <si>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</si>
  <si>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</si>
  <si>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</si>
  <si>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</si>
  <si>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</si>
  <si>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</si>
  <si>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</si>
  <si>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</si>
  <si>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</si>
  <si>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</si>
  <si>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</si>
  <si>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</si>
  <si>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</si>
  <si>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</si>
  <si>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</si>
  <si>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</si>
  <si>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</si>
  <si>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</si>
  <si>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</si>
  <si>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</si>
  <si>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</si>
  <si>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</si>
  <si>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</si>
  <si>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</si>
  <si>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</si>
  <si>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</si>
  <si>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</si>
  <si>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</si>
  <si>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</si>
  <si>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</si>
  <si>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</si>
  <si>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</si>
  <si>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</si>
  <si>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</si>
  <si>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</si>
  <si>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</si>
  <si>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</si>
  <si>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</si>
  <si>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</si>
  <si>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</si>
  <si>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</si>
  <si>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</si>
  <si>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</si>
  <si>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</si>
  <si>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</si>
  <si>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</si>
  <si>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</si>
  <si>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</si>
  <si>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</si>
  <si>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</si>
  <si>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</si>
  <si>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</si>
  <si>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</si>
  <si>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</si>
  <si>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</si>
  <si>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</si>
  <si>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</si>
  <si>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</si>
  <si>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</si>
  <si>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</si>
  <si>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</si>
  <si>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</si>
  <si>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</si>
  <si>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</si>
  <si>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</si>
  <si>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</si>
  <si>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</si>
  <si>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</si>
  <si>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</si>
  <si>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</si>
  <si>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</si>
  <si>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</si>
  <si>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</si>
  <si>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</si>
  <si>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</si>
  <si>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</si>
  <si>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</si>
  <si>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</si>
  <si>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</si>
  <si>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</si>
  <si>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</si>
  <si>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</si>
  <si>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</si>
  <si>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</si>
  <si>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</si>
  <si>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</si>
  <si>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</si>
  <si>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</si>
  <si>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</si>
  <si>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</si>
  <si>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</si>
  <si>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</si>
  <si>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</si>
  <si>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</si>
  <si>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</si>
  <si>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</si>
  <si>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</si>
  <si>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</si>
  <si>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</si>
  <si>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</si>
  <si>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</si>
  <si>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</si>
  <si>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</si>
  <si>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</si>
  <si>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</si>
  <si>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</si>
  <si>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</si>
  <si>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</si>
  <si>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</si>
  <si>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</si>
  <si>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</si>
  <si>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</si>
  <si>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</si>
  <si>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</si>
  <si>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</si>
  <si>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</si>
  <si>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</si>
  <si>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</si>
  <si>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</si>
  <si>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</si>
  <si>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</si>
  <si>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</si>
  <si>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</si>
  <si>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</si>
  <si>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</si>
  <si>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</si>
  <si>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</si>
  <si>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</si>
  <si>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</si>
  <si>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</si>
  <si>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</si>
  <si>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</si>
  <si>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</si>
  <si>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</si>
  <si>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</si>
  <si>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</si>
  <si>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</si>
  <si>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</si>
  <si>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</si>
  <si>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</si>
  <si>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</si>
  <si>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</si>
  <si>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</si>
  <si>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</si>
  <si>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</si>
  <si>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</si>
  <si>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</si>
  <si>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</si>
  <si>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</si>
  <si>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</si>
  <si>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</si>
  <si>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</si>
  <si>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</si>
  <si>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</si>
  <si>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</si>
  <si>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</si>
  <si>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</si>
  <si>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</si>
  <si>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</si>
  <si>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</si>
  <si>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</si>
  <si>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</si>
  <si>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</si>
  <si>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</si>
  <si>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</si>
  <si>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</si>
  <si>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</si>
  <si>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</si>
  <si>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</si>
  <si>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</si>
  <si>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</si>
  <si>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</si>
  <si>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</si>
  <si>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</si>
  <si>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</si>
  <si>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</si>
  <si>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</si>
  <si>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</si>
  <si>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</si>
  <si>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</si>
  <si>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</si>
  <si>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</si>
  <si>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</si>
  <si>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</si>
  <si>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</si>
  <si>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</si>
  <si>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</si>
  <si>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</si>
  <si>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</si>
  <si>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</si>
  <si>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</si>
  <si>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</si>
  <si>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</si>
  <si>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</si>
  <si>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</si>
  <si>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</si>
  <si>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</si>
  <si>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</si>
  <si>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</si>
  <si>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</si>
  <si>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</si>
  <si>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</si>
  <si>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</si>
  <si>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</si>
  <si>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</si>
  <si>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</si>
  <si>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</si>
  <si>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</si>
  <si>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</si>
  <si>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</si>
  <si>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</si>
  <si>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</si>
  <si>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</si>
  <si>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</si>
  <si>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</si>
  <si>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</si>
  <si>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</si>
  <si>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</si>
  <si>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</si>
  <si>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</si>
  <si>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</si>
  <si>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</si>
  <si>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</si>
  <si>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</si>
  <si>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</si>
  <si>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</si>
  <si>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</si>
  <si>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</si>
  <si>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</si>
  <si>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</si>
  <si>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</si>
  <si>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</si>
  <si>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</si>
  <si>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</si>
  <si>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</si>
  <si>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</si>
  <si>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</si>
  <si>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</si>
  <si>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</si>
  <si>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</si>
  <si>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</si>
  <si>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</si>
  <si>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</si>
  <si>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</si>
  <si>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</si>
  <si>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</si>
  <si>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</si>
  <si>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</si>
  <si>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</si>
  <si>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</si>
  <si>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</si>
  <si>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</si>
  <si>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</si>
  <si>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</si>
  <si>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</si>
  <si>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</si>
  <si>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</si>
  <si>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</si>
  <si>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</si>
  <si>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</si>
  <si>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</si>
  <si>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</si>
  <si>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</si>
  <si>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</si>
  <si>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</si>
  <si>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</si>
  <si>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</si>
  <si>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</si>
  <si>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</si>
  <si>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</si>
  <si>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</si>
  <si>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</si>
  <si>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</si>
  <si>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</si>
  <si>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</si>
  <si>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</si>
  <si>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</si>
  <si>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</si>
  <si>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</si>
  <si>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</si>
  <si>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</si>
  <si>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</si>
  <si>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</si>
  <si>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</si>
  <si>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</si>
  <si>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</si>
  <si>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</si>
  <si>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</si>
  <si>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</si>
  <si>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</si>
  <si>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</si>
  <si>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</si>
  <si>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</si>
  <si>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</si>
  <si>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</si>
  <si>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</si>
  <si>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</si>
  <si>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</si>
  <si>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</si>
  <si>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</si>
  <si>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</si>
  <si>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</si>
  <si>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</si>
  <si>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</si>
  <si>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</si>
  <si>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</si>
  <si>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</si>
  <si>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</si>
  <si>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</si>
  <si>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</si>
  <si>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</si>
  <si>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</si>
  <si>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</si>
  <si>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</si>
  <si>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</si>
  <si>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</si>
  <si>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</si>
  <si>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</si>
  <si>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</si>
  <si>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</si>
  <si>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</si>
  <si>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</si>
  <si>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</si>
  <si>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</si>
  <si>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</si>
  <si>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</si>
  <si>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</si>
  <si>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</si>
  <si>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</si>
  <si>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</si>
  <si>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</si>
  <si>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</si>
  <si>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</si>
  <si>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</si>
  <si>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</si>
  <si>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</si>
  <si>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</si>
  <si>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</si>
  <si>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</si>
  <si>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</si>
  <si>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</si>
  <si>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</si>
  <si>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</si>
  <si>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</si>
  <si>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</si>
  <si>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</si>
  <si>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</si>
  <si>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</si>
  <si>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</si>
  <si>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</si>
  <si>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</si>
  <si>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</si>
  <si>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</si>
  <si>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</si>
  <si>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</si>
  <si>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</si>
  <si>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</si>
  <si>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</si>
  <si>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</si>
  <si>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</si>
  <si>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</si>
  <si>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</si>
  <si>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</si>
  <si>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</si>
  <si>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</si>
  <si>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</si>
  <si>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</si>
  <si>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</si>
  <si>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</si>
  <si>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</si>
  <si>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</si>
  <si>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</si>
  <si>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</si>
  <si>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</si>
  <si>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</si>
  <si>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</si>
  <si>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</si>
  <si>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</si>
  <si>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</si>
  <si>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</si>
  <si>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</si>
  <si>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</si>
  <si>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</si>
  <si>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</si>
  <si>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</si>
  <si>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</si>
  <si>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</si>
  <si>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</si>
  <si>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</si>
  <si>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</si>
  <si>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</si>
  <si>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</si>
  <si>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</si>
  <si>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</si>
  <si>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</si>
  <si>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</si>
  <si>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</si>
  <si>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</si>
  <si>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</si>
  <si>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</si>
  <si>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</si>
  <si>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</si>
  <si>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</si>
  <si>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</si>
  <si>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</si>
  <si>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</si>
  <si>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</si>
  <si>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</si>
  <si>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</si>
  <si>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</si>
  <si>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Furqan</t>
  </si>
  <si>
    <t>M Sadiq Store</t>
  </si>
  <si>
    <t xml:space="preserve">Address: Guru mangat </t>
  </si>
  <si>
    <t xml:space="preserve">Al Falah Bakers </t>
  </si>
  <si>
    <t xml:space="preserve">Shahid And Sons </t>
  </si>
  <si>
    <t xml:space="preserve">Syed Bin Dawood </t>
  </si>
  <si>
    <t>Sughat GS</t>
  </si>
  <si>
    <t xml:space="preserve">Lala G Super Mart </t>
  </si>
  <si>
    <t>Address: Farcon Complex</t>
  </si>
  <si>
    <t xml:space="preserve">Prince Bakery </t>
  </si>
  <si>
    <t>Address: LDA Flats</t>
  </si>
  <si>
    <t xml:space="preserve">Ayan Pan Shop </t>
  </si>
  <si>
    <t xml:space="preserve">Shell Petroll Pump </t>
  </si>
  <si>
    <t xml:space="preserve">Address: Shadman </t>
  </si>
  <si>
    <t xml:space="preserve">Chaudry Ferozen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</si>
</sst>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46280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M Sadiq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Al Falah Bakers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Shahid And Sons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Syed Bin Dawood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30</v>
      </c>
      <c r="I7" s="235">
        <f>(G7*D7)*F7+H7*F7</f>
        <v>1573.875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125.91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55.085625000000007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1392.879375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297.45762711864393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8.45168501059322</v>
      </c>
      <c r="P7" s="310">
        <f>M7+N7+O7</f>
        <v>1698.7886871292369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33</v>
      </c>
      <c r="R7" s="313">
        <v>5</v>
      </c>
      <c r="S7" s="300" t="str">
        <f>+'5'!A6:A6</f>
        <v>Sughat GS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25</v>
      </c>
      <c r="I8" s="236">
        <f t="shared" ref="I8:I14" si="0">(G8*D8)*F8+H8*F8</f>
        <v>1311.5625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104.925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45.904687500000001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1160.7328124999999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247.88135593220329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7.0430708421610166</v>
      </c>
      <c r="P8" s="311">
        <f t="shared" ref="P8:P15" si="2">M8+N8+O8</f>
        <v>1415.6572392743644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55</v>
      </c>
      <c r="R8" s="313">
        <v>6</v>
      </c>
      <c r="S8" s="300" t="str">
        <f>+'6'!A6:A6</f>
        <v xml:space="preserve">Lala G Super Mart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25</v>
      </c>
      <c r="I9" s="236">
        <f t="shared" si="0"/>
        <v>1311.5625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104.925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45.904687500000001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1160.7328124999999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247.88135593220329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7.0430708421610166</v>
      </c>
      <c r="P9" s="311">
        <f t="shared" si="2"/>
        <v>1415.6572392743644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16</v>
      </c>
      <c r="R9" s="313">
        <v>7</v>
      </c>
      <c r="S9" s="300" t="str">
        <f>+'7'!A6:A6</f>
        <v xml:space="preserve">Prince Bakery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25</v>
      </c>
      <c r="I10" s="236">
        <f t="shared" si="0"/>
        <v>1816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145.28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63.560000000000009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1607.16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343.22033898305085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9.7519016949152544</v>
      </c>
      <c r="P10" s="311">
        <f t="shared" si="2"/>
        <v>1960.1322406779661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50</v>
      </c>
      <c r="R10" s="313">
        <v>8</v>
      </c>
      <c r="S10" s="300" t="str">
        <f>+'8'!A6:A6</f>
        <v xml:space="preserve">Ayan Pan Shop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25</v>
      </c>
      <c r="I11" s="236">
        <f t="shared" si="0"/>
        <v>1816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145.28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63.560000000000009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1607.16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343.22033898305085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9.7519016949152544</v>
      </c>
      <c r="P11" s="311">
        <f t="shared" si="2"/>
        <v>1960.1322406779661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28</v>
      </c>
      <c r="R11" s="313">
        <v>9</v>
      </c>
      <c r="S11" s="300" t="str">
        <f>+'9'!A6:A6</f>
        <v xml:space="preserve">Shell Petroll Pump </v>
      </c>
      <c r="T11" s="301">
        <f>+'9'!P35</f>
        <v>10802.526335847459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30</v>
      </c>
      <c r="I12" s="236">
        <f t="shared" si="0"/>
        <v>2179.1999999999998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174.33599999999998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76.272000000000006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1928.5919999999999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411.86440677966107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11.702282033898305</v>
      </c>
      <c r="P12" s="311">
        <f t="shared" si="2"/>
        <v>2352.1586888135594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33</v>
      </c>
      <c r="R12" s="313">
        <v>10</v>
      </c>
      <c r="S12" s="300" t="str">
        <f>+'10'!A6:A6</f>
        <v xml:space="preserve">Chaudry Ferozen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142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4</v>
      </c>
      <c r="H16" s="113">
        <f t="shared" ref="H16:M16" si="3">SUM(H7:H15)</f>
        <v>160</v>
      </c>
      <c r="I16" s="114">
        <f t="shared" si="3"/>
        <v>10008.200000000001</v>
      </c>
      <c r="J16" s="274">
        <f>SUM(J7:J15)</f>
        <v>800.65599999999995</v>
      </c>
      <c r="K16" s="275">
        <f t="shared" si="3"/>
        <v>350.28700000000003</v>
      </c>
      <c r="L16" s="276">
        <f t="shared" si="3"/>
        <v>0</v>
      </c>
      <c r="M16" s="232">
        <f t="shared" si="3"/>
        <v>8857.2569999999996</v>
      </c>
      <c r="N16" s="233">
        <f>SUM(N7:N15)</f>
        <v>1891.5254237288132</v>
      </c>
      <c r="O16" s="101">
        <f>SUM(O7:O15)</f>
        <v>53.743912118644069</v>
      </c>
      <c r="P16" s="113">
        <f>SUM(P7:P15)</f>
        <v>10802.526335847457</v>
      </c>
      <c r="Q16" s="128">
        <f>SUM(Q7:Q15)</f>
        <v>357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10008.200000000001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800.65599999999995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350.28700000000003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8857.2570000000014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1891.5254237288132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10748.782423728815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53.743912118644069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10802.526335847459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10802.526335847459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1" workbookViewId="0">
      <selection activeCell="H22" sqref="H17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>
        <v>20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H22" sqref="H19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20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H22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6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3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3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3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>
        <v>6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33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H22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15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15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10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10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>
        <v>20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100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activeCell="H19" sqref="H16: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12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12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36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activeCell="H22" sqref="H17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12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24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activeCell="A20" sqref="A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30</v>
      </c>
      <c r="I16" s="235">
        <f>(G16*D16)*F16+H16*F16</f>
        <v>1573.875</v>
      </c>
      <c r="J16" s="271">
        <f>$I16*S16</f>
        <v>125.91</v>
      </c>
      <c r="K16" s="127">
        <f>$I16*T16</f>
        <v>55.085625000000007</v>
      </c>
      <c r="L16" s="118">
        <f>$I16*U16</f>
        <v>0</v>
      </c>
      <c r="M16" s="229">
        <f>I16-SUM(J16:L16)</f>
        <v>1392.879375</v>
      </c>
      <c r="N16" s="248">
        <f>+(G16*D16+H16)*V16</f>
        <v>297.45762711864393</v>
      </c>
      <c r="O16" s="238">
        <f>(N16+M16)*$O$15</f>
        <v>8.45168501059322</v>
      </c>
      <c r="P16" s="118">
        <f>M16+N16+O16</f>
        <v>1698.7886871292369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25</v>
      </c>
      <c r="I17" s="236">
        <f t="shared" ref="I17:I23" si="0">(G17*D17)*F17+H17*F17</f>
        <v>1311.5625</v>
      </c>
      <c r="J17" s="272">
        <f t="shared" ref="J17:L24" si="1">$I17*S17</f>
        <v>104.925</v>
      </c>
      <c r="K17" s="128">
        <f>$I17*T17</f>
        <v>45.904687500000001</v>
      </c>
      <c r="L17" s="119">
        <f>$I17*U17</f>
        <v>0</v>
      </c>
      <c r="M17" s="230">
        <f t="shared" ref="M17:M24" si="2">I17-SUM(J17:L17)</f>
        <v>1160.7328124999999</v>
      </c>
      <c r="N17" s="277">
        <f t="shared" ref="N17:N24" si="3">+(G17*D17+H17)*V17</f>
        <v>247.88135593220329</v>
      </c>
      <c r="O17" s="239">
        <f t="shared" ref="O17:O24" si="4">(N17+M17)*$O$15</f>
        <v>7.0430708421610166</v>
      </c>
      <c r="P17" s="119">
        <f t="shared" ref="P17:P24" si="5">M17+N17+O17</f>
        <v>1415.6572392743644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25</v>
      </c>
      <c r="I18" s="236">
        <f t="shared" si="0"/>
        <v>1311.5625</v>
      </c>
      <c r="J18" s="272">
        <f t="shared" si="1"/>
        <v>104.925</v>
      </c>
      <c r="K18" s="128">
        <f t="shared" si="1"/>
        <v>45.904687500000001</v>
      </c>
      <c r="L18" s="119">
        <f t="shared" si="1"/>
        <v>0</v>
      </c>
      <c r="M18" s="230">
        <f t="shared" si="2"/>
        <v>1160.7328124999999</v>
      </c>
      <c r="N18" s="277">
        <f t="shared" si="3"/>
        <v>247.88135593220329</v>
      </c>
      <c r="O18" s="239">
        <f t="shared" si="4"/>
        <v>7.0430708421610166</v>
      </c>
      <c r="P18" s="119">
        <f t="shared" si="5"/>
        <v>1415.6572392743644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25</v>
      </c>
      <c r="I19" s="236">
        <f t="shared" si="0"/>
        <v>1816</v>
      </c>
      <c r="J19" s="272">
        <f t="shared" si="1"/>
        <v>145.28</v>
      </c>
      <c r="K19" s="128">
        <f t="shared" si="1"/>
        <v>63.560000000000009</v>
      </c>
      <c r="L19" s="119">
        <f t="shared" si="1"/>
        <v>0</v>
      </c>
      <c r="M19" s="230">
        <f t="shared" si="2"/>
        <v>1607.16</v>
      </c>
      <c r="N19" s="277">
        <f t="shared" si="3"/>
        <v>343.22033898305085</v>
      </c>
      <c r="O19" s="239">
        <f t="shared" si="4"/>
        <v>9.7519016949152544</v>
      </c>
      <c r="P19" s="119">
        <f t="shared" si="5"/>
        <v>1960.1322406779661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25</v>
      </c>
      <c r="I20" s="236">
        <f t="shared" si="0"/>
        <v>1816</v>
      </c>
      <c r="J20" s="272">
        <f t="shared" si="1"/>
        <v>145.28</v>
      </c>
      <c r="K20" s="128">
        <f t="shared" si="1"/>
        <v>63.560000000000009</v>
      </c>
      <c r="L20" s="119">
        <f t="shared" si="1"/>
        <v>0</v>
      </c>
      <c r="M20" s="230">
        <f t="shared" si="2"/>
        <v>1607.16</v>
      </c>
      <c r="N20" s="277">
        <f t="shared" si="3"/>
        <v>343.22033898305085</v>
      </c>
      <c r="O20" s="239">
        <f t="shared" si="4"/>
        <v>9.7519016949152544</v>
      </c>
      <c r="P20" s="119">
        <f t="shared" si="5"/>
        <v>1960.1322406779661</v>
      </c>
      <c r="Q20" s="319"/>
      <c r="R20">
        <f>P20/21</f>
        <v>93.339630508474585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0"/>
        <v>2179.1999999999998</v>
      </c>
      <c r="J21" s="272">
        <f t="shared" si="1"/>
        <v>174.33599999999998</v>
      </c>
      <c r="K21" s="128">
        <f t="shared" si="1"/>
        <v>76.272000000000006</v>
      </c>
      <c r="L21" s="119">
        <f t="shared" si="1"/>
        <v>0</v>
      </c>
      <c r="M21" s="230">
        <f t="shared" si="2"/>
        <v>1928.5919999999999</v>
      </c>
      <c r="N21" s="277">
        <f t="shared" si="3"/>
        <v>411.86440677966107</v>
      </c>
      <c r="O21" s="239">
        <f t="shared" si="4"/>
        <v>11.702282033898305</v>
      </c>
      <c r="P21" s="119">
        <f t="shared" si="5"/>
        <v>2352.1586888135594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800.65599999999995</v>
      </c>
      <c r="K25" s="275">
        <f t="shared" si="7"/>
        <v>350.28700000000003</v>
      </c>
      <c r="L25" s="276">
        <f t="shared" si="7"/>
        <v>0</v>
      </c>
      <c r="M25" s="232">
        <f t="shared" si="7"/>
        <v>8857.2569999999996</v>
      </c>
      <c r="N25" s="233">
        <f>SUM(N16:N24)</f>
        <v>1891.5254237288132</v>
      </c>
      <c r="O25" s="101">
        <f>SUM(O16:O24)</f>
        <v>53.743912118644069</v>
      </c>
      <c r="P25" s="234">
        <f>SUM(P16:P24)</f>
        <v>10802.526335847457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10008.200000000001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800.65599999999995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350.28700000000003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8857.2570000000014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10748.782423728815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53.743912118644076</v>
      </c>
    </row>
    <row r="35" spans="2:16" ht="15.75" customHeight="1" thickBot="1" x14ac:dyDescent="0.4">
      <c r="N35" s="345" t="s">
        <v>88</v>
      </c>
      <c r="O35" s="346"/>
      <c r="P35" s="297">
        <f>+P33+P34</f>
        <v>10802.526335847459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9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>
        <v>20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46282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46281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2026-09-16T04:17:33Z</dcterms:modified>
</cp:coreProperties>
</file>