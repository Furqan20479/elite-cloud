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8F337B8-2EC6-40AC-AB0F-A8146763A422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<sst xmlns="http://schemas.openxmlformats.org/spreadsheetml/2006/main" count="3947" uniqueCount="525">
  <si>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</si>
  <si>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</si>
  <si>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</si>
  <si>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</si>
  <si>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</si>
  <si>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</si>
  <si>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</si>
  <si>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</si>
  <si>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</si>
  <si>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</si>
  <si>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</si>
  <si>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</si>
  <si>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</si>
  <si>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</si>
  <si>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</si>
  <si>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</si>
  <si>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</si>
  <si>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</si>
  <si>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</si>
  <si>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</si>
  <si>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</si>
  <si>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</si>
  <si>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</si>
  <si>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</si>
  <si>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</si>
  <si>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</si>
  <si>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</si>
  <si>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</si>
  <si>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</si>
  <si>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</si>
  <si>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</si>
  <si>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</si>
  <si>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</si>
  <si>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</si>
  <si>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</si>
  <si>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</si>
  <si>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</si>
  <si>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</si>
  <si>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</si>
  <si>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</si>
  <si>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</si>
  <si>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</si>
  <si>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</si>
  <si>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</si>
  <si>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</si>
  <si>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</si>
  <si>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</si>
  <si>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</si>
  <si>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</si>
  <si>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</si>
  <si>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</si>
  <si>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</si>
  <si>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</si>
  <si>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</si>
  <si>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</si>
  <si>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</si>
  <si>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</si>
  <si>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</si>
  <si>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</si>
  <si>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</si>
  <si>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</si>
  <si>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</si>
  <si>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</si>
  <si>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</si>
  <si>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</si>
  <si>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</si>
  <si>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</si>
  <si>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</si>
  <si>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</si>
  <si>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</si>
  <si>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</si>
  <si>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</si>
  <si>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</si>
  <si>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</si>
  <si>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</si>
  <si>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</si>
  <si>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</si>
  <si>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</si>
  <si>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</si>
  <si>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</si>
  <si>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</si>
  <si>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</si>
  <si>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</si>
  <si>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</si>
  <si>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</si>
  <si>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</si>
  <si>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</si>
  <si>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</si>
  <si>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</si>
  <si>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</si>
  <si>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</si>
  <si>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</si>
  <si>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</si>
  <si>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</si>
  <si>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</si>
  <si>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</si>
  <si>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</si>
  <si>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</si>
  <si>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</si>
  <si>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</si>
  <si>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</si>
  <si>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</si>
  <si>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</si>
  <si>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</si>
  <si>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</si>
  <si>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</si>
  <si>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</si>
  <si>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</si>
  <si>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</si>
  <si>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</si>
  <si>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</si>
  <si>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</si>
  <si>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</si>
  <si>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</si>
  <si>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</si>
  <si>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</si>
  <si>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</si>
  <si>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</si>
  <si>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</si>
  <si>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</si>
  <si>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</si>
  <si>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</si>
  <si>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</si>
  <si>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</si>
  <si>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</si>
  <si>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</si>
  <si>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</si>
  <si>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</si>
  <si>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</si>
  <si>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</si>
  <si>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</si>
  <si>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</si>
  <si>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</si>
  <si>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</si>
  <si>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</si>
  <si>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</si>
  <si>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</si>
  <si>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</si>
  <si>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</si>
  <si>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</si>
  <si>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</si>
  <si>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</si>
  <si>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</si>
  <si>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</si>
  <si>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</si>
  <si>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</si>
  <si>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</si>
  <si>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</si>
  <si>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</si>
  <si>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</si>
  <si>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</si>
  <si>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</si>
  <si>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</si>
  <si>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</si>
  <si>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</si>
  <si>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</si>
  <si>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</si>
  <si>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</si>
  <si>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</si>
  <si>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</si>
  <si>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</si>
  <si>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</si>
  <si>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</si>
  <si>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</si>
  <si>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</si>
  <si>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</si>
  <si>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</si>
  <si>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</si>
  <si>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</si>
  <si>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</si>
  <si>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</si>
  <si>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</si>
  <si>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</si>
  <si>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</si>
  <si>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</si>
  <si>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</si>
  <si>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</si>
  <si>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</si>
  <si>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</si>
  <si>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</si>
  <si>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</si>
  <si>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</si>
  <si>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</si>
  <si>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</si>
  <si>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</si>
  <si>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</si>
  <si>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</si>
  <si>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</si>
  <si>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</si>
  <si>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</si>
  <si>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</si>
  <si>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</si>
  <si>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</si>
  <si>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</si>
  <si>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</si>
  <si>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</si>
  <si>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</si>
  <si>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</si>
  <si>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</si>
  <si>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</si>
  <si>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</si>
  <si>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</si>
  <si>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</si>
  <si>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</si>
  <si>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</si>
  <si>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</si>
  <si>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</si>
  <si>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</si>
  <si>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</si>
  <si>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</si>
  <si>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</si>
  <si>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</si>
  <si>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</si>
  <si>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</si>
  <si>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</si>
  <si>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</si>
  <si>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</si>
  <si>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</si>
  <si>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</si>
  <si>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</si>
  <si>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</si>
  <si>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</si>
  <si>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</si>
  <si>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</si>
  <si>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</si>
  <si>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</si>
  <si>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</si>
  <si>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</si>
  <si>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</si>
  <si>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</si>
  <si>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</si>
  <si>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</si>
  <si>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</si>
  <si>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</si>
  <si>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</si>
  <si>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</si>
  <si>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</si>
  <si>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</si>
  <si>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</si>
  <si>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</si>
  <si>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</si>
  <si>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</si>
  <si>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</si>
  <si>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</si>
  <si>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</si>
  <si>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</si>
  <si>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</si>
  <si>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</si>
  <si>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</si>
  <si>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</si>
  <si>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</si>
  <si>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</si>
  <si>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</si>
  <si>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</si>
  <si>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</si>
  <si>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</si>
  <si>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</si>
  <si>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</si>
  <si>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</si>
  <si>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</si>
  <si>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</si>
  <si>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</si>
  <si>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</si>
  <si>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</si>
  <si>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</si>
  <si>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</si>
  <si>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</si>
  <si>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</si>
  <si>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</si>
  <si>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</si>
  <si>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</si>
  <si>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</si>
  <si>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</si>
  <si>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</si>
  <si>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</si>
  <si>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</si>
  <si>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</si>
  <si>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</si>
  <si>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</si>
  <si>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</si>
  <si>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</si>
  <si>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</si>
  <si>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</si>
  <si>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</si>
  <si>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</si>
  <si>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</si>
  <si>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</si>
  <si>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</si>
  <si>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</si>
  <si>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</si>
  <si>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</si>
  <si>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</si>
  <si>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</si>
  <si>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</si>
  <si>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</si>
  <si>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</si>
  <si>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</si>
  <si>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</si>
  <si>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</si>
  <si>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</si>
  <si>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</si>
  <si>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</si>
  <si>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</si>
  <si>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</si>
  <si>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</si>
  <si>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</si>
  <si>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</si>
  <si>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</si>
  <si>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</si>
  <si>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</si>
  <si>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</si>
  <si>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</si>
  <si>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</si>
  <si>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</si>
  <si>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</si>
  <si>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</si>
  <si>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</si>
  <si>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</si>
  <si>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</si>
  <si>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</si>
  <si>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</si>
  <si>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</si>
  <si>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</si>
  <si>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</si>
  <si>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</si>
  <si>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</si>
  <si>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</si>
  <si>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</si>
  <si>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</si>
  <si>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</si>
  <si>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</si>
  <si>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</si>
  <si>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</si>
  <si>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</si>
  <si>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</si>
  <si>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</si>
  <si>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</si>
  <si>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</si>
  <si>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</si>
  <si>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</si>
  <si>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</si>
  <si>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</si>
  <si>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</si>
  <si>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</si>
  <si>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</si>
  <si>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</si>
  <si>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</si>
  <si>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</si>
  <si>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</si>
  <si>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</si>
  <si>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</si>
  <si>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</si>
  <si>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</si>
  <si>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</si>
  <si>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</si>
  <si>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</si>
  <si>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</si>
  <si>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</si>
  <si>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</si>
  <si>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</si>
  <si>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</si>
  <si>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</si>
  <si>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</si>
  <si>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</si>
  <si>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</si>
  <si>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</si>
  <si>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</si>
  <si>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</si>
  <si>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</si>
  <si>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</si>
  <si>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</si>
  <si>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</si>
  <si>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</si>
  <si>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</si>
  <si>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</si>
  <si>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</si>
  <si>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</si>
  <si>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</si>
  <si>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</si>
  <si>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</si>
  <si>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</si>
  <si>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</si>
  <si>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</si>
  <si>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</si>
  <si>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</si>
  <si>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</si>
  <si>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</si>
  <si>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</si>
  <si>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</si>
  <si>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</si>
  <si>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</si>
  <si>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</si>
  <si>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</si>
  <si>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</si>
  <si>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</si>
  <si>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</si>
  <si>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</si>
  <si>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</si>
  <si>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</si>
  <si>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</si>
  <si>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</si>
  <si>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</si>
  <si>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</si>
  <si>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</si>
  <si>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</si>
  <si>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</si>
  <si>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</si>
  <si>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</si>
  <si>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</si>
  <si>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</si>
  <si>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</si>
  <si>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</si>
  <si>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</si>
  <si>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</si>
  <si>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</si>
  <si>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</si>
  <si>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</si>
  <si>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</si>
  <si>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</si>
  <si>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</si>
  <si>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</si>
  <si>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</si>
  <si>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</si>
  <si>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</si>
  <si>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</si>
  <si>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</si>
  <si>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</si>
  <si>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</si>
  <si>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</si>
  <si>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</si>
  <si>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</si>
  <si>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</si>
  <si>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</si>
  <si>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</si>
  <si>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</si>
  <si>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</si>
  <si>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</si>
  <si>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</si>
  <si>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</si>
  <si>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</si>
  <si>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</si>
  <si>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</si>
  <si>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</si>
  <si>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</si>
  <si>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</si>
  <si>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</si>
  <si>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</si>
  <si>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</si>
  <si>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</si>
  <si>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</si>
  <si>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</si>
  <si>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</si>
  <si>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</si>
  <si>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</si>
  <si>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</si>
  <si>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</si>
  <si>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</si>
  <si>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</si>
  <si>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</si>
  <si>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</si>
  <si>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</si>
  <si>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</si>
  <si>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</si>
  <si>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</si>
  <si>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</si>
  <si>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</si>
  <si>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</si>
  <si>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</si>
  <si>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</si>
  <si>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</si>
  <si>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</si>
  <si>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</si>
  <si>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</si>
  <si>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</si>
  <si>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</si>
  <si>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</si>
  <si>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</si>
  <si>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</si>
  <si>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</si>
  <si>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</si>
  <si>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</si>
  <si>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</si>
  <si>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</si>
  <si>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</si>
  <si>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</si>
  <si>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</si>
  <si>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</si>
  <si>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</si>
  <si>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</si>
  <si>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</si>
  <si>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</si>
  <si>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</si>
  <si>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</si>
  <si>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</si>
  <si>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</si>
  <si>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</si>
  <si>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</si>
  <si>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</si>
  <si>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</si>
  <si>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</si>
  <si>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</si>
  <si>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</si>
  <si>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</si>
  <si>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</si>
  <si>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</si>
  <si>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</si>
  <si>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</si>
  <si>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</si>
  <si>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</si>
  <si>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</si>
  <si>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</si>
  <si>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</si>
  <si>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</si>
  <si>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</si>
  <si>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</si>
  <si>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NTN #: 8822959-7</t>
  </si>
  <si>
    <t>M &amp; M Traders</t>
  </si>
  <si>
    <t xml:space="preserve">Address: Manawan </t>
  </si>
  <si>
    <t>_CB TRADERS</t>
  </si>
  <si>
    <t>NTN #: 4987374-2</t>
  </si>
  <si>
    <t>Invoice No # :11462</t>
  </si>
  <si>
    <t>NTN #:9725069-2</t>
  </si>
  <si>
    <t>MS Traders</t>
  </si>
  <si>
    <t>Address: Askari 11</t>
  </si>
  <si>
    <t>Invoice No # :156154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</si>
</sst>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46280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MS Traders</v>
      </c>
      <c r="T3" s="301">
        <f>+'1'!P35</f>
        <v>7238.0279707627124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_CB TRADERS</v>
      </c>
      <c r="T4" s="301">
        <f>+'2'!P35</f>
        <v>30597.09562754237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 &amp; M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 &amp; M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1175.1600000000001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293.79000000000002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6925.05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42.557453389830506</v>
      </c>
      <c r="P7" s="310">
        <f>M7+N7+O7</f>
        <v>8554.0481313559321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 &amp; M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 &amp; M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 &amp; M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160</v>
      </c>
      <c r="I10" s="236">
        <f t="shared" si="0"/>
        <v>11622.4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1627.1360000000002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406.78400000000005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9588.48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2196.6101694915255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58.925450847457618</v>
      </c>
      <c r="P10" s="311">
        <f t="shared" si="2"/>
        <v>11844.015620338982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 &amp; M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1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 &amp; M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 &amp; M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 &amp; M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 &amp; M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 &amp; M Traders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15</v>
      </c>
      <c r="H16" s="113">
        <f t="shared" ref="H16:M16" si="3">SUM(H7:H15)</f>
        <v>600</v>
      </c>
      <c r="I16" s="114">
        <f t="shared" si="3"/>
        <v>37127.199999999997</v>
      </c>
      <c r="J16" s="274">
        <f>SUM(J7:J15)</f>
        <v>5197.808</v>
      </c>
      <c r="K16" s="275">
        <f t="shared" si="3"/>
        <v>1299.452</v>
      </c>
      <c r="L16" s="276">
        <f t="shared" si="3"/>
        <v>0</v>
      </c>
      <c r="M16" s="232">
        <f t="shared" si="3"/>
        <v>30629.940000000002</v>
      </c>
      <c r="N16" s="233">
        <f>SUM(N7:N15)</f>
        <v>7016.9491525423718</v>
      </c>
      <c r="O16" s="101">
        <f>SUM(O7:O15)</f>
        <v>188.23444576271183</v>
      </c>
      <c r="P16" s="113">
        <f>SUM(P7:P15)</f>
        <v>37835.123598305079</v>
      </c>
      <c r="Q16" s="128">
        <f>SUM(Q7:Q15)</f>
        <v>0</v>
      </c>
      <c r="R16" s="314">
        <v>14</v>
      </c>
      <c r="S16" s="300" t="str">
        <f>+'14'!A6:A6</f>
        <v>M &amp; M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 &amp; M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 &amp; M Traders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37127.199999999997</v>
      </c>
      <c r="R19" s="299">
        <v>17</v>
      </c>
      <c r="S19" s="300" t="str">
        <f>+'17'!A6:A6</f>
        <v>M &amp; M Traders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5197.808</v>
      </c>
      <c r="R20" s="299">
        <v>18</v>
      </c>
      <c r="S20" s="300" t="str">
        <f>+'18'!A6:A6</f>
        <v>M &amp; M Traders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1299.452</v>
      </c>
      <c r="R21" s="299">
        <v>19</v>
      </c>
      <c r="S21" s="300" t="str">
        <f>+'19'!A6:A6</f>
        <v>M &amp; M Traders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30629.939999999995</v>
      </c>
      <c r="R22" s="299">
        <v>20</v>
      </c>
      <c r="S22" s="300" t="str">
        <f>+'20'!A6:A6</f>
        <v>M &amp; M Traders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7016.9491525423718</v>
      </c>
      <c r="R23" s="299">
        <v>21</v>
      </c>
      <c r="S23" s="300" t="str">
        <f>+'21'!A6:A6</f>
        <v>M &amp; M Traders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37646.889152542368</v>
      </c>
      <c r="R24" s="299">
        <v>22</v>
      </c>
      <c r="S24" s="300" t="str">
        <f>+'22'!A6:A6</f>
        <v>M &amp; M Traders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188.23444576271183</v>
      </c>
      <c r="R25" s="299">
        <v>23</v>
      </c>
      <c r="S25" s="300" t="str">
        <f>+'23'!A6:A6</f>
        <v>M &amp; M Traders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37835.123598305079</v>
      </c>
      <c r="R26" s="299">
        <v>24</v>
      </c>
      <c r="S26" s="300" t="str">
        <f>+'24'!A6:A6</f>
        <v>M &amp; M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M &amp; M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 &amp; M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 &amp; M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 &amp; M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 &amp; M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 &amp; M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37835.123598305086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46280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46279</v>
      </c>
      <c r="O5" s="369"/>
      <c r="P5" s="369"/>
      <c r="R5" s="85"/>
      <c r="S5" s="266"/>
    </row>
    <row r="6" spans="1:22 16383:16384" ht="17.2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7102.6</v>
      </c>
      <c r="J25" s="274">
        <f>SUM(J16:J24)</f>
        <v>994.36400000000003</v>
      </c>
      <c r="K25" s="275">
        <f t="shared" si="10"/>
        <v>248.59100000000001</v>
      </c>
      <c r="L25" s="276">
        <f t="shared" si="10"/>
        <v>0</v>
      </c>
      <c r="M25" s="232">
        <f t="shared" si="10"/>
        <v>5859.6450000000004</v>
      </c>
      <c r="N25" s="233">
        <f>SUM(N16:N24)</f>
        <v>1342.3728813559319</v>
      </c>
      <c r="O25" s="101">
        <f>SUM(O16:O24)</f>
        <v>36.010089406779656</v>
      </c>
      <c r="P25" s="113">
        <f>SUM(P16:P24)</f>
        <v>7238.0279707627114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7102.6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994.36400000000003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248.59100000000001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5859.6450000000004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7202.0178813559323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36.010089406779663</v>
      </c>
    </row>
    <row r="35" spans="2:16" ht="15.75" customHeight="1" thickBot="1" x14ac:dyDescent="0.4">
      <c r="N35" s="344" t="s">
        <v>88</v>
      </c>
      <c r="O35" s="345"/>
      <c r="P35" s="297">
        <f>+P33+P34</f>
        <v>7238.0279707627124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310">
        <f>M16+N16+O16</f>
        <v>6415.5360985169482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0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311">
        <f t="shared" si="5"/>
        <v>8883.0117152542352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0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311">
        <f t="shared" si="5"/>
        <v>8883.0117152542352</v>
      </c>
      <c r="Q20" s="156"/>
      <c r="R20">
        <f>P20/21</f>
        <v>423.00055786924929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480</v>
      </c>
      <c r="I25" s="114">
        <f t="shared" si="7"/>
        <v>30024.6</v>
      </c>
      <c r="J25" s="274">
        <f>SUM(J16:J24)</f>
        <v>4203.4440000000004</v>
      </c>
      <c r="K25" s="275">
        <f t="shared" si="7"/>
        <v>1050.8610000000001</v>
      </c>
      <c r="L25" s="276">
        <f t="shared" si="7"/>
        <v>0</v>
      </c>
      <c r="M25" s="232">
        <f t="shared" si="7"/>
        <v>24770.294999999998</v>
      </c>
      <c r="N25" s="233">
        <f>SUM(N16:N24)</f>
        <v>5674.57627118644</v>
      </c>
      <c r="O25" s="101">
        <f>SUM(O16:O24)</f>
        <v>152.22435635593217</v>
      </c>
      <c r="P25" s="113">
        <f>SUM(P16:P24)</f>
        <v>30597.095627542367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30024.6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4203.4440000000004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1050.8610000000001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24770.294999999998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5674.57627118644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30444.871271186439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</v>
      </c>
    </row>
    <row r="35" spans="2:16" ht="15.75" customHeight="1" thickBot="1" x14ac:dyDescent="0.4">
      <c r="N35" s="344" t="s">
        <v>88</v>
      </c>
      <c r="O35" s="345"/>
      <c r="P35" s="297">
        <f>+P33+P34</f>
        <v>30597.09562754237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46281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46280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2026-09-15T04:18:13Z</dcterms:modified>
</cp:coreProperties>
</file>