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4E88325-72C7-4D87-8359-CFAC2E227CC0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8" i="48" l="1"/>
  <c r="M16" i="48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<sst xmlns="http://schemas.openxmlformats.org/spreadsheetml/2006/main" count="3948" uniqueCount="527">
  <si>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</si>
  <si>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</si>
  <si>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</si>
  <si>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</si>
  <si>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</si>
  <si>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</si>
  <si>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</si>
  <si>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</si>
  <si>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</si>
  <si>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</si>
  <si>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</si>
  <si>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</si>
  <si>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</si>
  <si>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</si>
  <si>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</si>
  <si>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</si>
  <si>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</si>
  <si>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</si>
  <si>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</si>
  <si>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</si>
  <si>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</si>
  <si>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</si>
  <si>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</si>
  <si>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</si>
  <si>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</si>
  <si>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</si>
  <si>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</si>
  <si>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</si>
  <si>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</si>
  <si>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</si>
  <si>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</si>
  <si>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</si>
  <si>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</si>
  <si>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</si>
  <si>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</si>
  <si>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</si>
  <si>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</si>
  <si>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</si>
  <si>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</si>
  <si>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</si>
  <si>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</si>
  <si>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</si>
  <si>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</si>
  <si>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</si>
  <si>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</si>
  <si>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</si>
  <si>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</si>
  <si>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</si>
  <si>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</si>
  <si>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</si>
  <si>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</si>
  <si>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</si>
  <si>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</si>
  <si>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</si>
  <si>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</si>
  <si>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</si>
  <si>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</si>
  <si>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</si>
  <si>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</si>
  <si>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</si>
  <si>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</si>
  <si>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</si>
  <si>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</si>
  <si>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</si>
  <si>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</si>
  <si>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</si>
  <si>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</si>
  <si>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</si>
  <si>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</si>
  <si>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</si>
  <si>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</si>
  <si>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</si>
  <si>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</si>
  <si>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</si>
  <si>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</si>
  <si>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</si>
  <si>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</si>
  <si>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</si>
  <si>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</si>
  <si>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</si>
  <si>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</si>
  <si>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</si>
  <si>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</si>
  <si>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</si>
  <si>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</si>
  <si>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</si>
  <si>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</si>
  <si>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</si>
  <si>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</si>
  <si>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</si>
  <si>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</si>
  <si>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</si>
  <si>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</si>
  <si>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</si>
  <si>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</si>
  <si>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</si>
  <si>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</si>
  <si>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</si>
  <si>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</si>
  <si>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</si>
  <si>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</si>
  <si>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</si>
  <si>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</si>
  <si>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</si>
  <si>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</si>
  <si>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</si>
  <si>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</si>
  <si>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</si>
  <si>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</si>
  <si>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</si>
  <si>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</si>
  <si>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</si>
  <si>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</si>
  <si>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</si>
  <si>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</si>
  <si>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</si>
  <si>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</si>
  <si>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</si>
  <si>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</si>
  <si>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</si>
  <si>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</si>
  <si>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</si>
  <si>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</si>
  <si>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</si>
  <si>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</si>
  <si>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</si>
  <si>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</si>
  <si>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</si>
  <si>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</si>
  <si>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</si>
  <si>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</si>
  <si>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</si>
  <si>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</si>
  <si>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</si>
  <si>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</si>
  <si>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</si>
  <si>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</si>
  <si>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</si>
  <si>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</si>
  <si>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</si>
  <si>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</si>
  <si>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</si>
  <si>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</si>
  <si>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</si>
  <si>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</si>
  <si>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</si>
  <si>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</si>
  <si>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</si>
  <si>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</si>
  <si>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</si>
  <si>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</si>
  <si>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</si>
  <si>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</si>
  <si>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</si>
  <si>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</si>
  <si>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</si>
  <si>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</si>
  <si>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</si>
  <si>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</si>
  <si>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</si>
  <si>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</si>
  <si>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</si>
  <si>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</si>
  <si>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</si>
  <si>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</si>
  <si>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</si>
  <si>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</si>
  <si>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</si>
  <si>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</si>
  <si>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</si>
  <si>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</si>
  <si>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</si>
  <si>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</si>
  <si>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</si>
  <si>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</si>
  <si>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</si>
  <si>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</si>
  <si>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</si>
  <si>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</si>
  <si>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</si>
  <si>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</si>
  <si>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</si>
  <si>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</si>
  <si>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</si>
  <si>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</si>
  <si>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</si>
  <si>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</si>
  <si>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</si>
  <si>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</si>
  <si>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</si>
  <si>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</si>
  <si>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</si>
  <si>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</si>
  <si>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</si>
  <si>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</si>
  <si>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</si>
  <si>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</si>
  <si>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</si>
  <si>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</si>
  <si>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</si>
  <si>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</si>
  <si>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</si>
  <si>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</si>
  <si>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</si>
  <si>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</si>
  <si>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</si>
  <si>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</si>
  <si>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</si>
  <si>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</si>
  <si>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</si>
  <si>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</si>
  <si>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</si>
  <si>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</si>
  <si>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</si>
  <si>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</si>
  <si>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</si>
  <si>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</si>
  <si>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</si>
  <si>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</si>
  <si>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</si>
  <si>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</si>
  <si>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</si>
  <si>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</si>
  <si>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</si>
  <si>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</si>
  <si>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</si>
  <si>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</si>
  <si>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</si>
  <si>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</si>
  <si>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</si>
  <si>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</si>
  <si>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</si>
  <si>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</si>
  <si>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</si>
  <si>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</si>
  <si>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</si>
  <si>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</si>
  <si>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</si>
  <si>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</si>
  <si>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</si>
  <si>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</si>
  <si>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</si>
  <si>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</si>
  <si>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</si>
  <si>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</si>
  <si>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</si>
  <si>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</si>
  <si>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</si>
  <si>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</si>
  <si>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</si>
  <si>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</si>
  <si>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</si>
  <si>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</si>
  <si>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</si>
  <si>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</si>
  <si>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</si>
  <si>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</si>
  <si>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</si>
  <si>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</si>
  <si>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</si>
  <si>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</si>
  <si>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</si>
  <si>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</si>
  <si>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</si>
  <si>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</si>
  <si>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</si>
  <si>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</si>
  <si>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</si>
  <si>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</si>
  <si>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</si>
  <si>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</si>
  <si>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</si>
  <si>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</si>
  <si>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</si>
  <si>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</si>
  <si>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</si>
  <si>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</si>
  <si>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</si>
  <si>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</si>
  <si>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</si>
  <si>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</si>
  <si>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</si>
  <si>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</si>
  <si>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</si>
  <si>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</si>
  <si>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</si>
  <si>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</si>
  <si>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</si>
  <si>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</si>
  <si>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</si>
  <si>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</si>
  <si>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</si>
  <si>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</si>
  <si>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</si>
  <si>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</si>
  <si>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</si>
  <si>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</si>
  <si>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</si>
  <si>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</si>
  <si>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</si>
  <si>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</si>
  <si>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</si>
  <si>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</si>
  <si>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</si>
  <si>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</si>
  <si>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</si>
  <si>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</si>
  <si>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</si>
  <si>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</si>
  <si>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</si>
  <si>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</si>
  <si>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</si>
  <si>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</si>
  <si>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</si>
  <si>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</si>
  <si>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</si>
  <si>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</si>
  <si>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</si>
  <si>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</si>
  <si>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</si>
  <si>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</si>
  <si>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</si>
  <si>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</si>
  <si>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</si>
  <si>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</si>
  <si>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</si>
  <si>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</si>
  <si>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</si>
  <si>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</si>
  <si>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</si>
  <si>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</si>
  <si>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</si>
  <si>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</si>
  <si>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</si>
  <si>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</si>
  <si>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</si>
  <si>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</si>
  <si>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</si>
  <si>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</si>
  <si>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</si>
  <si>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</si>
  <si>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</si>
  <si>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</si>
  <si>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</si>
  <si>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</si>
  <si>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</si>
  <si>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</si>
  <si>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</si>
  <si>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</si>
  <si>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</si>
  <si>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</si>
  <si>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</si>
  <si>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</si>
  <si>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</si>
  <si>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</si>
  <si>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</si>
  <si>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</si>
  <si>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</si>
  <si>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</si>
  <si>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</si>
  <si>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</si>
  <si>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</si>
  <si>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</si>
  <si>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</si>
  <si>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</si>
  <si>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</si>
  <si>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</si>
  <si>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</si>
  <si>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</si>
  <si>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</si>
  <si>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</si>
  <si>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</si>
  <si>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</si>
  <si>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</si>
  <si>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</si>
  <si>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</si>
  <si>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</si>
  <si>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</si>
  <si>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</si>
  <si>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</si>
  <si>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</si>
  <si>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</si>
  <si>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</si>
  <si>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</si>
  <si>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</si>
  <si>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</si>
  <si>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</si>
  <si>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</si>
  <si>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</si>
  <si>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</si>
  <si>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</si>
  <si>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</si>
  <si>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</si>
  <si>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</si>
  <si>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</si>
  <si>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</si>
  <si>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</si>
  <si>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</si>
  <si>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</si>
  <si>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</si>
  <si>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</si>
  <si>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</si>
  <si>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</si>
  <si>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</si>
  <si>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</si>
  <si>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</si>
  <si>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</si>
  <si>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</si>
  <si>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</si>
  <si>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</si>
  <si>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</si>
  <si>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</si>
  <si>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</si>
  <si>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</si>
  <si>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</si>
  <si>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</si>
  <si>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</si>
  <si>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</si>
  <si>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</si>
  <si>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</si>
  <si>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</si>
  <si>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</si>
  <si>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</si>
  <si>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</si>
  <si>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</si>
  <si>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</si>
  <si>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</si>
  <si>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</si>
  <si>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</si>
  <si>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</si>
  <si>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</si>
  <si>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</si>
  <si>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</si>
  <si>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</si>
  <si>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</si>
  <si>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</si>
  <si>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</si>
  <si>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</si>
  <si>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</si>
  <si>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</si>
  <si>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</si>
  <si>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</si>
  <si>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</si>
  <si>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</si>
  <si>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</si>
  <si>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</si>
  <si>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</si>
  <si>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</si>
  <si>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</si>
  <si>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</si>
  <si>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</si>
  <si>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</si>
  <si>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</si>
  <si>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</si>
  <si>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</si>
  <si>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</si>
  <si>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</si>
  <si>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</si>
  <si>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</si>
  <si>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</si>
  <si>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</si>
  <si>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</si>
  <si>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</si>
  <si>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</si>
  <si>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</si>
  <si>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</si>
  <si>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</si>
  <si>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</si>
  <si>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</si>
  <si>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</si>
  <si>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</si>
  <si>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</si>
  <si>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</si>
  <si>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</si>
  <si>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</si>
  <si>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</si>
  <si>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</si>
  <si>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</si>
  <si>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</si>
  <si>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</si>
  <si>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</si>
  <si>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</si>
  <si>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</si>
  <si>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</si>
  <si>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</si>
  <si>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</si>
  <si>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</si>
  <si>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</si>
  <si>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</si>
  <si>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</si>
  <si>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</si>
  <si>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</si>
  <si>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</si>
  <si>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</si>
  <si>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</si>
  <si>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</si>
  <si>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</si>
  <si>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</si>
  <si>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</si>
  <si>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</si>
  <si>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</si>
  <si>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</si>
  <si>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</si>
  <si>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</si>
  <si>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</si>
  <si>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</si>
  <si>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</si>
  <si>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</si>
  <si>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</si>
  <si>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</si>
  <si>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</si>
  <si>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</si>
  <si>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</si>
  <si>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Umair</t>
  </si>
  <si>
    <t xml:space="preserve">Bajwa Mart </t>
  </si>
  <si>
    <t xml:space="preserve">Address: Behria Nashomin </t>
  </si>
  <si>
    <t xml:space="preserve">Nashomin Mart </t>
  </si>
  <si>
    <t xml:space="preserve">Bajwa Center </t>
  </si>
  <si>
    <t xml:space="preserve">Sheen Mart </t>
  </si>
  <si>
    <t xml:space="preserve">Address: Central Park </t>
  </si>
  <si>
    <t>Bentle Mart &amp; Pharmacy</t>
  </si>
  <si>
    <t>Safa Cash &amp; Carry</t>
  </si>
  <si>
    <t xml:space="preserve">Altaf Cash &amp; Carry </t>
  </si>
  <si>
    <t xml:space="preserve">Sufyan Mart </t>
  </si>
  <si>
    <t>Address: central Park Gate No 3</t>
  </si>
  <si>
    <t xml:space="preserve">Bibi Fatima </t>
  </si>
  <si>
    <t>Address: Central Park Street no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</si>
</sst>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7" workbookViewId="0">
      <selection activeCell="D34" sqref="D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46279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Bajwa Mart </v>
      </c>
      <c r="T3" s="301">
        <f>+'1'!P35</f>
        <v>2873.1353813008473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Nashomin Mart </v>
      </c>
      <c r="T4" s="301">
        <f>+'2'!P35</f>
        <v>1669.1779134915255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Bajwa Center </v>
      </c>
      <c r="T5" s="301">
        <f>+'3'!P35</f>
        <v>4805.3894985762718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Sheen Mart </v>
      </c>
      <c r="T6" s="301">
        <f>+'4'!P35</f>
        <v>19340.001088855934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132</v>
      </c>
      <c r="I7" s="235">
        <f>(G7*D7)*F7+H7*F7</f>
        <v>6925.05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554.00400000000002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242.37675000000002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6128.6692499999999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1308.8135593220334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37.187414046610172</v>
      </c>
      <c r="P7" s="310">
        <f>M7+N7+O7</f>
        <v>7474.6702233686428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Bentle Mart &amp; Pharmacy</v>
      </c>
      <c r="T7" s="301">
        <f>+'5'!P35</f>
        <v>4805.3894985762718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132</v>
      </c>
      <c r="I8" s="236">
        <f t="shared" ref="I8:I14" si="0">(G8*D8)*F8+H8*F8</f>
        <v>6925.05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554.00400000000002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242.37675000000002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6128.6692499999999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1308.8135593220334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37.187414046610172</v>
      </c>
      <c r="P8" s="311">
        <f t="shared" ref="P8:P15" si="2">M8+N8+O8</f>
        <v>7474.6702233686428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Safa Cash &amp; Carry</v>
      </c>
      <c r="T8" s="301">
        <f>+'6'!P35</f>
        <v>1669.1779134915255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172</v>
      </c>
      <c r="I9" s="236">
        <f t="shared" si="0"/>
        <v>9023.5499999999993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721.88400000000001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315.82425000000001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7985.8417499999996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1705.4237288135587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48.456327394067799</v>
      </c>
      <c r="P9" s="311">
        <f t="shared" si="2"/>
        <v>9739.7218062076263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Altaf Cash &amp; Carry </v>
      </c>
      <c r="T9" s="301">
        <f>+'7'!P35</f>
        <v>21605.052671694917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148</v>
      </c>
      <c r="I10" s="236">
        <f t="shared" si="0"/>
        <v>10750.72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860.05759999999998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376.27520000000004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9514.3871999999992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2031.8644067796613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57.731258033898314</v>
      </c>
      <c r="P10" s="311">
        <f t="shared" si="2"/>
        <v>11603.982864813559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Sufyan Mart </v>
      </c>
      <c r="T10" s="301">
        <f>+'8'!P35</f>
        <v>1669.1779134915255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146</v>
      </c>
      <c r="I11" s="236">
        <f t="shared" si="0"/>
        <v>10605.44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848.43520000000001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371.19040000000007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9385.8144000000011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2004.406779661017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56.951105898305087</v>
      </c>
      <c r="P11" s="311">
        <f t="shared" si="2"/>
        <v>11447.172285559322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Bibi Fatima </v>
      </c>
      <c r="T11" s="301">
        <f>+'9'!P35</f>
        <v>19542.14533075424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226</v>
      </c>
      <c r="I12" s="236">
        <f t="shared" si="0"/>
        <v>16416.64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1313.3312000000001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574.58240000000012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14528.7264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3102.7118644067796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88.157191322033896</v>
      </c>
      <c r="P12" s="311">
        <f t="shared" si="2"/>
        <v>17719.595455728813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300</v>
      </c>
      <c r="I13" s="236">
        <f t="shared" si="0"/>
        <v>11769.000000000002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588.45000000000016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411.91500000000008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600.21900000000005</v>
      </c>
      <c r="M13" s="230">
        <f t="shared" si="1"/>
        <v>10168.416000000001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2288.1355932203378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62.282757966101698</v>
      </c>
      <c r="P13" s="311">
        <f t="shared" si="2"/>
        <v>12518.83435118644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31.4</v>
      </c>
      <c r="H16" s="113">
        <f t="shared" ref="H16:M16" si="3">SUM(H7:H15)</f>
        <v>1256</v>
      </c>
      <c r="I16" s="114">
        <f t="shared" si="3"/>
        <v>72415.450000000012</v>
      </c>
      <c r="J16" s="274">
        <f>SUM(J7:J15)</f>
        <v>5440.1660000000002</v>
      </c>
      <c r="K16" s="275">
        <f t="shared" si="3"/>
        <v>2534.5407500000001</v>
      </c>
      <c r="L16" s="276">
        <f t="shared" si="3"/>
        <v>600.21900000000005</v>
      </c>
      <c r="M16" s="232">
        <f t="shared" si="3"/>
        <v>63840.524250000002</v>
      </c>
      <c r="N16" s="233">
        <f>SUM(N7:N15)</f>
        <v>13750.169491525423</v>
      </c>
      <c r="O16" s="101">
        <f>SUM(O7:O15)</f>
        <v>387.95346870762717</v>
      </c>
      <c r="P16" s="113">
        <f>SUM(P7:P15)</f>
        <v>77978.647210233044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72415.450000000012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5440.1660000000002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3134.7597500000002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63840.524250000017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13750.169491525423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77590.693741525436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387.95346870762717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77978.647210233059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77978.647210233059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ref="I18:I21" si="7">(G18*D18)*F18+H18*F18</f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119">
        <f t="shared" si="5"/>
        <v>834.58895674576274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56</v>
      </c>
      <c r="I25" s="114">
        <f t="shared" ref="I25:M25" si="10">SUM(I16:I24)</f>
        <v>2673.25</v>
      </c>
      <c r="J25" s="274">
        <f>SUM(J16:J24)</f>
        <v>190.322</v>
      </c>
      <c r="K25" s="275">
        <f t="shared" si="10"/>
        <v>93.563749999999999</v>
      </c>
      <c r="L25" s="276">
        <f t="shared" si="10"/>
        <v>40.014600000000002</v>
      </c>
      <c r="M25" s="232">
        <f t="shared" si="10"/>
        <v>2349.3496500000001</v>
      </c>
      <c r="N25" s="233">
        <f>SUM(N16:N24)</f>
        <v>509.4915254237286</v>
      </c>
      <c r="O25" s="101">
        <f>SUM(O16:O24)</f>
        <v>14.294205877118642</v>
      </c>
      <c r="P25" s="234">
        <f>SUM(P16:P24)</f>
        <v>2873.1353813008473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2673.25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190.322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133.57835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2349.3496500000001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509.4915254237286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2858.8411754237286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14.294205877118642</v>
      </c>
    </row>
    <row r="35" spans="2:16" ht="15.75" customHeight="1" thickBot="1" x14ac:dyDescent="0.4">
      <c r="N35" s="374" t="s">
        <v>88</v>
      </c>
      <c r="O35" s="375"/>
      <c r="P35" s="297">
        <f>+P33+P34</f>
        <v>2873.1353813008473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1569.2000000000003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78.460000000000022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134.95120000000003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1355.7888000000003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1660.873545762712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4" t="s">
        <v>88</v>
      </c>
      <c r="O35" s="375"/>
      <c r="P35" s="297">
        <f>+P33+P34</f>
        <v>1669.1779134915255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14</v>
      </c>
      <c r="I19" s="236">
        <f t="shared" si="0"/>
        <v>1016.96</v>
      </c>
      <c r="J19" s="272">
        <f t="shared" si="1"/>
        <v>81.356800000000007</v>
      </c>
      <c r="K19" s="128">
        <f t="shared" si="1"/>
        <v>35.593600000000002</v>
      </c>
      <c r="L19" s="119">
        <f t="shared" si="1"/>
        <v>0</v>
      </c>
      <c r="M19" s="230">
        <f t="shared" si="2"/>
        <v>900.00960000000009</v>
      </c>
      <c r="N19" s="277">
        <f t="shared" si="3"/>
        <v>192.20338983050848</v>
      </c>
      <c r="O19" s="239">
        <f t="shared" si="4"/>
        <v>5.4610649491525427</v>
      </c>
      <c r="P19" s="119">
        <f t="shared" si="5"/>
        <v>1097.6740547796612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R20">
        <f>P20/21</f>
        <v>48.536607864406783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13</v>
      </c>
      <c r="I21" s="236">
        <f t="shared" si="0"/>
        <v>944.32</v>
      </c>
      <c r="J21" s="272">
        <f t="shared" si="1"/>
        <v>75.545600000000007</v>
      </c>
      <c r="K21" s="128">
        <f t="shared" si="1"/>
        <v>33.051200000000001</v>
      </c>
      <c r="L21" s="119">
        <f t="shared" si="1"/>
        <v>0</v>
      </c>
      <c r="M21" s="230">
        <f t="shared" si="2"/>
        <v>835.72320000000002</v>
      </c>
      <c r="N21" s="277">
        <f t="shared" si="3"/>
        <v>178.47457627118644</v>
      </c>
      <c r="O21" s="239">
        <f t="shared" si="4"/>
        <v>5.070988881355933</v>
      </c>
      <c r="P21" s="119">
        <f t="shared" si="5"/>
        <v>1019.2687651525424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4474.8000000000011</v>
      </c>
      <c r="J25" s="274">
        <f>SUM(J16:J24)</f>
        <v>310.90800000000002</v>
      </c>
      <c r="K25" s="275">
        <f t="shared" si="7"/>
        <v>156.61799999999999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854.23728813559296</v>
      </c>
      <c r="O25" s="101">
        <f>SUM(O16:O24)</f>
        <v>23.907410440677968</v>
      </c>
      <c r="P25" s="234">
        <f>SUM(P16:P24)</f>
        <v>4805.3894985762718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4474.8000000000011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310.90800000000002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236.6472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3927.2448000000009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854.23728813559296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4781.4820881355936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23.907410440677968</v>
      </c>
    </row>
    <row r="35" spans="2:16" ht="15.75" customHeight="1" thickBot="1" x14ac:dyDescent="0.4">
      <c r="N35" s="374" t="s">
        <v>88</v>
      </c>
      <c r="O35" s="375"/>
      <c r="P35" s="297">
        <f>+P33+P34</f>
        <v>4805.3894985762718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519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280</v>
      </c>
      <c r="I25" s="114">
        <f t="shared" si="7"/>
        <v>17917.900000000001</v>
      </c>
      <c r="J25" s="274">
        <f>SUM(J16:J24)</f>
        <v>1433.432</v>
      </c>
      <c r="K25" s="275">
        <f t="shared" si="7"/>
        <v>627.12650000000008</v>
      </c>
      <c r="L25" s="276">
        <f t="shared" si="7"/>
        <v>0</v>
      </c>
      <c r="M25" s="232">
        <f t="shared" si="7"/>
        <v>15857.3415</v>
      </c>
      <c r="N25" s="233">
        <f>SUM(N16:N24)</f>
        <v>3386.4406779661012</v>
      </c>
      <c r="O25" s="101">
        <f>SUM(O16:O24)</f>
        <v>96.218910889830511</v>
      </c>
      <c r="P25" s="234">
        <f>SUM(P16:P24)</f>
        <v>19340.001088855934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17917.900000000001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1433.432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627.12650000000008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15857.3415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3386.4406779661012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19243.782177966103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96.218910889830511</v>
      </c>
    </row>
    <row r="35" spans="2:16" ht="15.75" customHeight="1" thickBot="1" x14ac:dyDescent="0.4">
      <c r="N35" s="374" t="s">
        <v>88</v>
      </c>
      <c r="O35" s="375"/>
      <c r="P35" s="297">
        <f>+P33+P34</f>
        <v>19340.001088855934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519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14</v>
      </c>
      <c r="I19" s="236">
        <f t="shared" si="0"/>
        <v>1016.96</v>
      </c>
      <c r="J19" s="272">
        <f t="shared" si="1"/>
        <v>81.356800000000007</v>
      </c>
      <c r="K19" s="128">
        <f t="shared" si="1"/>
        <v>35.593600000000002</v>
      </c>
      <c r="L19" s="119">
        <f t="shared" si="1"/>
        <v>0</v>
      </c>
      <c r="M19" s="230">
        <f t="shared" si="2"/>
        <v>900.00960000000009</v>
      </c>
      <c r="N19" s="277">
        <f t="shared" si="3"/>
        <v>192.20338983050848</v>
      </c>
      <c r="O19" s="239">
        <f t="shared" si="4"/>
        <v>5.4610649491525427</v>
      </c>
      <c r="P19" s="119">
        <f t="shared" si="5"/>
        <v>1097.6740547796612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13</v>
      </c>
      <c r="I21" s="236">
        <f t="shared" si="0"/>
        <v>944.32</v>
      </c>
      <c r="J21" s="272">
        <f t="shared" si="1"/>
        <v>75.545600000000007</v>
      </c>
      <c r="K21" s="128">
        <f t="shared" si="1"/>
        <v>33.051200000000001</v>
      </c>
      <c r="L21" s="119">
        <f t="shared" si="1"/>
        <v>0</v>
      </c>
      <c r="M21" s="230">
        <f t="shared" si="2"/>
        <v>835.72320000000002</v>
      </c>
      <c r="N21" s="277">
        <f t="shared" si="3"/>
        <v>178.47457627118644</v>
      </c>
      <c r="O21" s="239">
        <f t="shared" si="4"/>
        <v>5.070988881355933</v>
      </c>
      <c r="P21" s="119">
        <f t="shared" si="5"/>
        <v>1019.2687651525424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4474.8000000000011</v>
      </c>
      <c r="J25" s="274">
        <f>SUM(J16:J24)</f>
        <v>310.90800000000002</v>
      </c>
      <c r="K25" s="275">
        <f t="shared" si="7"/>
        <v>156.61799999999999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854.23728813559296</v>
      </c>
      <c r="O25" s="101">
        <f>SUM(O16:O24)</f>
        <v>23.907410440677968</v>
      </c>
      <c r="P25" s="234">
        <f>SUM(P16:P24)</f>
        <v>4805.3894985762718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4474.8000000000011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310.90800000000002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236.6472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3927.2448000000009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854.23728813559296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4781.4820881355936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23.907410440677968</v>
      </c>
    </row>
    <row r="35" spans="2:16" ht="15.75" customHeight="1" thickBot="1" x14ac:dyDescent="0.4">
      <c r="N35" s="374" t="s">
        <v>88</v>
      </c>
      <c r="O35" s="375"/>
      <c r="P35" s="297">
        <f>+P33+P34</f>
        <v>4805.3894985762718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1569.2000000000003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78.460000000000022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134.95120000000003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1355.7888000000003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1660.873545762712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4" t="s">
        <v>88</v>
      </c>
      <c r="O35" s="375"/>
      <c r="P35" s="297">
        <f>+P33+P34</f>
        <v>1669.1779134915255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335.76</v>
      </c>
      <c r="K18" s="128">
        <f t="shared" si="1"/>
        <v>146.89500000000001</v>
      </c>
      <c r="L18" s="119">
        <f t="shared" si="1"/>
        <v>0</v>
      </c>
      <c r="M18" s="230">
        <f t="shared" si="2"/>
        <v>3714.3450000000003</v>
      </c>
      <c r="N18" s="277">
        <f t="shared" si="3"/>
        <v>793.22033898305051</v>
      </c>
      <c r="O18" s="239">
        <f t="shared" si="4"/>
        <v>22.537826694915253</v>
      </c>
      <c r="P18" s="119">
        <f t="shared" si="5"/>
        <v>4530.103165677966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320</v>
      </c>
      <c r="I25" s="114">
        <f t="shared" si="7"/>
        <v>20016.400000000001</v>
      </c>
      <c r="J25" s="274">
        <f>SUM(J16:J24)</f>
        <v>1601.3119999999999</v>
      </c>
      <c r="K25" s="275">
        <f t="shared" si="7"/>
        <v>700.57400000000007</v>
      </c>
      <c r="L25" s="276">
        <f t="shared" si="7"/>
        <v>0</v>
      </c>
      <c r="M25" s="232">
        <f t="shared" si="7"/>
        <v>17714.514000000003</v>
      </c>
      <c r="N25" s="233">
        <f>SUM(N16:N24)</f>
        <v>3783.0508474576263</v>
      </c>
      <c r="O25" s="101">
        <f>SUM(O16:O24)</f>
        <v>107.48782423728812</v>
      </c>
      <c r="P25" s="234">
        <f>SUM(P16:P24)</f>
        <v>21605.052671694917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20016.400000000001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1601.3119999999999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700.57400000000007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17714.514000000003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3783.0508474576263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21497.56484745763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107.48782423728815</v>
      </c>
    </row>
    <row r="35" spans="2:16" ht="15.75" customHeight="1" thickBot="1" x14ac:dyDescent="0.4">
      <c r="N35" s="374" t="s">
        <v>88</v>
      </c>
      <c r="O35" s="375"/>
      <c r="P35" s="297">
        <f>+P33+P34</f>
        <v>21605.052671694917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1569.2000000000003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78.460000000000022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134.95120000000003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1355.7888000000003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1660.873545762712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4" t="s">
        <v>88</v>
      </c>
      <c r="O35" s="375"/>
      <c r="P35" s="297">
        <f>+P33+P34</f>
        <v>1669.1779134915255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119">
        <f t="shared" si="5"/>
        <v>3338.355826983051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320</v>
      </c>
      <c r="I25" s="114">
        <f t="shared" si="7"/>
        <v>18150.7</v>
      </c>
      <c r="J25" s="274">
        <f>SUM(J16:J24)</f>
        <v>1357.904</v>
      </c>
      <c r="K25" s="275">
        <f t="shared" si="7"/>
        <v>635.2745000000001</v>
      </c>
      <c r="L25" s="276">
        <f t="shared" si="7"/>
        <v>160.05840000000001</v>
      </c>
      <c r="M25" s="232">
        <f t="shared" si="7"/>
        <v>15997.463100000001</v>
      </c>
      <c r="N25" s="233">
        <f>SUM(N16:N24)</f>
        <v>3447.4576271186429</v>
      </c>
      <c r="O25" s="101">
        <f>SUM(O16:O24)</f>
        <v>97.224603635593212</v>
      </c>
      <c r="P25" s="234">
        <f>SUM(P16:P24)</f>
        <v>19542.145330754236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18150.7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1357.904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795.33290000000011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15997.463100000003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3447.4576271186429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19444.920727118646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97.224603635593226</v>
      </c>
    </row>
    <row r="35" spans="2:16" ht="15.75" customHeight="1" thickBot="1" x14ac:dyDescent="0.4">
      <c r="N35" s="374" t="s">
        <v>88</v>
      </c>
      <c r="O35" s="375"/>
      <c r="P35" s="297">
        <f>+P33+P34</f>
        <v>19542.14533075424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46280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46279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2026-09-14T04:40:40Z</dcterms:modified>
</cp:coreProperties>
</file>