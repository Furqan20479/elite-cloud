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31A6751-ED9C-4026-89C0-1E6CB9FFAA4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<sst xmlns="http://schemas.openxmlformats.org/spreadsheetml/2006/main" count="3948" uniqueCount="527">
  <si>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</si>
  <si>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</si>
  <si>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</si>
  <si>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</si>
  <si>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</si>
  <si>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</si>
  <si>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</si>
  <si>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</si>
  <si>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</si>
  <si>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</si>
  <si>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</si>
  <si>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</si>
  <si>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</si>
  <si>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</si>
  <si>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</si>
  <si>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</si>
  <si>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</si>
  <si>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</si>
  <si>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</si>
  <si>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</si>
  <si>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</si>
  <si>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</si>
  <si>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</si>
  <si>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</si>
  <si>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</si>
  <si>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</si>
  <si>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</si>
  <si>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</si>
  <si>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</si>
  <si>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</si>
  <si>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</si>
  <si>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</si>
  <si>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</si>
  <si>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</si>
  <si>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</si>
  <si>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</si>
  <si>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</si>
  <si>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</si>
  <si>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</si>
  <si>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</si>
  <si>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</si>
  <si>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</si>
  <si>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</si>
  <si>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</si>
  <si>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</si>
  <si>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</si>
  <si>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</si>
  <si>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</si>
  <si>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</si>
  <si>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</si>
  <si>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</si>
  <si>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</si>
  <si>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</si>
  <si>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</si>
  <si>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</si>
  <si>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</si>
  <si>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</si>
  <si>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</si>
  <si>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</si>
  <si>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</si>
  <si>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</si>
  <si>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</si>
  <si>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</si>
  <si>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</si>
  <si>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</si>
  <si>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</si>
  <si>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</si>
  <si>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</si>
  <si>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</si>
  <si>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</si>
  <si>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</si>
  <si>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</si>
  <si>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</si>
  <si>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</si>
  <si>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</si>
  <si>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</si>
  <si>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</si>
  <si>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</si>
  <si>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</si>
  <si>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</si>
  <si>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</si>
  <si>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</si>
  <si>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</si>
  <si>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</si>
  <si>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</si>
  <si>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</si>
  <si>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</si>
  <si>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</si>
  <si>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</si>
  <si>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</si>
  <si>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</si>
  <si>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</si>
  <si>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</si>
  <si>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</si>
  <si>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</si>
  <si>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</si>
  <si>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</si>
  <si>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</si>
  <si>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</si>
  <si>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</si>
  <si>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</si>
  <si>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</si>
  <si>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</si>
  <si>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</si>
  <si>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</si>
  <si>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</si>
  <si>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</si>
  <si>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</si>
  <si>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</si>
  <si>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</si>
  <si>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</si>
  <si>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</si>
  <si>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</si>
  <si>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</si>
  <si>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</si>
  <si>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</si>
  <si>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</si>
  <si>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</si>
  <si>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</si>
  <si>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</si>
  <si>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</si>
  <si>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</si>
  <si>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</si>
  <si>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</si>
  <si>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</si>
  <si>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</si>
  <si>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</si>
  <si>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</si>
  <si>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</si>
  <si>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</si>
  <si>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</si>
  <si>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</si>
  <si>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</si>
  <si>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</si>
  <si>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</si>
  <si>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</si>
  <si>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</si>
  <si>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</si>
  <si>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</si>
  <si>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</si>
  <si>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</si>
  <si>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</si>
  <si>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</si>
  <si>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</si>
  <si>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</si>
  <si>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</si>
  <si>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</si>
  <si>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</si>
  <si>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</si>
  <si>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</si>
  <si>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</si>
  <si>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</si>
  <si>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</si>
  <si>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</si>
  <si>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</si>
  <si>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</si>
  <si>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</si>
  <si>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</si>
  <si>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</si>
  <si>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</si>
  <si>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</si>
  <si>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</si>
  <si>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</si>
  <si>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</si>
  <si>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</si>
  <si>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</si>
  <si>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</si>
  <si>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</si>
  <si>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</si>
  <si>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</si>
  <si>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</si>
  <si>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</si>
  <si>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</si>
  <si>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</si>
  <si>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</si>
  <si>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</si>
  <si>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</si>
  <si>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</si>
  <si>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</si>
  <si>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</si>
  <si>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</si>
  <si>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</si>
  <si>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</si>
  <si>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</si>
  <si>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</si>
  <si>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</si>
  <si>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</si>
  <si>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</si>
  <si>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</si>
  <si>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</si>
  <si>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</si>
  <si>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</si>
  <si>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</si>
  <si>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</si>
  <si>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</si>
  <si>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</si>
  <si>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</si>
  <si>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</si>
  <si>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</si>
  <si>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</si>
  <si>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</si>
  <si>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</si>
  <si>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</si>
  <si>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</si>
  <si>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</si>
  <si>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</si>
  <si>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</si>
  <si>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</si>
  <si>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</si>
  <si>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</si>
  <si>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</si>
  <si>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</si>
  <si>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</si>
  <si>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</si>
  <si>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</si>
  <si>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</si>
  <si>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</si>
  <si>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</si>
  <si>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</si>
  <si>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</si>
  <si>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</si>
  <si>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</si>
  <si>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</si>
  <si>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</si>
  <si>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</si>
  <si>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</si>
  <si>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</si>
  <si>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</si>
  <si>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</si>
  <si>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</si>
  <si>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</si>
  <si>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</si>
  <si>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</si>
  <si>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</si>
  <si>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</si>
  <si>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</si>
  <si>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</si>
  <si>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</si>
  <si>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</si>
  <si>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</si>
  <si>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</si>
  <si>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</si>
  <si>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</si>
  <si>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</si>
  <si>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</si>
  <si>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</si>
  <si>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</si>
  <si>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</si>
  <si>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</si>
  <si>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</si>
  <si>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</si>
  <si>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</si>
  <si>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</si>
  <si>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</si>
  <si>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</si>
  <si>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</si>
  <si>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</si>
  <si>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</si>
  <si>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</si>
  <si>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</si>
  <si>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</si>
  <si>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</si>
  <si>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</si>
  <si>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</si>
  <si>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</si>
  <si>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</si>
  <si>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</si>
  <si>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</si>
  <si>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</si>
  <si>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</si>
  <si>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</si>
  <si>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</si>
  <si>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</si>
  <si>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</si>
  <si>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</si>
  <si>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</si>
  <si>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</si>
  <si>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</si>
  <si>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</si>
  <si>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</si>
  <si>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</si>
  <si>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</si>
  <si>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</si>
  <si>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</si>
  <si>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</si>
  <si>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</si>
  <si>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</si>
  <si>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</si>
  <si>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</si>
  <si>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</si>
  <si>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</si>
  <si>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</si>
  <si>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</si>
  <si>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</si>
  <si>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</si>
  <si>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</si>
  <si>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</si>
  <si>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</si>
  <si>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</si>
  <si>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</si>
  <si>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</si>
  <si>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</si>
  <si>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</si>
  <si>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</si>
  <si>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</si>
  <si>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</si>
  <si>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</si>
  <si>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</si>
  <si>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</si>
  <si>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</si>
  <si>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</si>
  <si>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</si>
  <si>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</si>
  <si>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</si>
  <si>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</si>
  <si>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</si>
  <si>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</si>
  <si>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</si>
  <si>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</si>
  <si>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</si>
  <si>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</si>
  <si>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</si>
  <si>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</si>
  <si>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</si>
  <si>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</si>
  <si>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</si>
  <si>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</si>
  <si>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</si>
  <si>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</si>
  <si>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</si>
  <si>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</si>
  <si>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</si>
  <si>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</si>
  <si>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</si>
  <si>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</si>
  <si>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</si>
  <si>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</si>
  <si>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</si>
  <si>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</si>
  <si>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</si>
  <si>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</si>
  <si>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</si>
  <si>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</si>
  <si>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</si>
  <si>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</si>
  <si>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</si>
  <si>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</si>
  <si>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</si>
  <si>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</si>
  <si>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</si>
  <si>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</si>
  <si>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</si>
  <si>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</si>
  <si>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</si>
  <si>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</si>
  <si>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</si>
  <si>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</si>
  <si>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</si>
  <si>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</si>
  <si>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</si>
  <si>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</si>
  <si>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</si>
  <si>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</si>
  <si>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</si>
  <si>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</si>
  <si>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</si>
  <si>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</si>
  <si>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</si>
  <si>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</si>
  <si>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</si>
  <si>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</si>
  <si>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</si>
  <si>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</si>
  <si>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</si>
  <si>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</si>
  <si>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</si>
  <si>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</si>
  <si>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</si>
  <si>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</si>
  <si>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</si>
  <si>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</si>
  <si>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</si>
  <si>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</si>
  <si>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</si>
  <si>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</si>
  <si>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</si>
  <si>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</si>
  <si>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</si>
  <si>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</si>
  <si>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</si>
  <si>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</si>
  <si>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</si>
  <si>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</si>
  <si>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</si>
  <si>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</si>
  <si>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</si>
  <si>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</si>
  <si>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</si>
  <si>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</si>
  <si>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</si>
  <si>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</si>
  <si>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</si>
  <si>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</si>
  <si>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</si>
  <si>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</si>
  <si>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</si>
  <si>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</si>
  <si>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</si>
  <si>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</si>
  <si>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</si>
  <si>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</si>
  <si>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</si>
  <si>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</si>
  <si>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</si>
  <si>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</si>
  <si>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</si>
  <si>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</si>
  <si>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</si>
  <si>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</si>
  <si>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</si>
  <si>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</si>
  <si>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</si>
  <si>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</si>
  <si>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</si>
  <si>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</si>
  <si>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</si>
  <si>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</si>
  <si>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</si>
  <si>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</si>
  <si>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</si>
  <si>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</si>
  <si>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</si>
  <si>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</si>
  <si>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</si>
  <si>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</si>
  <si>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</si>
  <si>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</si>
  <si>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</si>
  <si>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</si>
  <si>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</si>
  <si>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</si>
  <si>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</si>
  <si>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</si>
  <si>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</si>
  <si>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</si>
  <si>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</si>
  <si>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</si>
  <si>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</si>
  <si>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</si>
  <si>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</si>
  <si>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</si>
  <si>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</si>
  <si>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</si>
  <si>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</si>
  <si>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</si>
  <si>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</si>
  <si>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</si>
  <si>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</si>
  <si>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</si>
  <si>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</si>
  <si>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</si>
  <si>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</si>
  <si>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</si>
  <si>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</si>
  <si>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</si>
  <si>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</si>
  <si>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</si>
  <si>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</si>
  <si>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</si>
  <si>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</si>
  <si>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</si>
  <si>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</si>
  <si>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</si>
  <si>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</si>
  <si>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</si>
  <si>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</si>
  <si>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</si>
  <si>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</si>
  <si>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</si>
  <si>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</si>
  <si>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</si>
  <si>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</si>
  <si>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</si>
  <si>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</si>
  <si>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</si>
  <si>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</si>
  <si>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</si>
  <si>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</si>
  <si>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</si>
  <si>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</si>
  <si>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</si>
  <si>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</si>
  <si>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</si>
  <si>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</si>
  <si>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</si>
  <si>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</si>
  <si>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</si>
  <si>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</si>
  <si>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</si>
  <si>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</si>
  <si>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</si>
  <si>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</si>
  <si>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</si>
  <si>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</si>
  <si>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</si>
  <si>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</si>
  <si>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</si>
  <si>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</si>
  <si>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</si>
  <si>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</si>
  <si>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</si>
  <si>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</si>
  <si>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</si>
  <si>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</si>
  <si>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</si>
  <si>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 xml:space="preserve">Somro Bakery </t>
  </si>
  <si>
    <t>SK Store</t>
  </si>
  <si>
    <t xml:space="preserve">Fayaz Kareyana </t>
  </si>
  <si>
    <t xml:space="preserve">Haji Chiragh Deen </t>
  </si>
  <si>
    <t>Hamza GS</t>
  </si>
  <si>
    <t xml:space="preserve">Ks Mart </t>
  </si>
  <si>
    <t>Address: Ghazi Raod</t>
  </si>
  <si>
    <t xml:space="preserve">China Sale Mela </t>
  </si>
  <si>
    <t>Niazi GS</t>
  </si>
  <si>
    <t>Al Hamd Store</t>
  </si>
  <si>
    <t>Husnain Store</t>
  </si>
  <si>
    <t>Marhaba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</si>
</sst>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9" sqref="I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Somro Bakery </v>
      </c>
      <c r="T3" s="301">
        <f>+'1'!P35</f>
        <v>500.75337404745761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SK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Fayaz Kareyana 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Haji Chiragh Deen </v>
      </c>
      <c r="T6" s="301">
        <f>+'4'!P35</f>
        <v>1180.2688488991523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Hamza GS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Ks Mart </v>
      </c>
      <c r="T8" s="301">
        <f>+'6'!P35</f>
        <v>3338.355826983051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China Sale Mela 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34</v>
      </c>
      <c r="I10" s="236">
        <f t="shared" si="0"/>
        <v>2469.7600000000002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197.58080000000001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86.441600000000008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2185.7376000000004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466.77966101694915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13.262586305084746</v>
      </c>
      <c r="P10" s="311">
        <f t="shared" si="2"/>
        <v>2665.7798473220341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Niazi GS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68</v>
      </c>
      <c r="I11" s="236">
        <f t="shared" si="0"/>
        <v>4939.5200000000004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395.16160000000002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172.88320000000002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4371.4752000000008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933.5593220338983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26.525172610169491</v>
      </c>
      <c r="P11" s="311">
        <f t="shared" si="2"/>
        <v>5331.5596946440683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Hamd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38</v>
      </c>
      <c r="I12" s="236">
        <f t="shared" si="0"/>
        <v>2760.32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220.82560000000001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96.611199999999997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2442.8832000000002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521.69491525423734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14.822890576271188</v>
      </c>
      <c r="P12" s="311">
        <f t="shared" si="2"/>
        <v>2979.4010058305089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Husnain Store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276</v>
      </c>
      <c r="I13" s="236">
        <f t="shared" si="0"/>
        <v>10827.480000000001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541.37400000000014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378.9618000000001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552.20147999999995</v>
      </c>
      <c r="M13" s="230">
        <f t="shared" si="1"/>
        <v>9354.9427200000009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2105.0847457627106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57.300137328813562</v>
      </c>
      <c r="P13" s="311">
        <f t="shared" si="2"/>
        <v>11517.327603091526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Marhaba Store</v>
      </c>
      <c r="T13" s="301">
        <f>+'11'!P35</f>
        <v>1568.1057925423729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10.7</v>
      </c>
      <c r="H16" s="113">
        <f t="shared" ref="H16:M16" si="3">SUM(H7:H15)</f>
        <v>428</v>
      </c>
      <c r="I16" s="114">
        <f t="shared" si="3"/>
        <v>21626.630000000005</v>
      </c>
      <c r="J16" s="274">
        <f>SUM(J7:J15)</f>
        <v>1405.306</v>
      </c>
      <c r="K16" s="275">
        <f t="shared" si="3"/>
        <v>756.93205000000012</v>
      </c>
      <c r="L16" s="276">
        <f t="shared" si="3"/>
        <v>552.20147999999995</v>
      </c>
      <c r="M16" s="232">
        <f t="shared" si="3"/>
        <v>18912.190470000001</v>
      </c>
      <c r="N16" s="233">
        <f>SUM(N7:N15)</f>
        <v>4146.1016949152527</v>
      </c>
      <c r="O16" s="101">
        <f>SUM(O7:O15)</f>
        <v>115.29146082457628</v>
      </c>
      <c r="P16" s="113">
        <f>SUM(P7:P15)</f>
        <v>23173.583625739833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21626.630000000005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1405.306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1309.1335300000001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18912.190470000005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4146.1016949152527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23058.292164915256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115.29146082457628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23173.583625739833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23173.583625739833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470.76000000000005</v>
      </c>
      <c r="J25" s="274">
        <f>SUM(J16:J24)</f>
        <v>23.538000000000004</v>
      </c>
      <c r="K25" s="275">
        <f t="shared" si="10"/>
        <v>16.476600000000005</v>
      </c>
      <c r="L25" s="276">
        <f t="shared" si="10"/>
        <v>24.008760000000002</v>
      </c>
      <c r="M25" s="232">
        <f t="shared" si="10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1100.31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73.902000000000001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62.519610000000007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963.88838999999984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1174.3968645762709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4" t="s">
        <v>88</v>
      </c>
      <c r="O35" s="375"/>
      <c r="P35" s="297">
        <f>+P33+P34</f>
        <v>1180.2688488991523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549.15254237288127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2026-09-15T04:01:36Z</dcterms:modified>
</cp:coreProperties>
</file>