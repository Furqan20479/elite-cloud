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5286695-9085-4318-8881-B60E4AC41AF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<sst xmlns="http://schemas.openxmlformats.org/spreadsheetml/2006/main" count="3948" uniqueCount="528">
  <si>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</si>
  <si>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</si>
  <si>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</si>
  <si>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</si>
  <si>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</si>
  <si>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</si>
  <si>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</si>
  <si>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</si>
  <si>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</si>
  <si>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</si>
  <si>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</si>
  <si>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</si>
  <si>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</si>
  <si>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</si>
  <si>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</si>
  <si>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</si>
  <si>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</si>
  <si>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</si>
  <si>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</si>
  <si>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</si>
  <si>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</si>
  <si>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</si>
  <si>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</si>
  <si>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</si>
  <si>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</si>
  <si>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</si>
  <si>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</si>
  <si>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</si>
  <si>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</si>
  <si>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</si>
  <si>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</si>
  <si>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</si>
  <si>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</si>
  <si>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</si>
  <si>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</si>
  <si>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</si>
  <si>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</si>
  <si>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</si>
  <si>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</si>
  <si>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</si>
  <si>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</si>
  <si>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</si>
  <si>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</si>
  <si>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</si>
  <si>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</si>
  <si>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</si>
  <si>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</si>
  <si>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</si>
  <si>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</si>
  <si>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</si>
  <si>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</si>
  <si>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</si>
  <si>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</si>
  <si>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</si>
  <si>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</si>
  <si>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</si>
  <si>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</si>
  <si>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</si>
  <si>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</si>
  <si>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</si>
  <si>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</si>
  <si>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</si>
  <si>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</si>
  <si>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</si>
  <si>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</si>
  <si>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</si>
  <si>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</si>
  <si>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</si>
  <si>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</si>
  <si>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</si>
  <si>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</si>
  <si>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</si>
  <si>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</si>
  <si>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</si>
  <si>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</si>
  <si>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</si>
  <si>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</si>
  <si>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</si>
  <si>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</si>
  <si>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</si>
  <si>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</si>
  <si>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</si>
  <si>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</si>
  <si>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</si>
  <si>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</si>
  <si>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</si>
  <si>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</si>
  <si>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</si>
  <si>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</si>
  <si>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</si>
  <si>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</si>
  <si>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</si>
  <si>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</si>
  <si>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</si>
  <si>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</si>
  <si>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</si>
  <si>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</si>
  <si>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</si>
  <si>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</si>
  <si>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</si>
  <si>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</si>
  <si>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</si>
  <si>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</si>
  <si>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</si>
  <si>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</si>
  <si>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</si>
  <si>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</si>
  <si>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</si>
  <si>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</si>
  <si>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</si>
  <si>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</si>
  <si>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</si>
  <si>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</si>
  <si>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</si>
  <si>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</si>
  <si>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</si>
  <si>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</si>
  <si>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</si>
  <si>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</si>
  <si>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</si>
  <si>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</si>
  <si>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</si>
  <si>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</si>
  <si>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</si>
  <si>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</si>
  <si>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</si>
  <si>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</si>
  <si>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</si>
  <si>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</si>
  <si>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</si>
  <si>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</si>
  <si>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</si>
  <si>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</si>
  <si>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</si>
  <si>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</si>
  <si>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</si>
  <si>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</si>
  <si>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</si>
  <si>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</si>
  <si>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</si>
  <si>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</si>
  <si>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</si>
  <si>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</si>
  <si>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</si>
  <si>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</si>
  <si>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</si>
  <si>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</si>
  <si>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</si>
  <si>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</si>
  <si>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</si>
  <si>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</si>
  <si>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</si>
  <si>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</si>
  <si>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</si>
  <si>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</si>
  <si>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</si>
  <si>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</si>
  <si>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</si>
  <si>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</si>
  <si>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</si>
  <si>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</si>
  <si>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</si>
  <si>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</si>
  <si>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</si>
  <si>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</si>
  <si>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</si>
  <si>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</si>
  <si>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</si>
  <si>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</si>
  <si>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</si>
  <si>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</si>
  <si>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</si>
  <si>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</si>
  <si>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</si>
  <si>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</si>
  <si>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</si>
  <si>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</si>
  <si>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</si>
  <si>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</si>
  <si>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</si>
  <si>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</si>
  <si>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</si>
  <si>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</si>
  <si>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</si>
  <si>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</si>
  <si>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</si>
  <si>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</si>
  <si>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</si>
  <si>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</si>
  <si>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</si>
  <si>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</si>
  <si>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</si>
  <si>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</si>
  <si>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</si>
  <si>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</si>
  <si>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</si>
  <si>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</si>
  <si>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</si>
  <si>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</si>
  <si>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</si>
  <si>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</si>
  <si>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</si>
  <si>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</si>
  <si>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</si>
  <si>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</si>
  <si>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</si>
  <si>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</si>
  <si>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</si>
  <si>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</si>
  <si>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</si>
  <si>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</si>
  <si>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</si>
  <si>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</si>
  <si>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</si>
  <si>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</si>
  <si>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</si>
  <si>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</si>
  <si>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</si>
  <si>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</si>
  <si>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</si>
  <si>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</si>
  <si>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</si>
  <si>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</si>
  <si>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</si>
  <si>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</si>
  <si>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</si>
  <si>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</si>
  <si>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</si>
  <si>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</si>
  <si>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</si>
  <si>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</si>
  <si>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</si>
  <si>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</si>
  <si>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</si>
  <si>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</si>
  <si>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</si>
  <si>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</si>
  <si>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</si>
  <si>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</si>
  <si>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</si>
  <si>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</si>
  <si>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</si>
  <si>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</si>
  <si>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</si>
  <si>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</si>
  <si>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</si>
  <si>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</si>
  <si>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</si>
  <si>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</si>
  <si>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</si>
  <si>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</si>
  <si>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</si>
  <si>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</si>
  <si>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</si>
  <si>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</si>
  <si>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</si>
  <si>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</si>
  <si>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</si>
  <si>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</si>
  <si>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</si>
  <si>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</si>
  <si>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</si>
  <si>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</si>
  <si>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</si>
  <si>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</si>
  <si>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</si>
  <si>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</si>
  <si>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</si>
  <si>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</si>
  <si>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</si>
  <si>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</si>
  <si>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</si>
  <si>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</si>
  <si>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</si>
  <si>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</si>
  <si>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</si>
  <si>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</si>
  <si>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</si>
  <si>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</si>
  <si>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</si>
  <si>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</si>
  <si>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</si>
  <si>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</si>
  <si>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</si>
  <si>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</si>
  <si>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</si>
  <si>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</si>
  <si>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</si>
  <si>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</si>
  <si>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</si>
  <si>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</si>
  <si>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</si>
  <si>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</si>
  <si>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</si>
  <si>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</si>
  <si>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</si>
  <si>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</si>
  <si>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</si>
  <si>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</si>
  <si>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</si>
  <si>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</si>
  <si>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</si>
  <si>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</si>
  <si>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</si>
  <si>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</si>
  <si>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</si>
  <si>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</si>
  <si>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</si>
  <si>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</si>
  <si>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</si>
  <si>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</si>
  <si>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</si>
  <si>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</si>
  <si>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</si>
  <si>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</si>
  <si>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</si>
  <si>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</si>
  <si>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</si>
  <si>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</si>
  <si>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</si>
  <si>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</si>
  <si>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</si>
  <si>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</si>
  <si>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</si>
  <si>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</si>
  <si>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</si>
  <si>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</si>
  <si>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</si>
  <si>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</si>
  <si>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</si>
  <si>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</si>
  <si>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</si>
  <si>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</si>
  <si>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</si>
  <si>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</si>
  <si>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</si>
  <si>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</si>
  <si>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</si>
  <si>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</si>
  <si>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</si>
  <si>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</si>
  <si>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</si>
  <si>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</si>
  <si>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</si>
  <si>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</si>
  <si>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</si>
  <si>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</si>
  <si>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</si>
  <si>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</si>
  <si>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</si>
  <si>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</si>
  <si>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</si>
  <si>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</si>
  <si>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</si>
  <si>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</si>
  <si>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</si>
  <si>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</si>
  <si>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</si>
  <si>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</si>
  <si>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</si>
  <si>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</si>
  <si>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</si>
  <si>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</si>
  <si>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</si>
  <si>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</si>
  <si>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</si>
  <si>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</si>
  <si>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</si>
  <si>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</si>
  <si>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</si>
  <si>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</si>
  <si>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</si>
  <si>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</si>
  <si>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</si>
  <si>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</si>
  <si>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</si>
  <si>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</si>
  <si>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</si>
  <si>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</si>
  <si>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</si>
  <si>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</si>
  <si>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</si>
  <si>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</si>
  <si>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</si>
  <si>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</si>
  <si>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</si>
  <si>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</si>
  <si>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</si>
  <si>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</si>
  <si>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</si>
  <si>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</si>
  <si>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</si>
  <si>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</si>
  <si>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</si>
  <si>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</si>
  <si>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</si>
  <si>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</si>
  <si>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</si>
  <si>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</si>
  <si>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</si>
  <si>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</si>
  <si>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</si>
  <si>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</si>
  <si>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</si>
  <si>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</si>
  <si>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</si>
  <si>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</si>
  <si>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</si>
  <si>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</si>
  <si>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</si>
  <si>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</si>
  <si>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</si>
  <si>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</si>
  <si>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</si>
  <si>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</si>
  <si>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</si>
  <si>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</si>
  <si>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</si>
  <si>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</si>
  <si>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</si>
  <si>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</si>
  <si>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</si>
  <si>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</si>
  <si>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</si>
  <si>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</si>
  <si>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</si>
  <si>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</si>
  <si>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</si>
  <si>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</si>
  <si>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</si>
  <si>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</si>
  <si>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</si>
  <si>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</si>
  <si>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</si>
  <si>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</si>
  <si>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</si>
  <si>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</si>
  <si>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</si>
  <si>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</si>
  <si>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</si>
  <si>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</si>
  <si>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</si>
  <si>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</si>
  <si>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</si>
  <si>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</si>
  <si>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</si>
  <si>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</si>
  <si>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</si>
  <si>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</si>
  <si>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</si>
  <si>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</si>
  <si>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</si>
  <si>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</si>
  <si>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</si>
  <si>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</si>
  <si>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</si>
  <si>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</si>
  <si>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</si>
  <si>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</si>
  <si>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</si>
  <si>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</si>
  <si>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</si>
  <si>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</si>
  <si>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</si>
  <si>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</si>
  <si>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</si>
  <si>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</si>
  <si>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</si>
  <si>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</si>
  <si>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</si>
  <si>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</si>
  <si>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</si>
  <si>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</si>
  <si>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</si>
  <si>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</si>
  <si>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</si>
  <si>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</si>
  <si>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</si>
  <si>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</si>
  <si>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</si>
  <si>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</si>
  <si>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</si>
  <si>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</si>
  <si>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</si>
  <si>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</si>
  <si>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</si>
  <si>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</si>
  <si>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</si>
  <si>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</si>
  <si>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</si>
  <si>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</si>
  <si>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</si>
  <si>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</si>
  <si>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</si>
  <si>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</si>
  <si>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</si>
  <si>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</si>
  <si>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</si>
  <si>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</si>
  <si>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</si>
  <si>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</si>
  <si>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</si>
  <si>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</si>
  <si>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</si>
  <si>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</si>
  <si>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</si>
  <si>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</si>
  <si>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</si>
  <si>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</si>
  <si>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</si>
  <si>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</si>
  <si>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</si>
  <si>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</si>
  <si>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</si>
  <si>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M Sadiq Store</t>
  </si>
  <si>
    <t xml:space="preserve">Address: Guru mangat </t>
  </si>
  <si>
    <t xml:space="preserve">Al Falah Bakers </t>
  </si>
  <si>
    <t xml:space="preserve">Shahid And Sons </t>
  </si>
  <si>
    <t xml:space="preserve">Syed Bin Dawood </t>
  </si>
  <si>
    <t>Sughat GS</t>
  </si>
  <si>
    <t xml:space="preserve">Lala G Super Mart </t>
  </si>
  <si>
    <t>Address: Farcon Complex</t>
  </si>
  <si>
    <t xml:space="preserve">Prince Bakery </t>
  </si>
  <si>
    <t>Address: LDA Flats</t>
  </si>
  <si>
    <t xml:space="preserve">Ayan Pan Shop </t>
  </si>
  <si>
    <t xml:space="preserve">Shell Petroll Pump </t>
  </si>
  <si>
    <t xml:space="preserve">Address: Shadman </t>
  </si>
  <si>
    <t xml:space="preserve">Chaudry Ferozen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</si>
</sst>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F28" sqref="F2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M Sadiq Store</v>
      </c>
      <c r="T3" s="301">
        <f>+'1'!P35</f>
        <v>2184.9047487266948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Falah Bakers 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Shahid And Sons </v>
      </c>
      <c r="T5" s="301">
        <f>+'3'!P35</f>
        <v>1975.297505945339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Syed Bin Dawood 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63</v>
      </c>
      <c r="I7" s="235">
        <f>(G7*D7)*F7+H7*F7</f>
        <v>3305.1374999999998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264.411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115.67981250000001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2925.0466874999997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624.66101694915221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17.748538522245763</v>
      </c>
      <c r="P7" s="310">
        <f>M7+N7+O7</f>
        <v>3567.4562429713978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Sughat GS</v>
      </c>
      <c r="T7" s="301">
        <f>+'5'!P35</f>
        <v>6235.8521246694909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Lala G Super Mart </v>
      </c>
      <c r="T8" s="301">
        <f>+'6'!P35</f>
        <v>2299.8944252288134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41</v>
      </c>
      <c r="I9" s="236">
        <f t="shared" si="0"/>
        <v>2150.9625000000001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172.077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75.283687499999999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1903.6018125000001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406.52542372881339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11.550636181144068</v>
      </c>
      <c r="P9" s="311">
        <f t="shared" si="2"/>
        <v>2321.6778724099577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Prince Bakery </v>
      </c>
      <c r="T9" s="301">
        <f>+'7'!P35</f>
        <v>1180.2688488991523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75</v>
      </c>
      <c r="I10" s="236">
        <f t="shared" si="0"/>
        <v>5448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435.84000000000003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190.68000000000004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4821.4799999999996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1029.6610169491526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29.255705084745763</v>
      </c>
      <c r="P10" s="311">
        <f t="shared" si="2"/>
        <v>5880.3967220338973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Ayan Pan Shop </v>
      </c>
      <c r="T10" s="301">
        <f>+'8'!P35</f>
        <v>500.75337404745761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53</v>
      </c>
      <c r="I11" s="236">
        <f t="shared" si="0"/>
        <v>3849.92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307.99360000000001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134.74720000000002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3407.1792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727.62711864406788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20.674031593220338</v>
      </c>
      <c r="P11" s="311">
        <f t="shared" si="2"/>
        <v>4155.4803502372879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Shell Petroll Pump </v>
      </c>
      <c r="T11" s="301">
        <f>+'9'!P35</f>
        <v>10802.526335847459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63</v>
      </c>
      <c r="I12" s="236">
        <f t="shared" si="0"/>
        <v>4576.32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366.10559999999998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160.1712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4050.0431999999996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864.9152542372882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24.574792271186439</v>
      </c>
      <c r="P12" s="311">
        <f t="shared" si="2"/>
        <v>4939.5332465084739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Chaudry Ferozen </v>
      </c>
      <c r="T12" s="301">
        <f>+'10'!P35</f>
        <v>834.58895674576274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142</v>
      </c>
      <c r="I13" s="236">
        <f t="shared" si="0"/>
        <v>5570.6600000000008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278.53300000000007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194.97310000000004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284.10365999999999</v>
      </c>
      <c r="M13" s="230">
        <f t="shared" si="1"/>
        <v>4813.0502400000005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1083.0508474576266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29.480505437288137</v>
      </c>
      <c r="P13" s="311">
        <f t="shared" si="2"/>
        <v>5925.581592894915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12.925000000000001</v>
      </c>
      <c r="H16" s="113">
        <f t="shared" ref="H16:M16" si="3">SUM(H7:H15)</f>
        <v>517</v>
      </c>
      <c r="I16" s="114">
        <f t="shared" si="3"/>
        <v>29098</v>
      </c>
      <c r="J16" s="274">
        <f>SUM(J7:J15)</f>
        <v>2160.7202000000002</v>
      </c>
      <c r="K16" s="275">
        <f t="shared" si="3"/>
        <v>1018.4300000000001</v>
      </c>
      <c r="L16" s="276">
        <f t="shared" si="3"/>
        <v>284.10365999999999</v>
      </c>
      <c r="M16" s="232">
        <f t="shared" si="3"/>
        <v>25634.746139999999</v>
      </c>
      <c r="N16" s="233">
        <f>SUM(N7:N15)</f>
        <v>5529.6610169491514</v>
      </c>
      <c r="O16" s="101">
        <f>SUM(O7:O15)</f>
        <v>155.82203578474576</v>
      </c>
      <c r="P16" s="113">
        <f>SUM(P7:P15)</f>
        <v>31320.229192733896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29098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2160.7202000000002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1302.5336600000001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25634.746139999999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5529.6610169491514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31164.40715694915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155.82203578474576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31320.229192733896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31320.229192733896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2035.6250000000002</v>
      </c>
      <c r="J25" s="274">
        <f>SUM(J16:J24)</f>
        <v>139.31200000000001</v>
      </c>
      <c r="K25" s="275">
        <f t="shared" si="10"/>
        <v>71.246875000000017</v>
      </c>
      <c r="L25" s="276">
        <f t="shared" si="10"/>
        <v>40.014600000000002</v>
      </c>
      <c r="M25" s="232">
        <f t="shared" si="10"/>
        <v>1785.0515250000003</v>
      </c>
      <c r="N25" s="233">
        <f>SUM(N16:N24)</f>
        <v>388.98305084745749</v>
      </c>
      <c r="O25" s="101">
        <f>SUM(O16:O24)</f>
        <v>10.870172879237288</v>
      </c>
      <c r="P25" s="234">
        <f>SUM(P16:P24)</f>
        <v>2184.9047487266953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2035.6250000000002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139.31200000000001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111.26147500000002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1785.0515250000001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2174.0345758474577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74" t="s">
        <v>88</v>
      </c>
      <c r="O35" s="375"/>
      <c r="P35" s="297">
        <f>+P33+P34</f>
        <v>2184.9047487266948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4" t="s">
        <v>88</v>
      </c>
      <c r="O35" s="375"/>
      <c r="P35" s="297">
        <f>+P33+P34</f>
        <v>4805.3894985762709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33</v>
      </c>
      <c r="I25" s="114">
        <f t="shared" si="7"/>
        <v>1833.4650000000001</v>
      </c>
      <c r="J25" s="274">
        <f>SUM(J16:J24)</f>
        <v>139.61579999999998</v>
      </c>
      <c r="K25" s="275">
        <f t="shared" si="7"/>
        <v>64.171275000000009</v>
      </c>
      <c r="L25" s="276">
        <f t="shared" si="7"/>
        <v>12.004380000000001</v>
      </c>
      <c r="M25" s="232">
        <f t="shared" si="7"/>
        <v>1617.6735450000003</v>
      </c>
      <c r="N25" s="233">
        <f>SUM(N16:N24)</f>
        <v>347.79661016949149</v>
      </c>
      <c r="O25" s="101">
        <f>SUM(O16:O24)</f>
        <v>9.8273507758474583</v>
      </c>
      <c r="P25" s="234">
        <f>SUM(P16:P24)</f>
        <v>1975.2975059453388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1833.4650000000001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139.61579999999998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76.175655000000006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1617.6735450000001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347.79661016949149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1965.4701551694916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9.8273507758474583</v>
      </c>
    </row>
    <row r="35" spans="2:16" ht="15.75" customHeight="1" thickBot="1" x14ac:dyDescent="0.4">
      <c r="N35" s="374" t="s">
        <v>88</v>
      </c>
      <c r="O35" s="375"/>
      <c r="P35" s="297">
        <f>+P33+P34</f>
        <v>1975.297505945339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100</v>
      </c>
      <c r="I25" s="114">
        <f t="shared" si="7"/>
        <v>5788.7</v>
      </c>
      <c r="J25" s="274">
        <f>SUM(J16:J24)</f>
        <v>439.55800000000005</v>
      </c>
      <c r="K25" s="275">
        <f t="shared" si="7"/>
        <v>202.60450000000003</v>
      </c>
      <c r="L25" s="276">
        <f t="shared" si="7"/>
        <v>40.014600000000002</v>
      </c>
      <c r="M25" s="232">
        <f t="shared" si="7"/>
        <v>5106.5228999999999</v>
      </c>
      <c r="N25" s="233">
        <f>SUM(N16:N24)</f>
        <v>1098.3050847457625</v>
      </c>
      <c r="O25" s="101">
        <f>SUM(O16:O24)</f>
        <v>31.024139923728814</v>
      </c>
      <c r="P25" s="234">
        <f>SUM(P16:P24)</f>
        <v>6235.85212466949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5788.7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439.55800000000005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242.61910000000003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5106.5228999999999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6204.8279847457625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31.024139923728814</v>
      </c>
    </row>
    <row r="35" spans="2:16" ht="15.75" customHeight="1" thickBot="1" x14ac:dyDescent="0.4">
      <c r="N35" s="374" t="s">
        <v>88</v>
      </c>
      <c r="O35" s="375"/>
      <c r="P35" s="297">
        <f>+P33+P34</f>
        <v>6235.8521246694909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36</v>
      </c>
      <c r="I25" s="114">
        <f t="shared" si="7"/>
        <v>2130.7799999999997</v>
      </c>
      <c r="J25" s="274">
        <f>SUM(J16:J24)</f>
        <v>170.4624</v>
      </c>
      <c r="K25" s="275">
        <f t="shared" si="7"/>
        <v>74.577300000000008</v>
      </c>
      <c r="L25" s="276">
        <f t="shared" si="7"/>
        <v>0</v>
      </c>
      <c r="M25" s="232">
        <f t="shared" si="7"/>
        <v>1885.7402999999999</v>
      </c>
      <c r="N25" s="233">
        <f>SUM(N16:N24)</f>
        <v>402.71186440677957</v>
      </c>
      <c r="O25" s="101">
        <f>SUM(O16:O24)</f>
        <v>11.442260822033898</v>
      </c>
      <c r="P25" s="234">
        <f>SUM(P16:P24)</f>
        <v>2299.8944252288134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2130.7799999999997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170.4624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74.577300000000008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1885.7402999999999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402.71186440677957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2288.4521644067795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11.442260822033898</v>
      </c>
    </row>
    <row r="35" spans="2:16" ht="15.75" customHeight="1" thickBot="1" x14ac:dyDescent="0.4">
      <c r="N35" s="374" t="s">
        <v>88</v>
      </c>
      <c r="O35" s="375"/>
      <c r="P35" s="297">
        <f>+P33+P34</f>
        <v>2299.8944252288134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234">
        <f>SUM(P16:P24)</f>
        <v>1180.2688488991525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1100.31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73.902000000000001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62.519610000000007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963.88838999999984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1174.3968645762709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74" t="s">
        <v>88</v>
      </c>
      <c r="O35" s="375"/>
      <c r="P35" s="297">
        <f>+P33+P34</f>
        <v>1180.2688488991523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125.91</v>
      </c>
      <c r="K16" s="127">
        <f>$I16*T16</f>
        <v>55.085625000000007</v>
      </c>
      <c r="L16" s="118">
        <f>$I16*U16</f>
        <v>0</v>
      </c>
      <c r="M16" s="229">
        <f>I16-SUM(J16:L16)</f>
        <v>1392.879375</v>
      </c>
      <c r="N16" s="248">
        <f>+(G16*D16+H16)*V16</f>
        <v>297.45762711864393</v>
      </c>
      <c r="O16" s="238">
        <f>(N16+M16)*$O$15</f>
        <v>8.45168501059322</v>
      </c>
      <c r="P16" s="118">
        <f>M16+N16+O16</f>
        <v>1698.7886871292369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25</v>
      </c>
      <c r="I17" s="236">
        <f t="shared" ref="I17:I23" si="0">(G17*D17)*F17+H17*F17</f>
        <v>1311.5625</v>
      </c>
      <c r="J17" s="272">
        <f t="shared" ref="J17:L24" si="1">$I17*S17</f>
        <v>104.925</v>
      </c>
      <c r="K17" s="128">
        <f>$I17*T17</f>
        <v>45.904687500000001</v>
      </c>
      <c r="L17" s="119">
        <f>$I17*U17</f>
        <v>0</v>
      </c>
      <c r="M17" s="230">
        <f t="shared" ref="M17:M24" si="2">I17-SUM(J17:L17)</f>
        <v>1160.7328124999999</v>
      </c>
      <c r="N17" s="277">
        <f t="shared" ref="N17:N24" si="3">+(G17*D17+H17)*V17</f>
        <v>247.88135593220329</v>
      </c>
      <c r="O17" s="239">
        <f t="shared" ref="O17:O24" si="4">(N17+M17)*$O$15</f>
        <v>7.0430708421610166</v>
      </c>
      <c r="P17" s="119">
        <f t="shared" ref="P17:P24" si="5">M17+N17+O17</f>
        <v>1415.6572392743644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25</v>
      </c>
      <c r="I18" s="236">
        <f t="shared" si="0"/>
        <v>1311.5625</v>
      </c>
      <c r="J18" s="272">
        <f t="shared" si="1"/>
        <v>104.925</v>
      </c>
      <c r="K18" s="128">
        <f t="shared" si="1"/>
        <v>45.904687500000001</v>
      </c>
      <c r="L18" s="119">
        <f t="shared" si="1"/>
        <v>0</v>
      </c>
      <c r="M18" s="230">
        <f t="shared" si="2"/>
        <v>1160.7328124999999</v>
      </c>
      <c r="N18" s="277">
        <f t="shared" si="3"/>
        <v>247.88135593220329</v>
      </c>
      <c r="O18" s="239">
        <f t="shared" si="4"/>
        <v>7.0430708421610166</v>
      </c>
      <c r="P18" s="119">
        <f t="shared" si="5"/>
        <v>1415.6572392743644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25</v>
      </c>
      <c r="I20" s="236">
        <f t="shared" si="0"/>
        <v>1816</v>
      </c>
      <c r="J20" s="272">
        <f t="shared" si="1"/>
        <v>145.28</v>
      </c>
      <c r="K20" s="128">
        <f t="shared" si="1"/>
        <v>63.560000000000009</v>
      </c>
      <c r="L20" s="119">
        <f t="shared" si="1"/>
        <v>0</v>
      </c>
      <c r="M20" s="230">
        <f t="shared" si="2"/>
        <v>1607.16</v>
      </c>
      <c r="N20" s="277">
        <f t="shared" si="3"/>
        <v>343.22033898305085</v>
      </c>
      <c r="O20" s="239">
        <f t="shared" si="4"/>
        <v>9.7519016949152544</v>
      </c>
      <c r="P20" s="119">
        <f t="shared" si="5"/>
        <v>1960.1322406779661</v>
      </c>
      <c r="Q20" s="319"/>
      <c r="R20">
        <f>P20/21</f>
        <v>93.339630508474585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8857.2569999999996</v>
      </c>
      <c r="N25" s="233">
        <f>SUM(N16:N24)</f>
        <v>1891.5254237288132</v>
      </c>
      <c r="O25" s="101">
        <f>SUM(O16:O24)</f>
        <v>53.743912118644069</v>
      </c>
      <c r="P25" s="234">
        <f>SUM(P16:P24)</f>
        <v>10802.526335847457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10008.200000000001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800.65599999999995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350.28700000000003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8857.2570000000014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10748.782423728815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74" t="s">
        <v>88</v>
      </c>
      <c r="O35" s="375"/>
      <c r="P35" s="297">
        <f>+P33+P34</f>
        <v>10802.526335847459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784.60000000000014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39.230000000000011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67.475600000000014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677.89440000000013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830.43677288135598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4" t="s">
        <v>88</v>
      </c>
      <c r="O35" s="375"/>
      <c r="P35" s="297">
        <f>+P33+P34</f>
        <v>834.58895674576274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46279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2026-09-14T12:09:48Z</dcterms:modified>
</cp:coreProperties>
</file>