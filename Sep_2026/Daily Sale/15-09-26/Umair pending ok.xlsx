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B4E109-D0C1-4F5E-9F72-445AE5C2A73A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<sst xmlns="http://schemas.openxmlformats.org/spreadsheetml/2006/main" count="3948" uniqueCount="527">
  <si>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</si>
  <si>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</si>
  <si>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</si>
  <si>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</si>
  <si>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</si>
  <si>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</si>
  <si>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</si>
  <si>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</si>
  <si>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</si>
  <si>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</si>
  <si>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</si>
  <si>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</si>
  <si>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</si>
  <si>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</si>
  <si>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</si>
  <si>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</si>
  <si>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</si>
  <si>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</si>
  <si>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</si>
  <si>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</si>
  <si>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</si>
  <si>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</si>
  <si>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</si>
  <si>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</si>
  <si>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</si>
  <si>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</si>
  <si>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</si>
  <si>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</si>
  <si>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</si>
  <si>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</si>
  <si>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</si>
  <si>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</si>
  <si>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</si>
  <si>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</si>
  <si>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</si>
  <si>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</si>
  <si>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</si>
  <si>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</si>
  <si>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</si>
  <si>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</si>
  <si>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</si>
  <si>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</si>
  <si>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</si>
  <si>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</si>
  <si>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</si>
  <si>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</si>
  <si>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</si>
  <si>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</si>
  <si>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</si>
  <si>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</si>
  <si>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</si>
  <si>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</si>
  <si>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</si>
  <si>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</si>
  <si>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</si>
  <si>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</si>
  <si>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</si>
  <si>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</si>
  <si>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</si>
  <si>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</si>
  <si>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</si>
  <si>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</si>
  <si>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</si>
  <si>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</si>
  <si>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</si>
  <si>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</si>
  <si>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</si>
  <si>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</si>
  <si>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</si>
  <si>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</si>
  <si>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</si>
  <si>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</si>
  <si>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</si>
  <si>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</si>
  <si>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</si>
  <si>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</si>
  <si>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</si>
  <si>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</si>
  <si>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</si>
  <si>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</si>
  <si>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</si>
  <si>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</si>
  <si>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</si>
  <si>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</si>
  <si>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</si>
  <si>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</si>
  <si>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</si>
  <si>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</si>
  <si>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</si>
  <si>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</si>
  <si>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</si>
  <si>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</si>
  <si>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</si>
  <si>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</si>
  <si>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</si>
  <si>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</si>
  <si>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</si>
  <si>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</si>
  <si>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</si>
  <si>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</si>
  <si>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</si>
  <si>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</si>
  <si>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</si>
  <si>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</si>
  <si>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</si>
  <si>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</si>
  <si>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</si>
  <si>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</si>
  <si>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</si>
  <si>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</si>
  <si>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</si>
  <si>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</si>
  <si>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</si>
  <si>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</si>
  <si>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</si>
  <si>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</si>
  <si>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</si>
  <si>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</si>
  <si>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</si>
  <si>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</si>
  <si>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</si>
  <si>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</si>
  <si>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</si>
  <si>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</si>
  <si>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</si>
  <si>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</si>
  <si>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</si>
  <si>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</si>
  <si>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</si>
  <si>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</si>
  <si>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</si>
  <si>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</si>
  <si>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</si>
  <si>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</si>
  <si>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</si>
  <si>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</si>
  <si>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</si>
  <si>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</si>
  <si>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</si>
  <si>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</si>
  <si>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</si>
  <si>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</si>
  <si>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</si>
  <si>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</si>
  <si>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</si>
  <si>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</si>
  <si>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</si>
  <si>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</si>
  <si>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</si>
  <si>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</si>
  <si>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</si>
  <si>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</si>
  <si>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</si>
  <si>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</si>
  <si>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</si>
  <si>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</si>
  <si>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</si>
  <si>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</si>
  <si>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</si>
  <si>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</si>
  <si>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</si>
  <si>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</si>
  <si>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</si>
  <si>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</si>
  <si>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</si>
  <si>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</si>
  <si>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</si>
  <si>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</si>
  <si>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</si>
  <si>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</si>
  <si>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</si>
  <si>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</si>
  <si>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</si>
  <si>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</si>
  <si>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</si>
  <si>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</si>
  <si>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</si>
  <si>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</si>
  <si>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</si>
  <si>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</si>
  <si>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</si>
  <si>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</si>
  <si>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</si>
  <si>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</si>
  <si>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</si>
  <si>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</si>
  <si>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</si>
  <si>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</si>
  <si>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</si>
  <si>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</si>
  <si>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</si>
  <si>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</si>
  <si>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</si>
  <si>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</si>
  <si>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</si>
  <si>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</si>
  <si>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</si>
  <si>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</si>
  <si>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</si>
  <si>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</si>
  <si>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</si>
  <si>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</si>
  <si>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</si>
  <si>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</si>
  <si>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</si>
  <si>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</si>
  <si>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</si>
  <si>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</si>
  <si>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</si>
  <si>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</si>
  <si>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</si>
  <si>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</si>
  <si>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</si>
  <si>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</si>
  <si>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</si>
  <si>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</si>
  <si>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</si>
  <si>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</si>
  <si>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</si>
  <si>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</si>
  <si>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</si>
  <si>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</si>
  <si>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</si>
  <si>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</si>
  <si>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</si>
  <si>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</si>
  <si>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</si>
  <si>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</si>
  <si>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</si>
  <si>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</si>
  <si>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</si>
  <si>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</si>
  <si>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</si>
  <si>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</si>
  <si>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</si>
  <si>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</si>
  <si>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</si>
  <si>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</si>
  <si>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</si>
  <si>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</si>
  <si>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</si>
  <si>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</si>
  <si>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</si>
  <si>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</si>
  <si>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</si>
  <si>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</si>
  <si>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</si>
  <si>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</si>
  <si>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</si>
  <si>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</si>
  <si>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</si>
  <si>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</si>
  <si>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</si>
  <si>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</si>
  <si>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</si>
  <si>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</si>
  <si>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</si>
  <si>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</si>
  <si>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</si>
  <si>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</si>
  <si>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</si>
  <si>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</si>
  <si>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</si>
  <si>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</si>
  <si>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</si>
  <si>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</si>
  <si>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</si>
  <si>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</si>
  <si>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</si>
  <si>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</si>
  <si>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</si>
  <si>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</si>
  <si>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</si>
  <si>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</si>
  <si>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</si>
  <si>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</si>
  <si>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</si>
  <si>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</si>
  <si>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</si>
  <si>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</si>
  <si>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</si>
  <si>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</si>
  <si>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</si>
  <si>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</si>
  <si>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</si>
  <si>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</si>
  <si>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</si>
  <si>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</si>
  <si>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</si>
  <si>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</si>
  <si>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</si>
  <si>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</si>
  <si>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</si>
  <si>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</si>
  <si>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</si>
  <si>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</si>
  <si>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</si>
  <si>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</si>
  <si>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</si>
  <si>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</si>
  <si>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</si>
  <si>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</si>
  <si>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</si>
  <si>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</si>
  <si>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</si>
  <si>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</si>
  <si>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</si>
  <si>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</si>
  <si>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</si>
  <si>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</si>
  <si>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</si>
  <si>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</si>
  <si>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</si>
  <si>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</si>
  <si>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</si>
  <si>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</si>
  <si>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</si>
  <si>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</si>
  <si>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</si>
  <si>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</si>
  <si>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</si>
  <si>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</si>
  <si>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</si>
  <si>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</si>
  <si>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</si>
  <si>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</si>
  <si>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</si>
  <si>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</si>
  <si>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</si>
  <si>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</si>
  <si>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</si>
  <si>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</si>
  <si>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</si>
  <si>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</si>
  <si>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</si>
  <si>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</si>
  <si>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</si>
  <si>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</si>
  <si>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</si>
  <si>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</si>
  <si>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</si>
  <si>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</si>
  <si>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</si>
  <si>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</si>
  <si>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</si>
  <si>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</si>
  <si>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</si>
  <si>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</si>
  <si>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</si>
  <si>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</si>
  <si>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</si>
  <si>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</si>
  <si>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</si>
  <si>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</si>
  <si>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</si>
  <si>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</si>
  <si>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</si>
  <si>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</si>
  <si>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</si>
  <si>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</si>
  <si>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</si>
  <si>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</si>
  <si>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</si>
  <si>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</si>
  <si>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</si>
  <si>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</si>
  <si>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</si>
  <si>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</si>
  <si>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</si>
  <si>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</si>
  <si>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</si>
  <si>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</si>
  <si>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</si>
  <si>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</si>
  <si>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</si>
  <si>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</si>
  <si>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</si>
  <si>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</si>
  <si>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</si>
  <si>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</si>
  <si>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</si>
  <si>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</si>
  <si>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</si>
  <si>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</si>
  <si>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</si>
  <si>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</si>
  <si>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</si>
  <si>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</si>
  <si>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</si>
  <si>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</si>
  <si>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</si>
  <si>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</si>
  <si>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</si>
  <si>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</si>
  <si>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</si>
  <si>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</si>
  <si>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</si>
  <si>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</si>
  <si>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</si>
  <si>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</si>
  <si>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</si>
  <si>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</si>
  <si>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</si>
  <si>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</si>
  <si>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</si>
  <si>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</si>
  <si>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</si>
  <si>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</si>
  <si>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</si>
  <si>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</si>
  <si>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</si>
  <si>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</si>
  <si>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</si>
  <si>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</si>
  <si>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</si>
  <si>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</si>
  <si>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</si>
  <si>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</si>
  <si>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</si>
  <si>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</si>
  <si>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</si>
  <si>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</si>
  <si>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</si>
  <si>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</si>
  <si>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</si>
  <si>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</si>
  <si>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</si>
  <si>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</si>
  <si>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</si>
  <si>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</si>
  <si>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</si>
  <si>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</si>
  <si>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</si>
  <si>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</si>
  <si>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</si>
  <si>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</si>
  <si>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</si>
  <si>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</si>
  <si>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</si>
  <si>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</si>
  <si>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</si>
  <si>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</si>
  <si>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</si>
  <si>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</si>
  <si>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</si>
  <si>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</si>
  <si>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</si>
  <si>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</si>
  <si>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</si>
  <si>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</si>
  <si>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</si>
  <si>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</si>
  <si>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</si>
  <si>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</si>
  <si>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</si>
  <si>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</si>
  <si>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</si>
  <si>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</si>
  <si>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</si>
  <si>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</si>
  <si>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</si>
  <si>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</si>
  <si>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</si>
  <si>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</si>
  <si>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</si>
  <si>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</si>
  <si>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</si>
  <si>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</si>
  <si>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</si>
  <si>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</si>
  <si>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</si>
  <si>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</si>
  <si>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</si>
  <si>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</si>
  <si>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</si>
  <si>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</si>
  <si>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</si>
  <si>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</si>
  <si>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</si>
  <si>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</si>
  <si>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</si>
  <si>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</si>
  <si>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</si>
  <si>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</si>
  <si>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</si>
  <si>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</si>
  <si>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</si>
  <si>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</si>
  <si>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</si>
  <si>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</si>
  <si>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</si>
  <si>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</si>
  <si>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</si>
  <si>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</si>
  <si>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</si>
  <si>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</si>
  <si>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</si>
  <si>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</si>
  <si>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</si>
  <si>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</si>
  <si>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</si>
  <si>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</si>
  <si>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</si>
  <si>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</si>
  <si>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</si>
  <si>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</si>
  <si>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</si>
  <si>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</si>
  <si>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</si>
  <si>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</si>
  <si>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</si>
  <si>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</si>
  <si>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</si>
  <si>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Bajwa Mart </t>
  </si>
  <si>
    <t xml:space="preserve">Address: Behria Nashomin </t>
  </si>
  <si>
    <t xml:space="preserve">Nashomin Mart </t>
  </si>
  <si>
    <t xml:space="preserve">Bajwa Center </t>
  </si>
  <si>
    <t xml:space="preserve">Sheen Mart </t>
  </si>
  <si>
    <t xml:space="preserve">Address: Central Park </t>
  </si>
  <si>
    <t>Bentle Mart &amp; Pharmacy</t>
  </si>
  <si>
    <t>Safa Cash &amp; Carry</t>
  </si>
  <si>
    <t xml:space="preserve">Altaf Cash &amp; Carry </t>
  </si>
  <si>
    <t xml:space="preserve">Sufyan Mart </t>
  </si>
  <si>
    <t>Address: central Park Gate No 3</t>
  </si>
  <si>
    <t xml:space="preserve">Bibi Fatima </t>
  </si>
  <si>
    <t>Address: Central Park Street no 3</t>
  </si>
  <si>
    <t>Umair Pendings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</si>
</sst>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1" activeCellId="6" sqref="S3 S5 S6 S7 S8 S9 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526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Bajwa Mart </v>
      </c>
      <c r="T3" s="301">
        <f>+'1'!P35</f>
        <v>2873.1353813008473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Nashomin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Bajwa Center </v>
      </c>
      <c r="T5" s="301">
        <f>+'3'!P35</f>
        <v>4805.3894985762718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Sheen Mart </v>
      </c>
      <c r="T6" s="301">
        <f>+'4'!P35</f>
        <v>17980.970139152538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>Bentle Mart &amp; Pharmacy</v>
      </c>
      <c r="T7" s="301">
        <f>+'5'!P35</f>
        <v>4805.3894985762718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132</v>
      </c>
      <c r="I8" s="236">
        <f t="shared" ref="I8:I14" si="0">(G8*D8)*F8+H8*F8</f>
        <v>6925.05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554.00400000000002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242.37675000000002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6128.6692499999999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1308.8135593220334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37.187414046610172</v>
      </c>
      <c r="P8" s="311">
        <f t="shared" ref="P8:P15" si="2">M8+N8+O8</f>
        <v>7474.6702233686428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Safa Cash &amp; Carry</v>
      </c>
      <c r="T8" s="301">
        <f>+'6'!P35</f>
        <v>918.04785242033881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311">
        <f t="shared" si="2"/>
        <v>9060.206331355932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 xml:space="preserve">Altaf Cash &amp; Carry </v>
      </c>
      <c r="T9" s="301">
        <f>+'7'!P35</f>
        <v>21605.052671694917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148</v>
      </c>
      <c r="I10" s="236">
        <f t="shared" si="0"/>
        <v>10750.72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860.05759999999998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376.27520000000004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9514.3871999999992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2031.8644067796613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57.731258033898314</v>
      </c>
      <c r="P10" s="311">
        <f t="shared" si="2"/>
        <v>11603.982864813559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Sufyan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134</v>
      </c>
      <c r="I11" s="236">
        <f t="shared" si="0"/>
        <v>9733.76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778.70080000000007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340.68160000000006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8614.3775999999998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1839.6610169491528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52.27019308474577</v>
      </c>
      <c r="P11" s="311">
        <f t="shared" si="2"/>
        <v>10506.308810033897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 xml:space="preserve">Bibi Fatima </v>
      </c>
      <c r="T11" s="301">
        <f>+'9'!P35</f>
        <v>17660.418379703391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214</v>
      </c>
      <c r="I12" s="236">
        <f t="shared" si="0"/>
        <v>15544.960000000001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1243.5968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544.07360000000006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13757.2896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2937.9661016949153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83.476278508474579</v>
      </c>
      <c r="P12" s="311">
        <f t="shared" si="2"/>
        <v>16778.731980203389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202</v>
      </c>
      <c r="I13" s="236">
        <f t="shared" si="0"/>
        <v>7924.4600000000009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396.22300000000007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277.35610000000003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404.14746000000002</v>
      </c>
      <c r="M13" s="230">
        <f t="shared" si="1"/>
        <v>6846.7334400000009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1540.677966101694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41.937057030508477</v>
      </c>
      <c r="P13" s="311">
        <f t="shared" si="2"/>
        <v>8429.3484631322044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98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27.75</v>
      </c>
      <c r="H16" s="113">
        <f t="shared" ref="H16:M16" si="3">SUM(H7:H15)</f>
        <v>1110</v>
      </c>
      <c r="I16" s="114">
        <f t="shared" si="3"/>
        <v>65568.45</v>
      </c>
      <c r="J16" s="274">
        <f>SUM(J7:J15)</f>
        <v>5007.7421999999997</v>
      </c>
      <c r="K16" s="275">
        <f t="shared" si="3"/>
        <v>2294.8957500000001</v>
      </c>
      <c r="L16" s="276">
        <f t="shared" si="3"/>
        <v>404.14746000000002</v>
      </c>
      <c r="M16" s="232">
        <f t="shared" si="3"/>
        <v>57861.664590000008</v>
      </c>
      <c r="N16" s="233">
        <f>SUM(N7:N15)</f>
        <v>12435.254237288134</v>
      </c>
      <c r="O16" s="101">
        <f>SUM(O7:O15)</f>
        <v>351.48459413644071</v>
      </c>
      <c r="P16" s="113">
        <f>SUM(P7:P15)</f>
        <v>70648.403421424577</v>
      </c>
      <c r="Q16" s="128">
        <f>SUM(Q7:Q15)</f>
        <v>146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65568.45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5007.7421999999997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2699.0432100000003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57861.664589999993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12435.254237288134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70296.918827288129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351.48459413644071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70648.403421424577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70648.403421424577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56</v>
      </c>
      <c r="I25" s="114">
        <f t="shared" ref="I25:M25" si="10">SUM(I16:I24)</f>
        <v>2673.25</v>
      </c>
      <c r="J25" s="274">
        <f>SUM(J16:J24)</f>
        <v>190.322</v>
      </c>
      <c r="K25" s="275">
        <f t="shared" si="10"/>
        <v>93.563749999999999</v>
      </c>
      <c r="L25" s="276">
        <f t="shared" si="10"/>
        <v>40.014600000000002</v>
      </c>
      <c r="M25" s="232">
        <f t="shared" si="10"/>
        <v>2349.3496500000001</v>
      </c>
      <c r="N25" s="233">
        <f>SUM(N16:N24)</f>
        <v>509.4915254237286</v>
      </c>
      <c r="O25" s="101">
        <f>SUM(O16:O24)</f>
        <v>14.294205877118642</v>
      </c>
      <c r="P25" s="234">
        <f>SUM(P16:P24)</f>
        <v>2873.1353813008473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2673.25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190.322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133.57835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2349.3496500000001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509.4915254237286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2858.8411754237286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14.294205877118642</v>
      </c>
    </row>
    <row r="35" spans="2:16" ht="15.75" customHeight="1" thickBot="1" x14ac:dyDescent="0.4">
      <c r="N35" s="374" t="s">
        <v>88</v>
      </c>
      <c r="O35" s="375"/>
      <c r="P35" s="297">
        <f>+P33+P34</f>
        <v>2873.1353813008473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854.23728813559296</v>
      </c>
      <c r="O25" s="101">
        <f>SUM(O16:O24)</f>
        <v>23.907410440677968</v>
      </c>
      <c r="P25" s="234">
        <f>SUM(P16:P24)</f>
        <v>4805.3894985762718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3927.2448000000009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854.23728813559296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28</v>
      </c>
      <c r="I16" s="235">
        <f>(G16*D16)*F16+H16*F16</f>
        <v>1468.95</v>
      </c>
      <c r="J16" s="271">
        <f>$I16*S16</f>
        <v>117.51600000000001</v>
      </c>
      <c r="K16" s="127">
        <f>$I16*T16</f>
        <v>51.413250000000005</v>
      </c>
      <c r="L16" s="118">
        <f>$I16*U16</f>
        <v>0</v>
      </c>
      <c r="M16" s="229">
        <f>I16-SUM(J16:L16)</f>
        <v>1300.0207500000001</v>
      </c>
      <c r="N16" s="248">
        <f>+(G16*D16+H16)*V16</f>
        <v>277.62711864406765</v>
      </c>
      <c r="O16" s="238">
        <f>(N16+M16)*$O$15</f>
        <v>7.8882393432203388</v>
      </c>
      <c r="P16" s="118">
        <f>M16+N16+O16</f>
        <v>1585.5361079872882</v>
      </c>
      <c r="Q16" s="318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</v>
      </c>
      <c r="I18" s="236">
        <f t="shared" si="0"/>
        <v>1468.95</v>
      </c>
      <c r="J18" s="272">
        <f t="shared" si="1"/>
        <v>117.51600000000001</v>
      </c>
      <c r="K18" s="128">
        <f t="shared" si="1"/>
        <v>51.413250000000005</v>
      </c>
      <c r="L18" s="119">
        <f t="shared" si="1"/>
        <v>0</v>
      </c>
      <c r="M18" s="230">
        <f t="shared" si="2"/>
        <v>1300.0207500000001</v>
      </c>
      <c r="N18" s="277">
        <f t="shared" si="3"/>
        <v>277.62711864406765</v>
      </c>
      <c r="O18" s="239">
        <f t="shared" si="4"/>
        <v>7.8882393432203388</v>
      </c>
      <c r="P18" s="119">
        <f t="shared" si="5"/>
        <v>1585.5361079872882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256</v>
      </c>
      <c r="I25" s="114">
        <f t="shared" si="7"/>
        <v>16658.8</v>
      </c>
      <c r="J25" s="274">
        <f>SUM(J16:J24)</f>
        <v>1332.704</v>
      </c>
      <c r="K25" s="275">
        <f t="shared" si="7"/>
        <v>583.05800000000011</v>
      </c>
      <c r="L25" s="276">
        <f t="shared" si="7"/>
        <v>0</v>
      </c>
      <c r="M25" s="232">
        <f t="shared" si="7"/>
        <v>14743.038</v>
      </c>
      <c r="N25" s="233">
        <f>SUM(N16:N24)</f>
        <v>3148.4745762711864</v>
      </c>
      <c r="O25" s="101">
        <f>SUM(O16:O24)</f>
        <v>89.457562881355926</v>
      </c>
      <c r="P25" s="234">
        <f>SUM(P16:P24)</f>
        <v>17980.970139152545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16658.8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1332.704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583.05800000000011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14743.037999999999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3148.4745762711864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17891.512576271183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89.457562881355912</v>
      </c>
    </row>
    <row r="35" spans="2:16" ht="15.75" customHeight="1" thickBot="1" x14ac:dyDescent="0.4">
      <c r="N35" s="374" t="s">
        <v>88</v>
      </c>
      <c r="O35" s="375"/>
      <c r="P35" s="297">
        <f>+P33+P34</f>
        <v>17980.970139152538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854.23728813559296</v>
      </c>
      <c r="O25" s="101">
        <f>SUM(O16:O24)</f>
        <v>23.907410440677968</v>
      </c>
      <c r="P25" s="234">
        <f>SUM(P16:P24)</f>
        <v>4805.3894985762718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3927.2448000000009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854.23728813559296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22</v>
      </c>
      <c r="I22" s="236">
        <f t="shared" si="0"/>
        <v>863.06000000000006</v>
      </c>
      <c r="J22" s="272">
        <f t="shared" si="1"/>
        <v>43.153000000000006</v>
      </c>
      <c r="K22" s="128">
        <f t="shared" si="1"/>
        <v>30.207100000000004</v>
      </c>
      <c r="L22" s="119">
        <f t="shared" si="1"/>
        <v>44.016060000000003</v>
      </c>
      <c r="M22" s="230">
        <f t="shared" si="2"/>
        <v>745.68384000000003</v>
      </c>
      <c r="N22" s="277">
        <f t="shared" si="3"/>
        <v>167.79661016949143</v>
      </c>
      <c r="O22" s="239">
        <f t="shared" si="4"/>
        <v>4.567402250847457</v>
      </c>
      <c r="P22" s="119">
        <f t="shared" si="5"/>
        <v>918.04785242033881</v>
      </c>
      <c r="Q22" s="319">
        <v>18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22</v>
      </c>
      <c r="I25" s="114">
        <f t="shared" si="7"/>
        <v>863.06000000000006</v>
      </c>
      <c r="J25" s="274">
        <f>SUM(J16:J24)</f>
        <v>43.153000000000006</v>
      </c>
      <c r="K25" s="275">
        <f t="shared" si="7"/>
        <v>30.207100000000004</v>
      </c>
      <c r="L25" s="276">
        <f t="shared" si="7"/>
        <v>44.016060000000003</v>
      </c>
      <c r="M25" s="232">
        <f t="shared" si="7"/>
        <v>745.68384000000003</v>
      </c>
      <c r="N25" s="233">
        <f>SUM(N16:N24)</f>
        <v>167.79661016949143</v>
      </c>
      <c r="O25" s="101">
        <f>SUM(O16:O24)</f>
        <v>4.567402250847457</v>
      </c>
      <c r="P25" s="234">
        <f>SUM(P16:P24)</f>
        <v>918.04785242033881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863.06000000000006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43.153000000000006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74.223160000000007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745.68384000000003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167.79661016949143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913.48045016949141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4.567402250847457</v>
      </c>
    </row>
    <row r="35" spans="2:16" ht="15.75" customHeight="1" thickBot="1" x14ac:dyDescent="0.4">
      <c r="N35" s="374" t="s">
        <v>88</v>
      </c>
      <c r="O35" s="375"/>
      <c r="P35" s="297">
        <f>+P33+P34</f>
        <v>918.04785242033881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1601.3119999999999</v>
      </c>
      <c r="K25" s="275">
        <f t="shared" si="7"/>
        <v>700.57400000000007</v>
      </c>
      <c r="L25" s="276">
        <f t="shared" si="7"/>
        <v>0</v>
      </c>
      <c r="M25" s="232">
        <f t="shared" si="7"/>
        <v>17714.514000000003</v>
      </c>
      <c r="N25" s="233">
        <f>SUM(N16:N24)</f>
        <v>3783.0508474576263</v>
      </c>
      <c r="O25" s="101">
        <f>SUM(O16:O24)</f>
        <v>107.48782423728812</v>
      </c>
      <c r="P25" s="234">
        <f>SUM(P16:P24)</f>
        <v>21605.052671694917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20016.400000000001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1601.3119999999999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700.57400000000007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17714.514000000003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21497.56484745763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107.48782423728815</v>
      </c>
    </row>
    <row r="35" spans="2:16" ht="15.75" customHeight="1" thickBot="1" x14ac:dyDescent="0.4">
      <c r="N35" s="374" t="s">
        <v>88</v>
      </c>
      <c r="O35" s="375"/>
      <c r="P35" s="297">
        <f>+P33+P34</f>
        <v>21605.052671694917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</v>
      </c>
      <c r="I20" s="236">
        <f t="shared" si="0"/>
        <v>2033.92</v>
      </c>
      <c r="J20" s="272">
        <f t="shared" si="1"/>
        <v>162.71360000000001</v>
      </c>
      <c r="K20" s="128">
        <f t="shared" si="1"/>
        <v>71.187200000000004</v>
      </c>
      <c r="L20" s="119">
        <f t="shared" si="1"/>
        <v>0</v>
      </c>
      <c r="M20" s="230">
        <f t="shared" si="2"/>
        <v>1800.0192000000002</v>
      </c>
      <c r="N20" s="277">
        <f t="shared" si="3"/>
        <v>384.40677966101697</v>
      </c>
      <c r="O20" s="239">
        <f t="shared" si="4"/>
        <v>10.922129898305085</v>
      </c>
      <c r="P20" s="119">
        <f t="shared" si="5"/>
        <v>2195.3481095593224</v>
      </c>
      <c r="Q20" s="319">
        <v>12</v>
      </c>
      <c r="R20">
        <f>P20/21</f>
        <v>104.54038616949154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</v>
      </c>
      <c r="I21" s="236">
        <f t="shared" si="0"/>
        <v>2033.92</v>
      </c>
      <c r="J21" s="272">
        <f t="shared" si="1"/>
        <v>162.71360000000001</v>
      </c>
      <c r="K21" s="128">
        <f t="shared" si="1"/>
        <v>71.187200000000004</v>
      </c>
      <c r="L21" s="119">
        <f t="shared" si="1"/>
        <v>0</v>
      </c>
      <c r="M21" s="230">
        <f t="shared" si="2"/>
        <v>1800.0192000000002</v>
      </c>
      <c r="N21" s="277">
        <f t="shared" si="3"/>
        <v>384.40677966101697</v>
      </c>
      <c r="O21" s="239">
        <f t="shared" si="4"/>
        <v>10.922129898305085</v>
      </c>
      <c r="P21" s="119">
        <f t="shared" si="5"/>
        <v>2195.3481095593224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296</v>
      </c>
      <c r="I25" s="114">
        <f t="shared" si="7"/>
        <v>16407.34</v>
      </c>
      <c r="J25" s="274">
        <f>SUM(J16:J24)</f>
        <v>1218.4352000000001</v>
      </c>
      <c r="K25" s="275">
        <f t="shared" si="7"/>
        <v>574.25690000000009</v>
      </c>
      <c r="L25" s="276">
        <f t="shared" si="7"/>
        <v>160.05840000000001</v>
      </c>
      <c r="M25" s="232">
        <f t="shared" si="7"/>
        <v>14454.589500000002</v>
      </c>
      <c r="N25" s="233">
        <f>SUM(N16:N24)</f>
        <v>3117.9661016949144</v>
      </c>
      <c r="O25" s="101">
        <f>SUM(O16:O24)</f>
        <v>87.862778008474578</v>
      </c>
      <c r="P25" s="234">
        <f>SUM(P16:P24)</f>
        <v>17660.418379703391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16407.34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1218.4352000000001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734.31530000000009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14454.5895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3117.9661016949144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17572.555601694916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87.862778008474578</v>
      </c>
    </row>
    <row r="35" spans="2:16" ht="15.75" customHeight="1" thickBot="1" x14ac:dyDescent="0.4">
      <c r="N35" s="374" t="s">
        <v>88</v>
      </c>
      <c r="O35" s="375"/>
      <c r="P35" s="297">
        <f>+P33+P34</f>
        <v>17660.418379703391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 Pendings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2026-09-30T07:19:54Z</dcterms:modified>
</cp:coreProperties>
</file>