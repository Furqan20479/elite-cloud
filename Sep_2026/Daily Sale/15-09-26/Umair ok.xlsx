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ED0F169-5942-4BD6-AC79-6464F5E394D9}" xr6:coauthVersionLast="47" xr6:coauthVersionMax="47" xr10:uidLastSave="{00000000-0000-0000-0000-000000000000}"/>
  <bookViews>
    <workbookView xWindow="-110" yWindow="-110" windowWidth="19420" windowHeight="10420" tabRatio="948" firstSheet="3" activeTab="1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5" l="1"/>
  <c r="N4" i="69"/>
  <c r="N5" i="69" s="1"/>
  <c r="N4" i="65"/>
  <c r="N5" i="65" s="1"/>
  <c r="N4" i="60"/>
  <c r="N4" i="52"/>
  <c r="N4" i="44"/>
  <c r="N4" i="72"/>
  <c r="N5" i="72" s="1"/>
  <c r="N4" i="71"/>
  <c r="N5" i="71" s="1"/>
  <c r="N4" i="54"/>
  <c r="N5" i="54" s="1"/>
  <c r="N4" i="66"/>
  <c r="N5" i="66" s="1"/>
  <c r="N4" i="49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1" l="1"/>
  <c r="M20" i="50"/>
  <c r="O20" i="50" s="1"/>
  <c r="P20" i="50" s="1"/>
  <c r="R20" i="50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<sst xmlns="http://schemas.openxmlformats.org/spreadsheetml/2006/main" count="3948" uniqueCount="527">
  <si>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</si>
  <si>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</si>
  <si>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</si>
  <si>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</si>
  <si>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</si>
  <si>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</si>
  <si>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</si>
  <si>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</si>
  <si>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</si>
  <si>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</si>
  <si>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</si>
  <si>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</si>
  <si>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</si>
  <si>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</si>
  <si>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</si>
  <si>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</si>
  <si>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</si>
  <si>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</si>
  <si>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</si>
  <si>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</si>
  <si>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</si>
  <si>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</si>
  <si>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</si>
  <si>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</si>
  <si>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</si>
  <si>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</si>
  <si>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</si>
  <si>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</si>
  <si>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</si>
  <si>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</si>
  <si>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</si>
  <si>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</si>
  <si>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</si>
  <si>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</si>
  <si>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</si>
  <si>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</si>
  <si>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</si>
  <si>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</si>
  <si>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</si>
  <si>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</si>
  <si>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</si>
  <si>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</si>
  <si>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</si>
  <si>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</si>
  <si>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</si>
  <si>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</si>
  <si>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</si>
  <si>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</si>
  <si>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</si>
  <si>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</si>
  <si>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</si>
  <si>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</si>
  <si>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</si>
  <si>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</si>
  <si>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</si>
  <si>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</si>
  <si>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</si>
  <si>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</si>
  <si>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</si>
  <si>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</si>
  <si>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</si>
  <si>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</si>
  <si>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</si>
  <si>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</si>
  <si>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</si>
  <si>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</si>
  <si>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</si>
  <si>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</si>
  <si>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</si>
  <si>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</si>
  <si>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</si>
  <si>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</si>
  <si>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</si>
  <si>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</si>
  <si>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</si>
  <si>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</si>
  <si>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</si>
  <si>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</si>
  <si>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</si>
  <si>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</si>
  <si>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</si>
  <si>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</si>
  <si>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</si>
  <si>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</si>
  <si>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</si>
  <si>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</si>
  <si>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</si>
  <si>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</si>
  <si>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</si>
  <si>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</si>
  <si>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</si>
  <si>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</si>
  <si>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</si>
  <si>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</si>
  <si>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</si>
  <si>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</si>
  <si>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</si>
  <si>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</si>
  <si>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</si>
  <si>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</si>
  <si>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</si>
  <si>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</si>
  <si>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</si>
  <si>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</si>
  <si>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</si>
  <si>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</si>
  <si>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</si>
  <si>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</si>
  <si>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</si>
  <si>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</si>
  <si>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</si>
  <si>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</si>
  <si>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</si>
  <si>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</si>
  <si>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</si>
  <si>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</si>
  <si>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</si>
  <si>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</si>
  <si>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</si>
  <si>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</si>
  <si>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</si>
  <si>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</si>
  <si>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</si>
  <si>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</si>
  <si>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</si>
  <si>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</si>
  <si>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</si>
  <si>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</si>
  <si>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</si>
  <si>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</si>
  <si>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</si>
  <si>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</si>
  <si>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</si>
  <si>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</si>
  <si>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</si>
  <si>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</si>
  <si>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</si>
  <si>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</si>
  <si>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</si>
  <si>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</si>
  <si>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</si>
  <si>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</si>
  <si>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</si>
  <si>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</si>
  <si>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</si>
  <si>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</si>
  <si>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</si>
  <si>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</si>
  <si>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</si>
  <si>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</si>
  <si>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</si>
  <si>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</si>
  <si>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</si>
  <si>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</si>
  <si>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</si>
  <si>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</si>
  <si>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</si>
  <si>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</si>
  <si>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</si>
  <si>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</si>
  <si>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</si>
  <si>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</si>
  <si>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</si>
  <si>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</si>
  <si>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</si>
  <si>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</si>
  <si>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</si>
  <si>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</si>
  <si>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</si>
  <si>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</si>
  <si>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</si>
  <si>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</si>
  <si>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</si>
  <si>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</si>
  <si>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</si>
  <si>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</si>
  <si>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</si>
  <si>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</si>
  <si>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</si>
  <si>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</si>
  <si>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</si>
  <si>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</si>
  <si>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</si>
  <si>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</si>
  <si>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</si>
  <si>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</si>
  <si>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</si>
  <si>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</si>
  <si>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</si>
  <si>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</si>
  <si>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</si>
  <si>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</si>
  <si>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</si>
  <si>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</si>
  <si>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</si>
  <si>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</si>
  <si>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</si>
  <si>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</si>
  <si>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</si>
  <si>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</si>
  <si>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</si>
  <si>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</si>
  <si>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</si>
  <si>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</si>
  <si>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</si>
  <si>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</si>
  <si>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</si>
  <si>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</si>
  <si>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</si>
  <si>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</si>
  <si>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</si>
  <si>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</si>
  <si>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</si>
  <si>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</si>
  <si>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</si>
  <si>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</si>
  <si>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</si>
  <si>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</si>
  <si>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</si>
  <si>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</si>
  <si>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</si>
  <si>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</si>
  <si>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</si>
  <si>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</si>
  <si>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</si>
  <si>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</si>
  <si>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</si>
  <si>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</si>
  <si>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</si>
  <si>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</si>
  <si>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</si>
  <si>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</si>
  <si>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</si>
  <si>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</si>
  <si>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</si>
  <si>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</si>
  <si>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</si>
  <si>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</si>
  <si>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</si>
  <si>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</si>
  <si>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</si>
  <si>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</si>
  <si>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</si>
  <si>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</si>
  <si>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</si>
  <si>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</si>
  <si>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</si>
  <si>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</si>
  <si>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</si>
  <si>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</si>
  <si>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</si>
  <si>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</si>
  <si>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</si>
  <si>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</si>
  <si>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</si>
  <si>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</si>
  <si>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</si>
  <si>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</si>
  <si>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</si>
  <si>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</si>
  <si>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</si>
  <si>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</si>
  <si>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</si>
  <si>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</si>
  <si>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</si>
  <si>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</si>
  <si>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</si>
  <si>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</si>
  <si>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</si>
  <si>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</si>
  <si>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</si>
  <si>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</si>
  <si>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</si>
  <si>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</si>
  <si>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</si>
  <si>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</si>
  <si>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</si>
  <si>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</si>
  <si>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</si>
  <si>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</si>
  <si>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</si>
  <si>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</si>
  <si>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</si>
  <si>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</si>
  <si>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</si>
  <si>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</si>
  <si>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</si>
  <si>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</si>
  <si>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</si>
  <si>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</si>
  <si>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</si>
  <si>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</si>
  <si>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</si>
  <si>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</si>
  <si>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</si>
  <si>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</si>
  <si>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</si>
  <si>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</si>
  <si>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</si>
  <si>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</si>
  <si>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</si>
  <si>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</si>
  <si>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</si>
  <si>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</si>
  <si>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</si>
  <si>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</si>
  <si>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</si>
  <si>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</si>
  <si>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</si>
  <si>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</si>
  <si>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</si>
  <si>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</si>
  <si>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</si>
  <si>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</si>
  <si>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</si>
  <si>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</si>
  <si>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</si>
  <si>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</si>
  <si>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</si>
  <si>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</si>
  <si>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</si>
  <si>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</si>
  <si>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</si>
  <si>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</si>
  <si>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</si>
  <si>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</si>
  <si>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</si>
  <si>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</si>
  <si>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</si>
  <si>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</si>
  <si>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</si>
  <si>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</si>
  <si>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</si>
  <si>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</si>
  <si>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</si>
  <si>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</si>
  <si>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</si>
  <si>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</si>
  <si>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</si>
  <si>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</si>
  <si>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</si>
  <si>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</si>
  <si>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</si>
  <si>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</si>
  <si>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</si>
  <si>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</si>
  <si>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</si>
  <si>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</si>
  <si>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</si>
  <si>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</si>
  <si>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</si>
  <si>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</si>
  <si>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</si>
  <si>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</si>
  <si>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</si>
  <si>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</si>
  <si>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</si>
  <si>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</si>
  <si>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</si>
  <si>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</si>
  <si>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</si>
  <si>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</si>
  <si>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</si>
  <si>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</si>
  <si>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</si>
  <si>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</si>
  <si>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</si>
  <si>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</si>
  <si>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</si>
  <si>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</si>
  <si>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</si>
  <si>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</si>
  <si>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</si>
  <si>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</si>
  <si>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</si>
  <si>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</si>
  <si>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</si>
  <si>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</si>
  <si>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</si>
  <si>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</si>
  <si>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</si>
  <si>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</si>
  <si>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</si>
  <si>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</si>
  <si>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</si>
  <si>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</si>
  <si>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</si>
  <si>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</si>
  <si>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</si>
  <si>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</si>
  <si>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</si>
  <si>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</si>
  <si>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</si>
  <si>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</si>
  <si>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</si>
  <si>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</si>
  <si>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</si>
  <si>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</si>
  <si>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</si>
  <si>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</si>
  <si>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</si>
  <si>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</si>
  <si>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</si>
  <si>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</si>
  <si>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</si>
  <si>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</si>
  <si>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</si>
  <si>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</si>
  <si>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</si>
  <si>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</si>
  <si>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</si>
  <si>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</si>
  <si>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</si>
  <si>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</si>
  <si>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</si>
  <si>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</si>
  <si>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</si>
  <si>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</si>
  <si>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</si>
  <si>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</si>
  <si>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</si>
  <si>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</si>
  <si>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</si>
  <si>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</si>
  <si>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</si>
  <si>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</si>
  <si>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</si>
  <si>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</si>
  <si>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</si>
  <si>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</si>
  <si>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</si>
  <si>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</si>
  <si>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</si>
  <si>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</si>
  <si>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</si>
  <si>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</si>
  <si>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</si>
  <si>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</si>
  <si>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</si>
  <si>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</si>
  <si>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</si>
  <si>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</si>
  <si>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</si>
  <si>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</si>
  <si>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</si>
  <si>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</si>
  <si>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</si>
  <si>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</si>
  <si>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</si>
  <si>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</si>
  <si>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</si>
  <si>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</si>
  <si>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</si>
  <si>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</si>
  <si>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</si>
  <si>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</si>
  <si>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</si>
  <si>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</si>
  <si>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</si>
  <si>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</si>
  <si>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</si>
  <si>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</si>
  <si>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</si>
  <si>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</si>
  <si>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</si>
  <si>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</si>
  <si>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</si>
  <si>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</si>
  <si>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</si>
  <si>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</si>
  <si>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</si>
  <si>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</si>
  <si>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</si>
  <si>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</si>
  <si>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</si>
  <si>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</si>
  <si>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</si>
  <si>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</si>
  <si>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</si>
  <si>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</si>
  <si>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</si>
  <si>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</si>
  <si>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</si>
  <si>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</si>
  <si>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</si>
  <si>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</si>
  <si>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</si>
  <si>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</si>
  <si>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</si>
  <si>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</si>
  <si>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</si>
  <si>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</si>
  <si>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</si>
  <si>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</si>
  <si>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</si>
  <si>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</si>
  <si>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</si>
  <si>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</si>
  <si>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</si>
  <si>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</si>
  <si>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</si>
  <si>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</si>
  <si>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</si>
  <si>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</si>
  <si>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</si>
  <si>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</si>
  <si>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</si>
  <si>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</si>
  <si>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</si>
  <si>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</si>
  <si>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</si>
  <si>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</si>
  <si>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</si>
  <si>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</si>
  <si>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>Address: Qanchi Bazar</t>
  </si>
  <si>
    <t xml:space="preserve">Somro Bakery </t>
  </si>
  <si>
    <t>SK Store</t>
  </si>
  <si>
    <t xml:space="preserve">Fayaz Kareyana </t>
  </si>
  <si>
    <t xml:space="preserve">Haji Chiragh Deen </t>
  </si>
  <si>
    <t>Hamza GS</t>
  </si>
  <si>
    <t xml:space="preserve">Ks Mart </t>
  </si>
  <si>
    <t>Address: Ghazi Raod</t>
  </si>
  <si>
    <t xml:space="preserve">China Sale Mela </t>
  </si>
  <si>
    <t>Niazi GS</t>
  </si>
  <si>
    <t>Al Hamd Store</t>
  </si>
  <si>
    <t>Husnain Store</t>
  </si>
  <si>
    <t>Marhaba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</si>
</sst>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14" sqref="S1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46280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Somro Bakery </v>
      </c>
      <c r="T3" s="301">
        <f>+'1'!P35</f>
        <v>500.75337404745761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SK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Fayaz Kareyana </v>
      </c>
      <c r="T5" s="301">
        <f>+'3'!P35</f>
        <v>3338.355826983051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Haji Chiragh Deen </v>
      </c>
      <c r="T6" s="301">
        <f>+'4'!P35</f>
        <v>1180.2688488991523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</v>
      </c>
      <c r="I7" s="235">
        <f>(G7*D7)*F7+H7*F7</f>
        <v>314.77499999999998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25.181999999999999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11.017125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278.575875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59.491525423728788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1.6903370021186439</v>
      </c>
      <c r="P7" s="310">
        <f>M7+N7+O7</f>
        <v>339.75773742584744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Hamza GS</v>
      </c>
      <c r="T7" s="301">
        <f>+'5'!P35</f>
        <v>1669.1779134915255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</v>
      </c>
      <c r="I8" s="236">
        <f t="shared" ref="I8:I14" si="0">(G8*D8)*F8+H8*F8</f>
        <v>314.77499999999998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25.181999999999999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11.017125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278.575875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59.491525423728788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1.6903370021186439</v>
      </c>
      <c r="P8" s="311">
        <f t="shared" ref="P8:P15" si="2">M8+N8+O8</f>
        <v>339.75773742584744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Ks Mart </v>
      </c>
      <c r="T8" s="301">
        <f>+'6'!P35</f>
        <v>3338.355826983051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China Sale Mela </v>
      </c>
      <c r="T9" s="301">
        <f>+'7'!P35</f>
        <v>3136.2115850847463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24</v>
      </c>
      <c r="I10" s="236">
        <f t="shared" si="0"/>
        <v>1743.3600000000001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139.46880000000002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61.017600000000002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1542.8736000000001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329.49152542372883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9.3618256271186446</v>
      </c>
      <c r="P10" s="311">
        <f t="shared" si="2"/>
        <v>1881.7269510508474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10</v>
      </c>
      <c r="R10" s="313">
        <v>8</v>
      </c>
      <c r="S10" s="300" t="str">
        <f>+'8'!A6:A6</f>
        <v>Niazi GS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53</v>
      </c>
      <c r="I11" s="236">
        <f t="shared" si="0"/>
        <v>3849.92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307.99360000000001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134.74720000000002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3407.1792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727.62711864406788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20.674031593220342</v>
      </c>
      <c r="P11" s="311">
        <f t="shared" si="2"/>
        <v>4155.4803502372879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15</v>
      </c>
      <c r="R11" s="313">
        <v>9</v>
      </c>
      <c r="S11" s="300" t="str">
        <f>+'9'!A6:A6</f>
        <v>Al Hamd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23</v>
      </c>
      <c r="I12" s="236">
        <f t="shared" si="0"/>
        <v>1670.72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133.6576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58.475200000000001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1478.5871999999999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315.76271186440681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8.9717495593220349</v>
      </c>
      <c r="P12" s="311">
        <f t="shared" si="2"/>
        <v>1803.3216614237288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15</v>
      </c>
      <c r="R12" s="313">
        <v>10</v>
      </c>
      <c r="S12" s="300" t="str">
        <f>+'10'!A6:A6</f>
        <v>Husnain Store</v>
      </c>
      <c r="T12" s="301">
        <f>+'10'!P35</f>
        <v>1669.1779134915255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264</v>
      </c>
      <c r="I13" s="236">
        <f t="shared" si="0"/>
        <v>10356.720000000001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517.83600000000013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362.48520000000008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528.19272000000001</v>
      </c>
      <c r="M13" s="230">
        <f t="shared" si="1"/>
        <v>8948.2060799999999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2013.5593220338972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54.808827010169495</v>
      </c>
      <c r="P13" s="311">
        <f t="shared" si="2"/>
        <v>11016.574229044067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12</v>
      </c>
      <c r="R13" s="313">
        <v>11</v>
      </c>
      <c r="S13" s="300" t="str">
        <f>+'11'!A6:A6</f>
        <v>Marhaba Store</v>
      </c>
      <c r="T13" s="301">
        <f>+'11'!P35</f>
        <v>1568.1057925423729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9.4</v>
      </c>
      <c r="H16" s="113">
        <f t="shared" ref="H16:M16" si="3">SUM(H7:H15)</f>
        <v>376</v>
      </c>
      <c r="I16" s="114">
        <f t="shared" si="3"/>
        <v>18250.27</v>
      </c>
      <c r="J16" s="274">
        <f>SUM(J7:J15)</f>
        <v>1149.3200000000002</v>
      </c>
      <c r="K16" s="275">
        <f t="shared" si="3"/>
        <v>638.75945000000013</v>
      </c>
      <c r="L16" s="276">
        <f t="shared" si="3"/>
        <v>528.19272000000001</v>
      </c>
      <c r="M16" s="232">
        <f t="shared" si="3"/>
        <v>15933.99783</v>
      </c>
      <c r="N16" s="233">
        <f>SUM(N7:N15)</f>
        <v>3505.4237288135582</v>
      </c>
      <c r="O16" s="101">
        <f>SUM(O7:O15)</f>
        <v>97.197107794067804</v>
      </c>
      <c r="P16" s="113">
        <f>SUM(P7:P15)</f>
        <v>19536.618666607625</v>
      </c>
      <c r="Q16" s="128">
        <f>SUM(Q7:Q15)</f>
        <v>52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18250.27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1149.3200000000002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1166.95217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15933.99783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3505.4237288135582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19439.421558813559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97.197107794067804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19536.618666607628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19536.618666607628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12</v>
      </c>
      <c r="I25" s="114">
        <f t="shared" ref="I25:M25" si="10">SUM(I16:I24)</f>
        <v>470.76000000000005</v>
      </c>
      <c r="J25" s="274">
        <f>SUM(J16:J24)</f>
        <v>23.538000000000004</v>
      </c>
      <c r="K25" s="275">
        <f t="shared" si="10"/>
        <v>16.476600000000005</v>
      </c>
      <c r="L25" s="276">
        <f t="shared" si="10"/>
        <v>24.008760000000002</v>
      </c>
      <c r="M25" s="232">
        <f t="shared" si="10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F26" sqref="F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F26" sqref="F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3138.4000000000005</v>
      </c>
      <c r="J25" s="274">
        <f>SUM(J16:J24)</f>
        <v>156.92000000000004</v>
      </c>
      <c r="K25" s="275">
        <f t="shared" si="7"/>
        <v>109.84400000000002</v>
      </c>
      <c r="L25" s="276">
        <f t="shared" si="7"/>
        <v>160.05840000000001</v>
      </c>
      <c r="M25" s="232">
        <f t="shared" si="7"/>
        <v>2711.5776000000005</v>
      </c>
      <c r="N25" s="233">
        <f>SUM(N16:N24)</f>
        <v>610.16949152542338</v>
      </c>
      <c r="O25" s="101">
        <f>SUM(O16:O24)</f>
        <v>16.60873545762712</v>
      </c>
      <c r="P25" s="234">
        <f>SUM(P16:P24)</f>
        <v>3338.355826983051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3138.4000000000005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156.92000000000004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269.90240000000006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2711.5776000000005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610.16949152542338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3321.7470915254239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16.60873545762712</v>
      </c>
    </row>
    <row r="35" spans="2:16" ht="15.75" customHeight="1" thickBot="1" x14ac:dyDescent="0.4">
      <c r="N35" s="374" t="s">
        <v>88</v>
      </c>
      <c r="O35" s="375"/>
      <c r="P35" s="297">
        <f>+P33+P34</f>
        <v>3338.355826983051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F26" sqref="F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1100.31</v>
      </c>
      <c r="J25" s="274">
        <f>SUM(J16:J24)</f>
        <v>73.902000000000001</v>
      </c>
      <c r="K25" s="275">
        <f t="shared" si="7"/>
        <v>38.510850000000005</v>
      </c>
      <c r="L25" s="276">
        <f t="shared" si="7"/>
        <v>24.008760000000002</v>
      </c>
      <c r="M25" s="232">
        <f t="shared" si="7"/>
        <v>963.88839000000007</v>
      </c>
      <c r="N25" s="233">
        <f>SUM(N16:N24)</f>
        <v>210.50847457627108</v>
      </c>
      <c r="O25" s="101">
        <f>SUM(O16:O24)</f>
        <v>5.8719843228813549</v>
      </c>
      <c r="P25" s="234">
        <f>SUM(P16:P24)</f>
        <v>1180.2688488991525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1100.31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73.902000000000001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62.519610000000007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963.88838999999984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210.50847457627108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1174.3968645762709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5.8719843228813549</v>
      </c>
    </row>
    <row r="35" spans="2:16" ht="15.75" customHeight="1" thickBot="1" x14ac:dyDescent="0.4">
      <c r="N35" s="374" t="s">
        <v>88</v>
      </c>
      <c r="O35" s="375"/>
      <c r="P35" s="297">
        <f>+P33+P34</f>
        <v>1180.2688488991523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F26" sqref="F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F26" sqref="F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3138.4000000000005</v>
      </c>
      <c r="J25" s="274">
        <f>SUM(J16:J24)</f>
        <v>156.92000000000004</v>
      </c>
      <c r="K25" s="275">
        <f t="shared" si="7"/>
        <v>109.84400000000002</v>
      </c>
      <c r="L25" s="276">
        <f t="shared" si="7"/>
        <v>160.05840000000001</v>
      </c>
      <c r="M25" s="232">
        <f t="shared" si="7"/>
        <v>2711.5776000000005</v>
      </c>
      <c r="N25" s="233">
        <f>SUM(N16:N24)</f>
        <v>610.16949152542338</v>
      </c>
      <c r="O25" s="101">
        <f>SUM(O16:O24)</f>
        <v>16.60873545762712</v>
      </c>
      <c r="P25" s="234">
        <f>SUM(P16:P24)</f>
        <v>3338.355826983051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3138.4000000000005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156.92000000000004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269.90240000000006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2711.5776000000005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610.16949152542338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3321.7470915254239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16.60873545762712</v>
      </c>
    </row>
    <row r="35" spans="2:16" ht="15.75" customHeight="1" thickBot="1" x14ac:dyDescent="0.4">
      <c r="N35" s="374" t="s">
        <v>88</v>
      </c>
      <c r="O35" s="375"/>
      <c r="P35" s="297">
        <f>+P33+P34</f>
        <v>3338.355826983051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F26" sqref="F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14</v>
      </c>
      <c r="I19" s="236">
        <f t="shared" si="0"/>
        <v>1016.96</v>
      </c>
      <c r="J19" s="272">
        <f t="shared" si="1"/>
        <v>81.356800000000007</v>
      </c>
      <c r="K19" s="128">
        <f t="shared" si="1"/>
        <v>35.593600000000002</v>
      </c>
      <c r="L19" s="119">
        <f t="shared" si="1"/>
        <v>0</v>
      </c>
      <c r="M19" s="230">
        <f t="shared" si="2"/>
        <v>900.00960000000009</v>
      </c>
      <c r="N19" s="277">
        <f t="shared" si="3"/>
        <v>192.20338983050848</v>
      </c>
      <c r="O19" s="239">
        <f t="shared" si="4"/>
        <v>5.4610649491525427</v>
      </c>
      <c r="P19" s="119">
        <f t="shared" si="5"/>
        <v>1097.6740547796612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232.44800000000001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549.15254237288127</v>
      </c>
      <c r="O25" s="101">
        <f>SUM(O16:O24)</f>
        <v>15.603042711864408</v>
      </c>
      <c r="P25" s="234">
        <f>SUM(P16:P24)</f>
        <v>3136.2115850847463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549.15254237288127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9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8" workbookViewId="0">
      <selection activeCell="H21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15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activeCell="F26" sqref="F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abSelected="1" topLeftCell="A6" workbookViewId="0">
      <selection activeCell="F26" sqref="F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2026-09-30T07:17:23Z</dcterms:modified>
</cp:coreProperties>
</file>