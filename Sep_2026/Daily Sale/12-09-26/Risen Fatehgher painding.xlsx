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BA21111-7EB8-4C16-9A2C-13D20B7DB903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<sst xmlns="http://schemas.openxmlformats.org/spreadsheetml/2006/main" count="3947" uniqueCount="524">
  <si>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</si>
  <si>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</si>
  <si>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</si>
  <si>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</si>
  <si>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</si>
  <si>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</si>
  <si>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</si>
  <si>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</si>
  <si>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</si>
  <si>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</si>
  <si>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</si>
  <si>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</si>
  <si>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</si>
  <si>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</si>
  <si>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</si>
  <si>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</si>
  <si>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</si>
  <si>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</si>
  <si>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</si>
  <si>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</si>
  <si>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</si>
  <si>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</si>
  <si>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</si>
  <si>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</si>
  <si>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</si>
  <si>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</si>
  <si>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</si>
  <si>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</si>
  <si>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</si>
  <si>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</si>
  <si>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</si>
  <si>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</si>
  <si>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</si>
  <si>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</si>
  <si>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</si>
  <si>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</si>
  <si>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</si>
  <si>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</si>
  <si>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</si>
  <si>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</si>
  <si>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</si>
  <si>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</si>
  <si>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</si>
  <si>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</si>
  <si>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</si>
  <si>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</si>
  <si>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</si>
  <si>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</si>
  <si>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</si>
  <si>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</si>
  <si>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</si>
  <si>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</si>
  <si>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</si>
  <si>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</si>
  <si>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</si>
  <si>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</si>
  <si>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</si>
  <si>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</si>
  <si>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</si>
  <si>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</si>
  <si>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</si>
  <si>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</si>
  <si>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</si>
  <si>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</si>
  <si>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</si>
  <si>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</si>
  <si>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</si>
  <si>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</si>
  <si>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</si>
  <si>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</si>
  <si>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</si>
  <si>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</si>
  <si>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</si>
  <si>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</si>
  <si>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</si>
  <si>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</si>
  <si>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</si>
  <si>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</si>
  <si>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</si>
  <si>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</si>
  <si>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</si>
  <si>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</si>
  <si>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</si>
  <si>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</si>
  <si>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</si>
  <si>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</si>
  <si>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</si>
  <si>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</si>
  <si>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</si>
  <si>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</si>
  <si>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</si>
  <si>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</si>
  <si>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</si>
  <si>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</si>
  <si>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</si>
  <si>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</si>
  <si>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</si>
  <si>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</si>
  <si>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</si>
  <si>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</si>
  <si>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</si>
  <si>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</si>
  <si>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</si>
  <si>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</si>
  <si>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</si>
  <si>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</si>
  <si>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</si>
  <si>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</si>
  <si>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</si>
  <si>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</si>
  <si>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</si>
  <si>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</si>
  <si>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</si>
  <si>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</si>
  <si>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</si>
  <si>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</si>
  <si>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</si>
  <si>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</si>
  <si>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</si>
  <si>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</si>
  <si>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</si>
  <si>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</si>
  <si>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</si>
  <si>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</si>
  <si>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</si>
  <si>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</si>
  <si>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</si>
  <si>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</si>
  <si>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</si>
  <si>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</si>
  <si>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</si>
  <si>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</si>
  <si>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</si>
  <si>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</si>
  <si>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</si>
  <si>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</si>
  <si>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</si>
  <si>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</si>
  <si>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</si>
  <si>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</si>
  <si>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</si>
  <si>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</si>
  <si>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</si>
  <si>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</si>
  <si>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</si>
  <si>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</si>
  <si>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</si>
  <si>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</si>
  <si>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</si>
  <si>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</si>
  <si>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</si>
  <si>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</si>
  <si>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</si>
  <si>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</si>
  <si>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</si>
  <si>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</si>
  <si>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</si>
  <si>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</si>
  <si>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</si>
  <si>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</si>
  <si>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</si>
  <si>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</si>
  <si>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</si>
  <si>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</si>
  <si>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</si>
  <si>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</si>
  <si>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</si>
  <si>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</si>
  <si>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</si>
  <si>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</si>
  <si>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</si>
  <si>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</si>
  <si>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</si>
  <si>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</si>
  <si>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</si>
  <si>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</si>
  <si>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</si>
  <si>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</si>
  <si>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</si>
  <si>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</si>
  <si>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</si>
  <si>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</si>
  <si>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</si>
  <si>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</si>
  <si>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</si>
  <si>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</si>
  <si>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</si>
  <si>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</si>
  <si>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</si>
  <si>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</si>
  <si>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</si>
  <si>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</si>
  <si>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</si>
  <si>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</si>
  <si>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</si>
  <si>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</si>
  <si>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</si>
  <si>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</si>
  <si>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</si>
  <si>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</si>
  <si>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</si>
  <si>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</si>
  <si>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</si>
  <si>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</si>
  <si>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</si>
  <si>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</si>
  <si>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</si>
  <si>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</si>
  <si>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</si>
  <si>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</si>
  <si>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</si>
  <si>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</si>
  <si>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</si>
  <si>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</si>
  <si>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</si>
  <si>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</si>
  <si>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</si>
  <si>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</si>
  <si>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</si>
  <si>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</si>
  <si>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</si>
  <si>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</si>
  <si>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</si>
  <si>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</si>
  <si>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</si>
  <si>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</si>
  <si>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</si>
  <si>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</si>
  <si>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</si>
  <si>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</si>
  <si>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</si>
  <si>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</si>
  <si>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</si>
  <si>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</si>
  <si>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</si>
  <si>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</si>
  <si>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</si>
  <si>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</si>
  <si>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</si>
  <si>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</si>
  <si>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</si>
  <si>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</si>
  <si>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</si>
  <si>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</si>
  <si>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</si>
  <si>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</si>
  <si>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</si>
  <si>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</si>
  <si>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</si>
  <si>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</si>
  <si>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</si>
  <si>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</si>
  <si>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</si>
  <si>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</si>
  <si>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</si>
  <si>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</si>
  <si>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</si>
  <si>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</si>
  <si>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</si>
  <si>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</si>
  <si>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</si>
  <si>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</si>
  <si>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</si>
  <si>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</si>
  <si>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</si>
  <si>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</si>
  <si>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</si>
  <si>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</si>
  <si>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</si>
  <si>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</si>
  <si>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</si>
  <si>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</si>
  <si>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</si>
  <si>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</si>
  <si>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</si>
  <si>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</si>
  <si>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</si>
  <si>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</si>
  <si>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</si>
  <si>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</si>
  <si>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</si>
  <si>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</si>
  <si>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</si>
  <si>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</si>
  <si>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</si>
  <si>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</si>
  <si>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</si>
  <si>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</si>
  <si>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</si>
  <si>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</si>
  <si>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</si>
  <si>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</si>
  <si>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</si>
  <si>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</si>
  <si>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</si>
  <si>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</si>
  <si>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</si>
  <si>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</si>
  <si>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</si>
  <si>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</si>
  <si>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</si>
  <si>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</si>
  <si>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</si>
  <si>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</si>
  <si>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</si>
  <si>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</si>
  <si>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</si>
  <si>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</si>
  <si>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</si>
  <si>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</si>
  <si>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</si>
  <si>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</si>
  <si>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</si>
  <si>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</si>
  <si>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</si>
  <si>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</si>
  <si>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</si>
  <si>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</si>
  <si>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</si>
  <si>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</si>
  <si>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</si>
  <si>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</si>
  <si>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</si>
  <si>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</si>
  <si>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</si>
  <si>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</si>
  <si>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</si>
  <si>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</si>
  <si>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</si>
  <si>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</si>
  <si>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</si>
  <si>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</si>
  <si>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</si>
  <si>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</si>
  <si>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</si>
  <si>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</si>
  <si>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</si>
  <si>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</si>
  <si>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</si>
  <si>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</si>
  <si>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</si>
  <si>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</si>
  <si>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</si>
  <si>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</si>
  <si>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</si>
  <si>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</si>
  <si>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</si>
  <si>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</si>
  <si>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</si>
  <si>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</si>
  <si>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</si>
  <si>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</si>
  <si>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</si>
  <si>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</si>
  <si>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</si>
  <si>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</si>
  <si>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</si>
  <si>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</si>
  <si>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</si>
  <si>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</si>
  <si>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</si>
  <si>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</si>
  <si>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</si>
  <si>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</si>
  <si>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</si>
  <si>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</si>
  <si>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</si>
  <si>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</si>
  <si>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</si>
  <si>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</si>
  <si>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</si>
  <si>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</si>
  <si>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</si>
  <si>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</si>
  <si>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</si>
  <si>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</si>
  <si>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</si>
  <si>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</si>
  <si>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</si>
  <si>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</si>
  <si>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</si>
  <si>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</si>
  <si>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</si>
  <si>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</si>
  <si>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</si>
  <si>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</si>
  <si>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</si>
  <si>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</si>
  <si>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</si>
  <si>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</si>
  <si>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</si>
  <si>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</si>
  <si>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</si>
  <si>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</si>
  <si>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</si>
  <si>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</si>
  <si>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</si>
  <si>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</si>
  <si>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</si>
  <si>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</si>
  <si>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</si>
  <si>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</si>
  <si>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</si>
  <si>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</si>
  <si>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</si>
  <si>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</si>
  <si>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</si>
  <si>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</si>
  <si>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</si>
  <si>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</si>
  <si>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</si>
  <si>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</si>
  <si>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</si>
  <si>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</si>
  <si>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</si>
  <si>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</si>
  <si>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</si>
  <si>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</si>
  <si>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</si>
  <si>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</si>
  <si>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</si>
  <si>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</si>
  <si>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</si>
  <si>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</si>
  <si>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</si>
  <si>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</si>
  <si>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</si>
  <si>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</si>
  <si>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</si>
  <si>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</si>
  <si>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</si>
  <si>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</si>
  <si>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</si>
  <si>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</si>
  <si>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</si>
  <si>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</si>
  <si>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</si>
  <si>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</si>
  <si>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</si>
  <si>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</si>
  <si>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</si>
  <si>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</si>
  <si>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</si>
  <si>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</si>
  <si>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</si>
  <si>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</si>
  <si>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</si>
  <si>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</si>
  <si>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</si>
  <si>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</si>
  <si>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</si>
  <si>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</si>
  <si>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</si>
  <si>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</si>
  <si>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</si>
  <si>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</si>
  <si>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</si>
  <si>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</si>
  <si>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</si>
  <si>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</si>
  <si>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</si>
  <si>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</si>
  <si>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</si>
  <si>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</si>
  <si>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</si>
  <si>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</si>
  <si>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</si>
  <si>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</si>
  <si>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</si>
  <si>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</si>
  <si>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</si>
  <si>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</si>
  <si>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</si>
  <si>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</si>
  <si>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</si>
  <si>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</si>
  <si>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</si>
  <si>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</si>
  <si>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</si>
  <si>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</si>
  <si>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</si>
  <si>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</si>
  <si>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</si>
  <si>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</si>
  <si>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</si>
  <si>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</si>
  <si>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</si>
  <si>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</si>
  <si>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</si>
  <si>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</si>
  <si>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</si>
  <si>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</si>
  <si>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</si>
  <si>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</si>
  <si>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</si>
  <si>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</si>
  <si>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</si>
  <si>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</si>
  <si>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</si>
  <si>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</si>
  <si>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</si>
  <si>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</si>
  <si>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</si>
  <si>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</si>
  <si>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</si>
  <si>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</si>
  <si>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</si>
  <si>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</si>
  <si>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</si>
  <si>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</si>
  <si>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</si>
  <si>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</si>
  <si>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</si>
  <si>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</si>
  <si>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</si>
  <si>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NTN #: 8822959-7</t>
  </si>
  <si>
    <t>M &amp; M Traders</t>
  </si>
  <si>
    <t>Address: Fatehgher</t>
  </si>
  <si>
    <t xml:space="preserve">Address: Manawan </t>
  </si>
  <si>
    <t>_CB TRADERS</t>
  </si>
  <si>
    <t>NTN #: 4987374-2</t>
  </si>
  <si>
    <t>Invoice No # :11462</t>
  </si>
  <si>
    <t>NTN #:9725069-2</t>
  </si>
  <si>
    <t xml:space="preserve">Rafaqat Sons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</si>
</sst>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46303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Rafaqat Sons </v>
      </c>
      <c r="T3" s="301">
        <f>+'1'!P35</f>
        <v>44415.058576271178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_CB TRADERS</v>
      </c>
      <c r="T4" s="301">
        <f>+'2'!P35</f>
        <v>30046.019440137708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 &amp; M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 &amp; M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118</v>
      </c>
      <c r="I7" s="235">
        <f>(G7*D7)*F7+H7*F7</f>
        <v>6190.5749999999998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866.68050000000005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216.67012500000001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5107.2243749999998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1169.9999999999995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31.386121875000001</v>
      </c>
      <c r="P7" s="310">
        <f>M7+N7+O7</f>
        <v>6308.6104968749996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4">
        <v>5</v>
      </c>
      <c r="S7" s="300" t="str">
        <f>+'5'!A6:A6</f>
        <v>M &amp; M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 &amp; M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 &amp; M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517</v>
      </c>
      <c r="I10" s="236">
        <f t="shared" si="0"/>
        <v>37554.879999999997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5257.6832000000004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1314.4208000000001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30982.775999999998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7097.7966101694919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190.40286305084746</v>
      </c>
      <c r="P10" s="311">
        <f t="shared" si="2"/>
        <v>38270.975473220336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</v>
      </c>
      <c r="R10" s="314">
        <v>8</v>
      </c>
      <c r="S10" s="300" t="str">
        <f>+'8'!A6:A6</f>
        <v>M &amp; M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317</v>
      </c>
      <c r="I11" s="236">
        <f t="shared" si="0"/>
        <v>23026.880000000001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3223.7632000000003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805.94080000000008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18997.175999999999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4352.0338983050851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116.74604949152541</v>
      </c>
      <c r="P11" s="311">
        <f t="shared" si="2"/>
        <v>23465.95594779661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</v>
      </c>
      <c r="R11" s="314">
        <v>9</v>
      </c>
      <c r="S11" s="300" t="str">
        <f>+'9'!A6:A6</f>
        <v>M &amp; M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 &amp; M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 &amp; M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 &amp; M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 &amp; M Traders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26.8</v>
      </c>
      <c r="H16" s="113">
        <f t="shared" ref="H16:M16" si="3">SUM(H7:H15)</f>
        <v>1072</v>
      </c>
      <c r="I16" s="114">
        <f t="shared" si="3"/>
        <v>73067.835000000006</v>
      </c>
      <c r="J16" s="274">
        <f>SUM(J7:J15)</f>
        <v>10229.496900000002</v>
      </c>
      <c r="K16" s="275">
        <f t="shared" si="3"/>
        <v>2557.3742250000005</v>
      </c>
      <c r="L16" s="276">
        <f t="shared" si="3"/>
        <v>0</v>
      </c>
      <c r="M16" s="232">
        <f t="shared" si="3"/>
        <v>60280.963874999994</v>
      </c>
      <c r="N16" s="233">
        <f>SUM(N7:N15)</f>
        <v>13809.661016949154</v>
      </c>
      <c r="O16" s="101">
        <f>SUM(O7:O15)</f>
        <v>370.45312445974577</v>
      </c>
      <c r="P16" s="113">
        <f>SUM(P7:P15)</f>
        <v>74461.078016408894</v>
      </c>
      <c r="Q16" s="128">
        <f>SUM(Q7:Q15)</f>
        <v>8</v>
      </c>
      <c r="R16" s="314">
        <v>14</v>
      </c>
      <c r="S16" s="300" t="str">
        <f>+'14'!A6:A6</f>
        <v>M &amp; M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 &amp; M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 &amp; M Traders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73067.835000000006</v>
      </c>
      <c r="R19" s="299">
        <v>17</v>
      </c>
      <c r="S19" s="300" t="str">
        <f>+'17'!A6:A6</f>
        <v>M &amp; M Traders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10229.496900000002</v>
      </c>
      <c r="R20" s="299">
        <v>18</v>
      </c>
      <c r="S20" s="300" t="str">
        <f>+'18'!A6:A6</f>
        <v>M &amp; M Traders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2557.3742250000005</v>
      </c>
      <c r="R21" s="299">
        <v>19</v>
      </c>
      <c r="S21" s="300" t="str">
        <f>+'19'!A6:A6</f>
        <v>M &amp; M Traders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60280.963875000009</v>
      </c>
      <c r="R22" s="299">
        <v>20</v>
      </c>
      <c r="S22" s="300" t="str">
        <f>+'20'!A6:A6</f>
        <v>M &amp; M Traders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13809.661016949154</v>
      </c>
      <c r="R23" s="299">
        <v>21</v>
      </c>
      <c r="S23" s="300" t="str">
        <f>+'21'!A6:A6</f>
        <v>M &amp; M Traders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74090.624891949163</v>
      </c>
      <c r="R24" s="299">
        <v>22</v>
      </c>
      <c r="S24" s="300" t="str">
        <f>+'22'!A6:A6</f>
        <v>M &amp; M Traders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370.45312445974577</v>
      </c>
      <c r="R25" s="299">
        <v>23</v>
      </c>
      <c r="S25" s="300" t="str">
        <f>+'23'!A6:A6</f>
        <v>M &amp; M Traders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74461.078016408908</v>
      </c>
      <c r="R26" s="299">
        <v>24</v>
      </c>
      <c r="S26" s="300" t="str">
        <f>+'24'!A6:A6</f>
        <v>M &amp; M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M &amp; M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 &amp; M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 &amp; M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 &amp; M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 &amp; M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 &amp; M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74461.078016408894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7.2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4067.8400000000006</v>
      </c>
      <c r="K19" s="128">
        <f t="shared" si="1"/>
        <v>1016.9600000000002</v>
      </c>
      <c r="L19" s="119">
        <f t="shared" si="1"/>
        <v>0</v>
      </c>
      <c r="M19" s="230">
        <f t="shared" si="2"/>
        <v>23971.199999999997</v>
      </c>
      <c r="N19" s="277">
        <f t="shared" si="3"/>
        <v>5491.5254237288136</v>
      </c>
      <c r="O19" s="239">
        <f t="shared" si="4"/>
        <v>147.31362711864406</v>
      </c>
      <c r="P19" s="311">
        <f t="shared" si="5"/>
        <v>29610.039050847456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43584</v>
      </c>
      <c r="J25" s="274">
        <f>SUM(J16:J24)</f>
        <v>6101.7600000000011</v>
      </c>
      <c r="K25" s="275">
        <f t="shared" si="10"/>
        <v>1525.4400000000003</v>
      </c>
      <c r="L25" s="276">
        <f t="shared" si="10"/>
        <v>0</v>
      </c>
      <c r="M25" s="232">
        <f t="shared" si="10"/>
        <v>35956.799999999996</v>
      </c>
      <c r="N25" s="233">
        <f>SUM(N16:N24)</f>
        <v>8237.2881355932204</v>
      </c>
      <c r="O25" s="101">
        <f>SUM(O16:O24)</f>
        <v>220.97044067796611</v>
      </c>
      <c r="P25" s="113">
        <f>SUM(P16:P24)</f>
        <v>44415.058576271185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43584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6101.7600000000011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1525.4400000000003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35956.799999999996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44194.088135593214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220.97044067796608</v>
      </c>
    </row>
    <row r="35" spans="2:16" ht="15.75" customHeight="1" thickBot="1" x14ac:dyDescent="0.4">
      <c r="N35" s="373" t="s">
        <v>88</v>
      </c>
      <c r="O35" s="374"/>
      <c r="P35" s="297">
        <f>+P33+P34</f>
        <v>44415.058576271178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27" sqref="S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520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118</v>
      </c>
      <c r="I16" s="235">
        <f>(G16*D16)*F16+H16*F16</f>
        <v>6190.5749999999998</v>
      </c>
      <c r="J16" s="271">
        <f>$I16*S16</f>
        <v>866.68050000000005</v>
      </c>
      <c r="K16" s="127">
        <f>$I16*T16</f>
        <v>216.67012500000001</v>
      </c>
      <c r="L16" s="118">
        <f>$I16*U16</f>
        <v>0</v>
      </c>
      <c r="M16" s="229">
        <f>I16-SUM(J16:L16)</f>
        <v>5107.2243749999998</v>
      </c>
      <c r="N16" s="248">
        <f>+(G16*D16+H16)*V16</f>
        <v>1169.9999999999995</v>
      </c>
      <c r="O16" s="238">
        <f>(N16+M16)*$O$15</f>
        <v>31.386121875000001</v>
      </c>
      <c r="P16" s="310">
        <f>M16+N16+O16</f>
        <v>6308.6104968749996</v>
      </c>
      <c r="Q16" s="313">
        <v>2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117</v>
      </c>
      <c r="I19" s="236">
        <f t="shared" si="0"/>
        <v>8498.8799999999992</v>
      </c>
      <c r="J19" s="272">
        <f t="shared" si="1"/>
        <v>1189.8432</v>
      </c>
      <c r="K19" s="128">
        <f t="shared" si="1"/>
        <v>297.46080000000001</v>
      </c>
      <c r="L19" s="119">
        <f t="shared" si="1"/>
        <v>0</v>
      </c>
      <c r="M19" s="230">
        <f t="shared" si="2"/>
        <v>7011.5759999999991</v>
      </c>
      <c r="N19" s="277">
        <f t="shared" si="3"/>
        <v>1606.2711864406781</v>
      </c>
      <c r="O19" s="239">
        <f t="shared" si="4"/>
        <v>43.089235932203387</v>
      </c>
      <c r="P19" s="311">
        <f t="shared" si="5"/>
        <v>8660.9364223728808</v>
      </c>
      <c r="Q19" s="156">
        <v>3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117</v>
      </c>
      <c r="I20" s="236">
        <f t="shared" si="0"/>
        <v>8498.8799999999992</v>
      </c>
      <c r="J20" s="272">
        <f t="shared" si="1"/>
        <v>1189.8432</v>
      </c>
      <c r="K20" s="128">
        <f t="shared" si="1"/>
        <v>297.46080000000001</v>
      </c>
      <c r="L20" s="119">
        <f t="shared" si="1"/>
        <v>0</v>
      </c>
      <c r="M20" s="230">
        <f t="shared" si="2"/>
        <v>7011.5759999999991</v>
      </c>
      <c r="N20" s="277">
        <f t="shared" si="3"/>
        <v>1606.2711864406781</v>
      </c>
      <c r="O20" s="239">
        <f t="shared" si="4"/>
        <v>43.089235932203387</v>
      </c>
      <c r="P20" s="311">
        <f t="shared" si="5"/>
        <v>8660.9364223728808</v>
      </c>
      <c r="Q20" s="156">
        <v>3</v>
      </c>
      <c r="R20">
        <f>P20/21</f>
        <v>412.42554392251816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472</v>
      </c>
      <c r="I25" s="114">
        <f t="shared" si="7"/>
        <v>29483.834999999999</v>
      </c>
      <c r="J25" s="274">
        <f>SUM(J16:J24)</f>
        <v>4127.7369000000008</v>
      </c>
      <c r="K25" s="275">
        <f t="shared" si="7"/>
        <v>1031.9342250000002</v>
      </c>
      <c r="L25" s="276">
        <f t="shared" si="7"/>
        <v>0</v>
      </c>
      <c r="M25" s="232">
        <f t="shared" si="7"/>
        <v>24324.163874999998</v>
      </c>
      <c r="N25" s="233">
        <f>SUM(N16:N24)</f>
        <v>5572.3728813559319</v>
      </c>
      <c r="O25" s="101">
        <f>SUM(O16:O24)</f>
        <v>149.48268378177966</v>
      </c>
      <c r="P25" s="113">
        <f>SUM(P16:P24)</f>
        <v>30046.019440137712</v>
      </c>
      <c r="Q25" s="128">
        <f>SUM(Q16:Q24)</f>
        <v>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29483.834999999999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4127.7369000000008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1031.9342250000002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24324.163874999998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5572.3728813559319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29896.53675635593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149.48268378177966</v>
      </c>
    </row>
    <row r="35" spans="2:16" ht="15.75" customHeight="1" thickBot="1" x14ac:dyDescent="0.4">
      <c r="N35" s="373" t="s">
        <v>88</v>
      </c>
      <c r="O35" s="374"/>
      <c r="P35" s="297">
        <f>+P33+P34</f>
        <v>30046.019440137708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2026-10-08T08:51:32Z</dcterms:modified>
</cp:coreProperties>
</file>