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08FBA8C-1968-4163-9DE9-BC3FC9106103}" xr6:coauthVersionLast="47" xr6:coauthVersionMax="47" xr10:uidLastSave="{00000000-0000-0000-0000-000000000000}"/>
  <bookViews>
    <workbookView xWindow="-110" yWindow="-110" windowWidth="19420" windowHeight="10420" tabRatio="872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0" i="46"/>
  <c r="O20" i="46" s="1"/>
  <c r="P20" i="46" s="1"/>
  <c r="R20" i="46" s="1"/>
  <c r="M21" i="53"/>
  <c r="O21" i="53" s="1"/>
  <c r="P21" i="53" s="1"/>
  <c r="M16" i="52"/>
  <c r="M21" i="52"/>
  <c r="O21" i="52" s="1"/>
  <c r="P21" i="52" s="1"/>
  <c r="M17" i="60"/>
  <c r="O17" i="60" s="1"/>
  <c r="P17" i="60" s="1"/>
  <c r="M16" i="66"/>
  <c r="J25" i="61"/>
  <c r="P29" i="61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<sst xmlns="http://schemas.openxmlformats.org/spreadsheetml/2006/main" count="3947" uniqueCount="524">
  <si>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</si>
  <si>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</si>
  <si>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</si>
  <si>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</si>
  <si>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</si>
  <si>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</si>
  <si>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</si>
  <si>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</si>
  <si>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</si>
  <si>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</si>
  <si>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</si>
  <si>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</si>
  <si>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</si>
  <si>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</si>
  <si>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</si>
  <si>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</si>
  <si>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</si>
  <si>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</si>
  <si>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</si>
  <si>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</si>
  <si>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</si>
  <si>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</si>
  <si>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</si>
  <si>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</si>
  <si>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</si>
  <si>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</si>
  <si>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</si>
  <si>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</si>
  <si>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</si>
  <si>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</si>
  <si>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</si>
  <si>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</si>
  <si>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</si>
  <si>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</si>
  <si>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</si>
  <si>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</si>
  <si>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</si>
  <si>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</si>
  <si>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</si>
  <si>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</si>
  <si>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</si>
  <si>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</si>
  <si>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</si>
  <si>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</si>
  <si>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</si>
  <si>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</si>
  <si>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</si>
  <si>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</si>
  <si>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</si>
  <si>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</si>
  <si>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</si>
  <si>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</si>
  <si>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</si>
  <si>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</si>
  <si>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</si>
  <si>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</si>
  <si>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</si>
  <si>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</si>
  <si>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</si>
  <si>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</si>
  <si>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</si>
  <si>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</si>
  <si>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</si>
  <si>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</si>
  <si>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</si>
  <si>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</si>
  <si>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</si>
  <si>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</si>
  <si>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</si>
  <si>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</si>
  <si>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</si>
  <si>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</si>
  <si>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</si>
  <si>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</si>
  <si>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</si>
  <si>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</si>
  <si>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</si>
  <si>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</si>
  <si>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</si>
  <si>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</si>
  <si>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</si>
  <si>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</si>
  <si>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</si>
  <si>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</si>
  <si>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</si>
  <si>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</si>
  <si>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</si>
  <si>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</si>
  <si>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</si>
  <si>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</si>
  <si>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</si>
  <si>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</si>
  <si>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</si>
  <si>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</si>
  <si>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</si>
  <si>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</si>
  <si>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</si>
  <si>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</si>
  <si>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</si>
  <si>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</si>
  <si>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</si>
  <si>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</si>
  <si>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</si>
  <si>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</si>
  <si>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</si>
  <si>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</si>
  <si>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</si>
  <si>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</si>
  <si>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</si>
  <si>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</si>
  <si>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</si>
  <si>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</si>
  <si>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</si>
  <si>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</si>
  <si>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</si>
  <si>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</si>
  <si>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</si>
  <si>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</si>
  <si>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</si>
  <si>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</si>
  <si>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</si>
  <si>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</si>
  <si>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</si>
  <si>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</si>
  <si>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</si>
  <si>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</si>
  <si>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</si>
  <si>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</si>
  <si>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</si>
  <si>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</si>
  <si>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</si>
  <si>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</si>
  <si>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</si>
  <si>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</si>
  <si>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</si>
  <si>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</si>
  <si>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</si>
  <si>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</si>
  <si>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</si>
  <si>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</si>
  <si>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</si>
  <si>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</si>
  <si>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</si>
  <si>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</si>
  <si>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</si>
  <si>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</si>
  <si>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</si>
  <si>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</si>
  <si>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</si>
  <si>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</si>
  <si>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</si>
  <si>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</si>
  <si>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</si>
  <si>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</si>
  <si>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</si>
  <si>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</si>
  <si>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</si>
  <si>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</si>
  <si>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</si>
  <si>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</si>
  <si>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</si>
  <si>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</si>
  <si>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</si>
  <si>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</si>
  <si>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</si>
  <si>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</si>
  <si>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</si>
  <si>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</si>
  <si>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</si>
  <si>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</si>
  <si>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</si>
  <si>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</si>
  <si>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</si>
  <si>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</si>
  <si>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</si>
  <si>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</si>
  <si>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</si>
  <si>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</si>
  <si>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</si>
  <si>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</si>
  <si>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</si>
  <si>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</si>
  <si>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</si>
  <si>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</si>
  <si>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</si>
  <si>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</si>
  <si>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</si>
  <si>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</si>
  <si>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</si>
  <si>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</si>
  <si>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</si>
  <si>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</si>
  <si>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</si>
  <si>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</si>
  <si>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</si>
  <si>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</si>
  <si>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</si>
  <si>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</si>
  <si>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</si>
  <si>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</si>
  <si>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</si>
  <si>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</si>
  <si>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</si>
  <si>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</si>
  <si>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</si>
  <si>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</si>
  <si>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</si>
  <si>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</si>
  <si>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</si>
  <si>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</si>
  <si>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</si>
  <si>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</si>
  <si>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</si>
  <si>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</si>
  <si>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</si>
  <si>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</si>
  <si>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</si>
  <si>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</si>
  <si>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</si>
  <si>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</si>
  <si>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</si>
  <si>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</si>
  <si>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</si>
  <si>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</si>
  <si>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</si>
  <si>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</si>
  <si>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</si>
  <si>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</si>
  <si>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</si>
  <si>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</si>
  <si>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</si>
  <si>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</si>
  <si>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</si>
  <si>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</si>
  <si>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</si>
  <si>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</si>
  <si>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</si>
  <si>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</si>
  <si>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</si>
  <si>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</si>
  <si>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</si>
  <si>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</si>
  <si>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</si>
  <si>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</si>
  <si>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</si>
  <si>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</si>
  <si>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</si>
  <si>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</si>
  <si>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</si>
  <si>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</si>
  <si>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</si>
  <si>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</si>
  <si>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</si>
  <si>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</si>
  <si>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</si>
  <si>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</si>
  <si>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</si>
  <si>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</si>
  <si>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</si>
  <si>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</si>
  <si>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</si>
  <si>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</si>
  <si>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</si>
  <si>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</si>
  <si>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</si>
  <si>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</si>
  <si>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</si>
  <si>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</si>
  <si>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</si>
  <si>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</si>
  <si>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</si>
  <si>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</si>
  <si>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</si>
  <si>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</si>
  <si>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</si>
  <si>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</si>
  <si>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</si>
  <si>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</si>
  <si>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</si>
  <si>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</si>
  <si>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</si>
  <si>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</si>
  <si>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</si>
  <si>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</si>
  <si>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</si>
  <si>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</si>
  <si>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</si>
  <si>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</si>
  <si>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</si>
  <si>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</si>
  <si>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</si>
  <si>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</si>
  <si>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</si>
  <si>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</si>
  <si>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</si>
  <si>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</si>
  <si>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</si>
  <si>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</si>
  <si>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</si>
  <si>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</si>
  <si>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</si>
  <si>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</si>
  <si>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</si>
  <si>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</si>
  <si>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</si>
  <si>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</si>
  <si>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</si>
  <si>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</si>
  <si>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</si>
  <si>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</si>
  <si>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</si>
  <si>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</si>
  <si>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</si>
  <si>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</si>
  <si>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</si>
  <si>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</si>
  <si>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</si>
  <si>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</si>
  <si>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</si>
  <si>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</si>
  <si>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</si>
  <si>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</si>
  <si>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</si>
  <si>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</si>
  <si>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</si>
  <si>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</si>
  <si>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</si>
  <si>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</si>
  <si>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</si>
  <si>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</si>
  <si>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</si>
  <si>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</si>
  <si>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</si>
  <si>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</si>
  <si>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</si>
  <si>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</si>
  <si>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</si>
  <si>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</si>
  <si>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</si>
  <si>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</si>
  <si>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</si>
  <si>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</si>
  <si>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</si>
  <si>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</si>
  <si>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</si>
  <si>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</si>
  <si>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</si>
  <si>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</si>
  <si>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</si>
  <si>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</si>
  <si>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</si>
  <si>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</si>
  <si>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</si>
  <si>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</si>
  <si>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</si>
  <si>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</si>
  <si>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</si>
  <si>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</si>
  <si>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</si>
  <si>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</si>
  <si>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</si>
  <si>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</si>
  <si>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</si>
  <si>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</si>
  <si>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</si>
  <si>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</si>
  <si>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</si>
  <si>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</si>
  <si>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</si>
  <si>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</si>
  <si>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</si>
  <si>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</si>
  <si>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</si>
  <si>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</si>
  <si>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</si>
  <si>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</si>
  <si>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</si>
  <si>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</si>
  <si>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</si>
  <si>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</si>
  <si>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</si>
  <si>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</si>
  <si>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</si>
  <si>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</si>
  <si>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</si>
  <si>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</si>
  <si>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</si>
  <si>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</si>
  <si>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</si>
  <si>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</si>
  <si>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</si>
  <si>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</si>
  <si>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</si>
  <si>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</si>
  <si>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</si>
  <si>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</si>
  <si>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</si>
  <si>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</si>
  <si>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</si>
  <si>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</si>
  <si>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</si>
  <si>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</si>
  <si>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</si>
  <si>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</si>
  <si>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</si>
  <si>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</si>
  <si>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</si>
  <si>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</si>
  <si>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</si>
  <si>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</si>
  <si>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</si>
  <si>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</si>
  <si>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</si>
  <si>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</si>
  <si>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</si>
  <si>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</si>
  <si>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</si>
  <si>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</si>
  <si>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</si>
  <si>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</si>
  <si>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</si>
  <si>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</si>
  <si>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</si>
  <si>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</si>
  <si>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</si>
  <si>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</si>
  <si>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</si>
  <si>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</si>
  <si>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</si>
  <si>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</si>
  <si>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</si>
  <si>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</si>
  <si>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</si>
  <si>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</si>
  <si>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</si>
  <si>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</si>
  <si>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</si>
  <si>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</si>
  <si>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</si>
  <si>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</si>
  <si>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</si>
  <si>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</si>
  <si>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</si>
  <si>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</si>
  <si>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</si>
  <si>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</si>
  <si>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</si>
  <si>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</si>
  <si>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</si>
  <si>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</si>
  <si>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</si>
  <si>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</si>
  <si>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</si>
  <si>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</si>
  <si>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</si>
  <si>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</si>
  <si>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</si>
  <si>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</si>
  <si>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</si>
  <si>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</si>
  <si>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</si>
  <si>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</si>
  <si>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</si>
  <si>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</si>
  <si>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</si>
  <si>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</si>
  <si>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</si>
  <si>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</si>
  <si>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</si>
  <si>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</si>
  <si>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</si>
  <si>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</si>
  <si>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</si>
  <si>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</si>
  <si>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</si>
  <si>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</si>
  <si>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</si>
  <si>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</si>
  <si>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</si>
  <si>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</si>
  <si>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</si>
  <si>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</si>
  <si>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</si>
  <si>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</si>
  <si>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</si>
  <si>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</si>
  <si>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</si>
  <si>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</si>
  <si>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</si>
  <si>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</si>
  <si>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</si>
  <si>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</si>
  <si>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</si>
  <si>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</si>
  <si>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</si>
  <si>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</si>
  <si>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</si>
  <si>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</si>
  <si>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</si>
  <si>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</si>
  <si>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</si>
  <si>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</si>
  <si>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</si>
  <si>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</si>
  <si>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</si>
  <si>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</si>
  <si>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</si>
  <si>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</si>
  <si>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</si>
  <si>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</si>
  <si>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</si>
  <si>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</si>
  <si>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Address:Gajjumata</t>
  </si>
  <si>
    <t>Invoice No # :1566516</t>
  </si>
  <si>
    <t>Rafaqat Sons</t>
  </si>
  <si>
    <t>NTN #: 8822959-7</t>
  </si>
  <si>
    <t>M &amp; M Traders</t>
  </si>
  <si>
    <t>Address: Fatehgher</t>
  </si>
  <si>
    <t xml:space="preserve">Address: Manawan </t>
  </si>
  <si>
    <t>_CB TRADERS</t>
  </si>
  <si>
    <t>NTN #: 4987374-2</t>
  </si>
  <si>
    <t>Invoice No # :11462</t>
  </si>
  <si>
    <t>NTN #:9725069-2</t>
  </si>
  <si>
    <t>MS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</si>
</sst>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10" fontId="18" fillId="0" borderId="42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514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f ca="1">TODAY()</f>
        <v>46279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MS Traders</v>
      </c>
      <c r="T3" s="301">
        <f>+'1'!P35</f>
        <v>44415.058576271178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_CB TRADERS</v>
      </c>
      <c r="T4" s="301">
        <f>+'2'!P35</f>
        <v>30597.09562754237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M &amp; M Traders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 &amp; M Traders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881.37000000000012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5193.7875000000004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31.918090042372878</v>
      </c>
      <c r="P7" s="310">
        <f>M7+N7+O7</f>
        <v>6415.5360985169482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 &amp; M Traders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293.79000000000002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1731.2625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10.639363347457627</v>
      </c>
      <c r="P8" s="311">
        <f t="shared" ref="P8:P15" si="2">M8+N8+O8</f>
        <v>2138.512032838983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 &amp; M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587.58000000000004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3462.5250000000001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21.278726694915253</v>
      </c>
      <c r="P9" s="311">
        <f t="shared" si="2"/>
        <v>4277.0240656779661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 &amp; M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520</v>
      </c>
      <c r="I10" s="236">
        <f t="shared" si="0"/>
        <v>37772.800000000003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5288.1920000000009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1322.0480000000002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31162.560000000001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7138.9830508474579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191.50771525423727</v>
      </c>
      <c r="P10" s="311">
        <f t="shared" si="2"/>
        <v>38493.050766101696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 &amp; M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320</v>
      </c>
      <c r="I11" s="236">
        <f t="shared" si="0"/>
        <v>23244.799999999999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3254.2720000000004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813.5680000000001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19176.96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4393.2203389830511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117.85090169491525</v>
      </c>
      <c r="P11" s="311">
        <f t="shared" si="2"/>
        <v>23688.031240677963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M &amp; M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 &amp; M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M &amp; M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M &amp; M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M &amp; M Traders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27</v>
      </c>
      <c r="H16" s="113">
        <f t="shared" ref="H16:M16" si="3">SUM(H7:H15)</f>
        <v>1080</v>
      </c>
      <c r="I16" s="114">
        <f t="shared" si="3"/>
        <v>73608.600000000006</v>
      </c>
      <c r="J16" s="274">
        <f>SUM(J7:J15)</f>
        <v>10305.204000000002</v>
      </c>
      <c r="K16" s="275">
        <f t="shared" si="3"/>
        <v>2576.3010000000004</v>
      </c>
      <c r="L16" s="276">
        <f t="shared" si="3"/>
        <v>0</v>
      </c>
      <c r="M16" s="232">
        <f t="shared" si="3"/>
        <v>60727.095000000001</v>
      </c>
      <c r="N16" s="233">
        <f>SUM(N7:N15)</f>
        <v>13911.864406779659</v>
      </c>
      <c r="O16" s="101">
        <f>SUM(O7:O15)</f>
        <v>373.19479703389828</v>
      </c>
      <c r="P16" s="113">
        <f>SUM(P7:P15)</f>
        <v>75012.154203813552</v>
      </c>
      <c r="Q16" s="128">
        <f>SUM(Q7:Q15)</f>
        <v>0</v>
      </c>
      <c r="R16" s="314">
        <v>14</v>
      </c>
      <c r="S16" s="300" t="str">
        <f>+'14'!A6:A6</f>
        <v>M &amp; M Traders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 &amp; M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 &amp; M Traders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73608.600000000006</v>
      </c>
      <c r="R19" s="299">
        <v>17</v>
      </c>
      <c r="S19" s="300" t="str">
        <f>+'17'!A6:A6</f>
        <v>M &amp; M Traders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10305.204000000002</v>
      </c>
      <c r="R20" s="299">
        <v>18</v>
      </c>
      <c r="S20" s="300" t="str">
        <f>+'18'!A6:A6</f>
        <v>M &amp; M Traders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2576.3010000000004</v>
      </c>
      <c r="R21" s="299">
        <v>19</v>
      </c>
      <c r="S21" s="300" t="str">
        <f>+'19'!A6:A6</f>
        <v>M &amp; M Traders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60727.095000000008</v>
      </c>
      <c r="R22" s="299">
        <v>20</v>
      </c>
      <c r="S22" s="300" t="str">
        <f>+'20'!A6:A6</f>
        <v>M &amp; M Traders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13911.864406779659</v>
      </c>
      <c r="R23" s="299">
        <v>21</v>
      </c>
      <c r="S23" s="300" t="str">
        <f>+'21'!A6:A6</f>
        <v>M &amp; M Traders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74638.959406779672</v>
      </c>
      <c r="R24" s="299">
        <v>22</v>
      </c>
      <c r="S24" s="300" t="str">
        <f>+'22'!A6:A6</f>
        <v>M &amp; M Traders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373.19479703389828</v>
      </c>
      <c r="R25" s="299">
        <v>23</v>
      </c>
      <c r="S25" s="300" t="str">
        <f>+'23'!A6:A6</f>
        <v>M &amp; M Traders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75012.154203813567</v>
      </c>
      <c r="R26" s="299">
        <v>24</v>
      </c>
      <c r="S26" s="300" t="str">
        <f>+'24'!A6:A6</f>
        <v>M &amp; M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M &amp; M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 &amp; M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 &amp; M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 &amp; M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 &amp; M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 &amp; M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75012.154203813552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4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46276</v>
      </c>
      <c r="O5" s="393"/>
      <c r="P5" s="393"/>
      <c r="R5" s="85"/>
      <c r="S5" s="266"/>
    </row>
    <row r="6" spans="1:22 16383:16384" ht="17.25" customHeight="1" x14ac:dyDescent="0.4">
      <c r="A6" s="399" t="s">
        <v>523</v>
      </c>
      <c r="B6" s="399"/>
      <c r="C6" s="399"/>
      <c r="F6" s="85"/>
      <c r="G6" s="86"/>
      <c r="K6" s="394" t="s">
        <v>69</v>
      </c>
      <c r="L6" s="394"/>
      <c r="M6" s="394"/>
      <c r="N6" s="396" t="s">
        <v>500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522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517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319">
        <v>3.5000000000000003E-2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400</v>
      </c>
      <c r="I19" s="236">
        <f t="shared" si="7"/>
        <v>29056</v>
      </c>
      <c r="J19" s="272">
        <f t="shared" si="1"/>
        <v>4067.8400000000006</v>
      </c>
      <c r="K19" s="128">
        <f t="shared" si="1"/>
        <v>1016.9600000000002</v>
      </c>
      <c r="L19" s="119">
        <f t="shared" si="1"/>
        <v>0</v>
      </c>
      <c r="M19" s="230">
        <f t="shared" si="2"/>
        <v>23971.199999999997</v>
      </c>
      <c r="N19" s="277">
        <f t="shared" si="3"/>
        <v>5491.5254237288136</v>
      </c>
      <c r="O19" s="239">
        <f t="shared" si="4"/>
        <v>147.31362711864406</v>
      </c>
      <c r="P19" s="311">
        <f t="shared" si="5"/>
        <v>29610.039050847456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200</v>
      </c>
      <c r="I20" s="236">
        <f t="shared" si="7"/>
        <v>14528</v>
      </c>
      <c r="J20" s="272">
        <f t="shared" si="1"/>
        <v>2033.9200000000003</v>
      </c>
      <c r="K20" s="128">
        <f t="shared" si="1"/>
        <v>508.48000000000008</v>
      </c>
      <c r="L20" s="119">
        <f t="shared" si="1"/>
        <v>0</v>
      </c>
      <c r="M20" s="230">
        <f t="shared" si="2"/>
        <v>11985.599999999999</v>
      </c>
      <c r="N20" s="277">
        <f t="shared" si="3"/>
        <v>2745.7627118644068</v>
      </c>
      <c r="O20" s="239">
        <f t="shared" si="4"/>
        <v>73.656813559322032</v>
      </c>
      <c r="P20" s="311">
        <f t="shared" si="5"/>
        <v>14805.019525423728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600</v>
      </c>
      <c r="I25" s="114">
        <f t="shared" ref="I25:M25" si="10">SUM(I16:I24)</f>
        <v>43584</v>
      </c>
      <c r="J25" s="274">
        <f>SUM(J16:J24)</f>
        <v>6101.7600000000011</v>
      </c>
      <c r="K25" s="275">
        <f t="shared" si="10"/>
        <v>1525.4400000000003</v>
      </c>
      <c r="L25" s="276">
        <f t="shared" si="10"/>
        <v>0</v>
      </c>
      <c r="M25" s="232">
        <f t="shared" si="10"/>
        <v>35956.799999999996</v>
      </c>
      <c r="N25" s="233">
        <f>SUM(N16:N24)</f>
        <v>8237.2881355932204</v>
      </c>
      <c r="O25" s="101">
        <f>SUM(O16:O24)</f>
        <v>220.97044067796611</v>
      </c>
      <c r="P25" s="113">
        <f>SUM(P16:P24)</f>
        <v>44415.058576271185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43584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6101.7600000000011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1525.4400000000003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35956.799999999996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8237.2881355932204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44194.088135593214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220.97044067796608</v>
      </c>
    </row>
    <row r="35" spans="2:16" ht="15.75" customHeight="1" thickBot="1" x14ac:dyDescent="0.4">
      <c r="N35" s="373" t="s">
        <v>88</v>
      </c>
      <c r="O35" s="374"/>
      <c r="P35" s="297">
        <f>+P33+P34</f>
        <v>44415.058576271178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0" workbookViewId="0">
      <selection activeCell="H26" sqref="H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521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46276</v>
      </c>
      <c r="O5" s="393"/>
      <c r="P5" s="393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">
        <v>502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520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518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881.37000000000012</v>
      </c>
      <c r="K16" s="127">
        <f>$I16*T16</f>
        <v>220.34250000000003</v>
      </c>
      <c r="L16" s="118">
        <f>$I16*U16</f>
        <v>0</v>
      </c>
      <c r="M16" s="229">
        <f>I16-SUM(J16:L16)</f>
        <v>5193.7875000000004</v>
      </c>
      <c r="N16" s="248">
        <f>+(G16*D16+H16)*V16</f>
        <v>1189.8305084745757</v>
      </c>
      <c r="O16" s="238">
        <f>(N16+M16)*$O$15</f>
        <v>31.918090042372878</v>
      </c>
      <c r="P16" s="310">
        <f>M16+N16+O16</f>
        <v>6415.5360985169482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311">
        <f t="shared" si="5"/>
        <v>8883.0117152542352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0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311">
        <f t="shared" si="5"/>
        <v>8883.0117152542352</v>
      </c>
      <c r="Q20" s="156"/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480</v>
      </c>
      <c r="I25" s="114">
        <f t="shared" si="7"/>
        <v>30024.6</v>
      </c>
      <c r="J25" s="274">
        <f>SUM(J16:J24)</f>
        <v>4203.4440000000004</v>
      </c>
      <c r="K25" s="275">
        <f t="shared" si="7"/>
        <v>1050.8610000000001</v>
      </c>
      <c r="L25" s="276">
        <f t="shared" si="7"/>
        <v>0</v>
      </c>
      <c r="M25" s="232">
        <f t="shared" si="7"/>
        <v>24770.294999999998</v>
      </c>
      <c r="N25" s="233">
        <f>SUM(N16:N24)</f>
        <v>5674.57627118644</v>
      </c>
      <c r="O25" s="101">
        <f>SUM(O16:O24)</f>
        <v>152.22435635593217</v>
      </c>
      <c r="P25" s="113">
        <f>SUM(P16:P24)</f>
        <v>30597.095627542367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30024.6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4203.4440000000004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1050.8610000000001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24770.294999999998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5674.57627118644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30444.871271186439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152.2243563559322</v>
      </c>
    </row>
    <row r="35" spans="2:16" ht="15.75" customHeight="1" thickBot="1" x14ac:dyDescent="0.4">
      <c r="N35" s="373" t="s">
        <v>88</v>
      </c>
      <c r="O35" s="374"/>
      <c r="P35" s="297">
        <f>+P33+P34</f>
        <v>30597.09562754237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7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0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46280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46279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2026-09-14T06:18:18Z</dcterms:modified>
</cp:coreProperties>
</file>