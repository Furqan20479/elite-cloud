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4265434-D7CF-478C-A56D-C61415ECA3CF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<sst xmlns="http://schemas.openxmlformats.org/spreadsheetml/2006/main" count="3948" uniqueCount="526">
  <si>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</si>
  <si>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</si>
  <si>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</si>
  <si>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</si>
  <si>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</si>
  <si>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</si>
  <si>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</si>
  <si>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</si>
  <si>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</si>
  <si>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</si>
  <si>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</si>
  <si>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</si>
  <si>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</si>
  <si>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</si>
  <si>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</si>
  <si>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</si>
  <si>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</si>
  <si>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</si>
  <si>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</si>
  <si>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</si>
  <si>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</si>
  <si>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</si>
  <si>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</si>
  <si>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</si>
  <si>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</si>
  <si>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</si>
  <si>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</si>
  <si>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</si>
  <si>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</si>
  <si>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</si>
  <si>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</si>
  <si>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</si>
  <si>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</si>
  <si>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</si>
  <si>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</si>
  <si>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</si>
  <si>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</si>
  <si>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</si>
  <si>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</si>
  <si>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</si>
  <si>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</si>
  <si>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</si>
  <si>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</si>
  <si>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</si>
  <si>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</si>
  <si>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</si>
  <si>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</si>
  <si>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</si>
  <si>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</si>
  <si>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</si>
  <si>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</si>
  <si>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</si>
  <si>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</si>
  <si>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</si>
  <si>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</si>
  <si>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</si>
  <si>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</si>
  <si>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</si>
  <si>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</si>
  <si>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</si>
  <si>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</si>
  <si>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</si>
  <si>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</si>
  <si>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</si>
  <si>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</si>
  <si>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</si>
  <si>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</si>
  <si>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</si>
  <si>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</si>
  <si>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</si>
  <si>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</si>
  <si>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</si>
  <si>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</si>
  <si>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</si>
  <si>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</si>
  <si>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</si>
  <si>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</si>
  <si>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</si>
  <si>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</si>
  <si>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</si>
  <si>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</si>
  <si>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</si>
  <si>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</si>
  <si>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</si>
  <si>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</si>
  <si>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</si>
  <si>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</si>
  <si>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</si>
  <si>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</si>
  <si>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</si>
  <si>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</si>
  <si>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</si>
  <si>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</si>
  <si>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</si>
  <si>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</si>
  <si>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</si>
  <si>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</si>
  <si>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</si>
  <si>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</si>
  <si>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</si>
  <si>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</si>
  <si>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</si>
  <si>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</si>
  <si>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</si>
  <si>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</si>
  <si>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</si>
  <si>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</si>
  <si>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</si>
  <si>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</si>
  <si>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</si>
  <si>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</si>
  <si>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</si>
  <si>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</si>
  <si>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</si>
  <si>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</si>
  <si>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</si>
  <si>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</si>
  <si>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</si>
  <si>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</si>
  <si>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</si>
  <si>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</si>
  <si>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</si>
  <si>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</si>
  <si>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</si>
  <si>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</si>
  <si>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</si>
  <si>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</si>
  <si>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</si>
  <si>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</si>
  <si>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</si>
  <si>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</si>
  <si>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</si>
  <si>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</si>
  <si>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</si>
  <si>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</si>
  <si>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</si>
  <si>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</si>
  <si>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</si>
  <si>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</si>
  <si>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</si>
  <si>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</si>
  <si>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</si>
  <si>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</si>
  <si>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</si>
  <si>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</si>
  <si>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</si>
  <si>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</si>
  <si>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</si>
  <si>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</si>
  <si>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</si>
  <si>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</si>
  <si>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</si>
  <si>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</si>
  <si>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</si>
  <si>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</si>
  <si>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</si>
  <si>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</si>
  <si>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</si>
  <si>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</si>
  <si>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</si>
  <si>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</si>
  <si>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</si>
  <si>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</si>
  <si>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</si>
  <si>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</si>
  <si>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</si>
  <si>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</si>
  <si>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</si>
  <si>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</si>
  <si>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</si>
  <si>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</si>
  <si>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</si>
  <si>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</si>
  <si>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</si>
  <si>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</si>
  <si>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</si>
  <si>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</si>
  <si>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</si>
  <si>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</si>
  <si>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</si>
  <si>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</si>
  <si>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</si>
  <si>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</si>
  <si>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</si>
  <si>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</si>
  <si>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</si>
  <si>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</si>
  <si>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</si>
  <si>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</si>
  <si>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</si>
  <si>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</si>
  <si>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</si>
  <si>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</si>
  <si>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</si>
  <si>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</si>
  <si>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</si>
  <si>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</si>
  <si>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</si>
  <si>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</si>
  <si>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</si>
  <si>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</si>
  <si>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</si>
  <si>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</si>
  <si>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</si>
  <si>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</si>
  <si>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</si>
  <si>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</si>
  <si>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</si>
  <si>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</si>
  <si>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</si>
  <si>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</si>
  <si>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</si>
  <si>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</si>
  <si>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</si>
  <si>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</si>
  <si>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</si>
  <si>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</si>
  <si>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</si>
  <si>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</si>
  <si>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</si>
  <si>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</si>
  <si>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</si>
  <si>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</si>
  <si>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</si>
  <si>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</si>
  <si>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</si>
  <si>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</si>
  <si>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</si>
  <si>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</si>
  <si>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</si>
  <si>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</si>
  <si>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</si>
  <si>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</si>
  <si>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</si>
  <si>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</si>
  <si>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</si>
  <si>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</si>
  <si>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</si>
  <si>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</si>
  <si>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</si>
  <si>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</si>
  <si>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</si>
  <si>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</si>
  <si>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</si>
  <si>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</si>
  <si>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</si>
  <si>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</si>
  <si>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</si>
  <si>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</si>
  <si>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</si>
  <si>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</si>
  <si>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</si>
  <si>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</si>
  <si>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</si>
  <si>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</si>
  <si>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</si>
  <si>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</si>
  <si>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</si>
  <si>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</si>
  <si>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</si>
  <si>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</si>
  <si>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</si>
  <si>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</si>
  <si>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</si>
  <si>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</si>
  <si>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</si>
  <si>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</si>
  <si>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</si>
  <si>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</si>
  <si>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</si>
  <si>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</si>
  <si>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</si>
  <si>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</si>
  <si>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</si>
  <si>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</si>
  <si>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</si>
  <si>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</si>
  <si>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</si>
  <si>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</si>
  <si>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</si>
  <si>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</si>
  <si>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</si>
  <si>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</si>
  <si>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</si>
  <si>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</si>
  <si>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</si>
  <si>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</si>
  <si>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</si>
  <si>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</si>
  <si>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</si>
  <si>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</si>
  <si>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</si>
  <si>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</si>
  <si>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</si>
  <si>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</si>
  <si>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</si>
  <si>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</si>
  <si>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</si>
  <si>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</si>
  <si>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</si>
  <si>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</si>
  <si>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</si>
  <si>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</si>
  <si>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</si>
  <si>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</si>
  <si>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</si>
  <si>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</si>
  <si>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</si>
  <si>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</si>
  <si>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</si>
  <si>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</si>
  <si>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</si>
  <si>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</si>
  <si>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</si>
  <si>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</si>
  <si>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</si>
  <si>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</si>
  <si>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</si>
  <si>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</si>
  <si>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</si>
  <si>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</si>
  <si>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</si>
  <si>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</si>
  <si>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</si>
  <si>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</si>
  <si>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</si>
  <si>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</si>
  <si>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</si>
  <si>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</si>
  <si>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</si>
  <si>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</si>
  <si>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</si>
  <si>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</si>
  <si>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</si>
  <si>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</si>
  <si>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</si>
  <si>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</si>
  <si>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</si>
  <si>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</si>
  <si>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</si>
  <si>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</si>
  <si>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</si>
  <si>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</si>
  <si>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</si>
  <si>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</si>
  <si>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</si>
  <si>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</si>
  <si>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</si>
  <si>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</si>
  <si>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</si>
  <si>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</si>
  <si>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</si>
  <si>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</si>
  <si>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</si>
  <si>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</si>
  <si>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</si>
  <si>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</si>
  <si>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</si>
  <si>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</si>
  <si>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</si>
  <si>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</si>
  <si>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</si>
  <si>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</si>
  <si>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</si>
  <si>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</si>
  <si>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</si>
  <si>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</si>
  <si>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</si>
  <si>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</si>
  <si>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</si>
  <si>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</si>
  <si>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</si>
  <si>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</si>
  <si>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</si>
  <si>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</si>
  <si>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</si>
  <si>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</si>
  <si>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</si>
  <si>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</si>
  <si>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</si>
  <si>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</si>
  <si>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</si>
  <si>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</si>
  <si>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</si>
  <si>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</si>
  <si>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</si>
  <si>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</si>
  <si>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</si>
  <si>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</si>
  <si>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</si>
  <si>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</si>
  <si>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</si>
  <si>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</si>
  <si>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</si>
  <si>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</si>
  <si>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</si>
  <si>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</si>
  <si>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</si>
  <si>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</si>
  <si>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</si>
  <si>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</si>
  <si>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</si>
  <si>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</si>
  <si>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</si>
  <si>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</si>
  <si>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</si>
  <si>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</si>
  <si>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</si>
  <si>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</si>
  <si>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</si>
  <si>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</si>
  <si>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</si>
  <si>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</si>
  <si>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</si>
  <si>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</si>
  <si>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</si>
  <si>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</si>
  <si>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</si>
  <si>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</si>
  <si>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</si>
  <si>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</si>
  <si>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</si>
  <si>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</si>
  <si>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</si>
  <si>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</si>
  <si>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</si>
  <si>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</si>
  <si>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</si>
  <si>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</si>
  <si>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</si>
  <si>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</si>
  <si>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</si>
  <si>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</si>
  <si>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</si>
  <si>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</si>
  <si>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</si>
  <si>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</si>
  <si>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</si>
  <si>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</si>
  <si>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</si>
  <si>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</si>
  <si>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</si>
  <si>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</si>
  <si>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</si>
  <si>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</si>
  <si>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</si>
  <si>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</si>
  <si>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</si>
  <si>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</si>
  <si>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</si>
  <si>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</si>
  <si>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</si>
  <si>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</si>
  <si>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</si>
  <si>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</si>
  <si>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</si>
  <si>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</si>
  <si>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</si>
  <si>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</si>
  <si>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</si>
  <si>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</si>
  <si>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</si>
  <si>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</si>
  <si>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</si>
  <si>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</si>
  <si>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</si>
  <si>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</si>
  <si>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</si>
  <si>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</si>
  <si>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</si>
  <si>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</si>
  <si>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</si>
  <si>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</si>
  <si>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</si>
  <si>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</si>
  <si>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</si>
  <si>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</si>
  <si>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</si>
  <si>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</si>
  <si>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</si>
  <si>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</si>
  <si>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</si>
  <si>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</si>
  <si>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</si>
  <si>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</si>
  <si>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</si>
  <si>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</si>
  <si>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</si>
  <si>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</si>
  <si>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</si>
  <si>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</si>
  <si>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</si>
  <si>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</si>
  <si>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</si>
  <si>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</si>
  <si>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</si>
  <si>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</si>
  <si>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</si>
  <si>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</si>
  <si>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</si>
  <si>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</si>
  <si>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</si>
  <si>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</si>
  <si>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</si>
  <si>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</si>
  <si>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</si>
  <si>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</si>
  <si>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</si>
  <si>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</si>
  <si>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</si>
  <si>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</si>
  <si>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</si>
  <si>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</si>
  <si>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Jabbar</t>
  </si>
  <si>
    <t>Amna Store</t>
  </si>
  <si>
    <t xml:space="preserve">Address: Mozang </t>
  </si>
  <si>
    <t>Muneer Store</t>
  </si>
  <si>
    <t>Arshad Stoere</t>
  </si>
  <si>
    <t xml:space="preserve">Khan Nimko </t>
  </si>
  <si>
    <t>Hafiz Store</t>
  </si>
  <si>
    <t>Al Madina Store</t>
  </si>
  <si>
    <t>Imran Store</t>
  </si>
  <si>
    <t xml:space="preserve">Shane Ahmad </t>
  </si>
  <si>
    <t>Khan Store</t>
  </si>
  <si>
    <t>Data  Store</t>
  </si>
  <si>
    <t xml:space="preserve">Shell Pump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</si>
</sst>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2" workbookViewId="0">
      <selection activeCell="G29" sqref="G2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46277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Amna Store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Muneer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Arshad Stoere</v>
      </c>
      <c r="T5" s="301">
        <f>+'3'!P35</f>
        <v>940.86347552542372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Khan Nimko </v>
      </c>
      <c r="T6" s="301">
        <f>+'4'!P35</f>
        <v>3293.0221643389832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</v>
      </c>
      <c r="I7" s="235">
        <f>(G7*D7)*F7+H7*F7</f>
        <v>314.77499999999998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25.181999999999999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11.017125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278.575875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59.491525423728788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1.6903370021186439</v>
      </c>
      <c r="P7" s="310">
        <f>M7+N7+O7</f>
        <v>339.75773742584744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Hafiz Store</v>
      </c>
      <c r="T7" s="301">
        <f>+'5'!P35</f>
        <v>810.1894751885593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Al Madina Store</v>
      </c>
      <c r="T8" s="301">
        <f>+'6'!P35</f>
        <v>4805.3894985762709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Imran Store</v>
      </c>
      <c r="T9" s="301">
        <f>+'7'!P35</f>
        <v>956.02429366779654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86</v>
      </c>
      <c r="I10" s="236">
        <f t="shared" si="0"/>
        <v>6247.04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499.76319999999998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218.6464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5528.6304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1180.6779661016949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33.546541830508474</v>
      </c>
      <c r="P10" s="311">
        <f t="shared" si="2"/>
        <v>6742.8549079322038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Shane Ahmad </v>
      </c>
      <c r="T10" s="301">
        <f>+'8'!P35</f>
        <v>2402.6947492881354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54</v>
      </c>
      <c r="I11" s="236">
        <f t="shared" si="0"/>
        <v>3922.56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313.8048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137.28960000000001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3471.4656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741.35593220338978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21.064107661016951</v>
      </c>
      <c r="P11" s="311">
        <f t="shared" si="2"/>
        <v>4233.8856398644075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Khan Store</v>
      </c>
      <c r="T11" s="301">
        <f>+'9'!P35</f>
        <v>940.86347552542372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121</v>
      </c>
      <c r="I12" s="236">
        <f t="shared" si="0"/>
        <v>8789.44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703.15520000000004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307.63040000000001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7778.6544000000004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1661.1864406779659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47.199204203389826</v>
      </c>
      <c r="P12" s="311">
        <f t="shared" si="2"/>
        <v>9487.0400448813562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10</v>
      </c>
      <c r="R12" s="313">
        <v>10</v>
      </c>
      <c r="S12" s="300" t="str">
        <f>+'10'!A6:A6</f>
        <v>Data  Store</v>
      </c>
      <c r="T12" s="301">
        <f>+'10'!P35</f>
        <v>3136.2115850847463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106</v>
      </c>
      <c r="I13" s="236">
        <f t="shared" si="0"/>
        <v>4158.38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207.91900000000004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145.54330000000004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212.07738000000001</v>
      </c>
      <c r="M13" s="230">
        <f t="shared" si="1"/>
        <v>3592.8403200000002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808.47457627118592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22.006574481355933</v>
      </c>
      <c r="P13" s="311">
        <f t="shared" si="2"/>
        <v>4423.3214707525412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Shell Pump </v>
      </c>
      <c r="T13" s="301">
        <f>+'11'!P35</f>
        <v>4805.3894985762709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9.3249999999999993</v>
      </c>
      <c r="H16" s="113">
        <f t="shared" ref="H16:M16" si="3">SUM(H7:H15)</f>
        <v>373</v>
      </c>
      <c r="I16" s="114">
        <f t="shared" si="3"/>
        <v>23432.195000000003</v>
      </c>
      <c r="J16" s="274">
        <f>SUM(J7:J15)</f>
        <v>1749.8242000000002</v>
      </c>
      <c r="K16" s="275">
        <f t="shared" si="3"/>
        <v>820.12682500000005</v>
      </c>
      <c r="L16" s="276">
        <f t="shared" si="3"/>
        <v>212.07738000000001</v>
      </c>
      <c r="M16" s="232">
        <f t="shared" si="3"/>
        <v>20650.166594999999</v>
      </c>
      <c r="N16" s="233">
        <f>SUM(N7:N15)</f>
        <v>4451.1864406779659</v>
      </c>
      <c r="O16" s="101">
        <f>SUM(O7:O15)</f>
        <v>125.50676517838983</v>
      </c>
      <c r="P16" s="113">
        <f>SUM(P7:P15)</f>
        <v>25226.859800856357</v>
      </c>
      <c r="Q16" s="128">
        <f>SUM(Q7:Q15)</f>
        <v>10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23432.195000000003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1749.8242000000002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1032.204205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20650.166595000002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4451.1864406779659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25101.353035677967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125.50676517838983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25226.859800856357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25226.859800856357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232.44799999999998</v>
      </c>
      <c r="K25" s="275">
        <f t="shared" si="10"/>
        <v>101.696</v>
      </c>
      <c r="L25" s="276">
        <f t="shared" si="10"/>
        <v>0</v>
      </c>
      <c r="M25" s="232">
        <f t="shared" si="10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9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30.508800000000001</v>
      </c>
      <c r="L25" s="276">
        <f t="shared" si="7"/>
        <v>0</v>
      </c>
      <c r="M25" s="232">
        <f t="shared" si="7"/>
        <v>771.43679999999995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871.68000000000006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69.734400000000008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30.508800000000001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771.43680000000006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936.18256271186442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5" t="s">
        <v>88</v>
      </c>
      <c r="O35" s="346"/>
      <c r="P35" s="297">
        <f>+P33+P34</f>
        <v>940.86347552542372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</v>
      </c>
      <c r="I19" s="236">
        <f t="shared" si="0"/>
        <v>1162.24</v>
      </c>
      <c r="J19" s="272">
        <f t="shared" si="1"/>
        <v>92.979200000000006</v>
      </c>
      <c r="K19" s="128">
        <f t="shared" si="1"/>
        <v>40.678400000000003</v>
      </c>
      <c r="L19" s="119">
        <f t="shared" si="1"/>
        <v>0</v>
      </c>
      <c r="M19" s="230">
        <f t="shared" si="2"/>
        <v>1028.5824</v>
      </c>
      <c r="N19" s="277">
        <f t="shared" si="3"/>
        <v>219.66101694915255</v>
      </c>
      <c r="O19" s="239">
        <f t="shared" si="4"/>
        <v>6.2412170847457631</v>
      </c>
      <c r="P19" s="119">
        <f t="shared" si="5"/>
        <v>1254.4846340338984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16</v>
      </c>
      <c r="I21" s="236">
        <f t="shared" si="0"/>
        <v>1162.24</v>
      </c>
      <c r="J21" s="272">
        <f t="shared" si="1"/>
        <v>92.979200000000006</v>
      </c>
      <c r="K21" s="128">
        <f t="shared" si="1"/>
        <v>40.678400000000003</v>
      </c>
      <c r="L21" s="119">
        <f t="shared" si="1"/>
        <v>0</v>
      </c>
      <c r="M21" s="230">
        <f t="shared" si="2"/>
        <v>1028.5824</v>
      </c>
      <c r="N21" s="277">
        <f t="shared" si="3"/>
        <v>219.66101694915255</v>
      </c>
      <c r="O21" s="239">
        <f t="shared" si="4"/>
        <v>6.2412170847457631</v>
      </c>
      <c r="P21" s="119">
        <f t="shared" si="5"/>
        <v>1254.4846340338984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42</v>
      </c>
      <c r="I25" s="114">
        <f t="shared" si="7"/>
        <v>3050.88</v>
      </c>
      <c r="J25" s="274">
        <f>SUM(J16:J24)</f>
        <v>244.07040000000001</v>
      </c>
      <c r="K25" s="275">
        <f t="shared" si="7"/>
        <v>106.7808</v>
      </c>
      <c r="L25" s="276">
        <f t="shared" si="7"/>
        <v>0</v>
      </c>
      <c r="M25" s="232">
        <f t="shared" si="7"/>
        <v>2700.0288</v>
      </c>
      <c r="N25" s="233">
        <f>SUM(N16:N24)</f>
        <v>576.61016949152543</v>
      </c>
      <c r="O25" s="101">
        <f>SUM(O16:O24)</f>
        <v>16.383194847457627</v>
      </c>
      <c r="P25" s="234">
        <f>SUM(P16:P24)</f>
        <v>3293.0221643389832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3050.88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244.07040000000001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106.7808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2700.0288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576.61016949152543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3276.6389694915256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16.383194847457627</v>
      </c>
    </row>
    <row r="35" spans="2:16" ht="15.75" customHeight="1" thickBot="1" x14ac:dyDescent="0.4">
      <c r="N35" s="345" t="s">
        <v>88</v>
      </c>
      <c r="O35" s="346"/>
      <c r="P35" s="297">
        <f>+P33+P34</f>
        <v>3293.0221643389832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2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750.61500000000001</v>
      </c>
      <c r="J25" s="274">
        <f>SUM(J16:J24)</f>
        <v>60.049199999999999</v>
      </c>
      <c r="K25" s="275">
        <f t="shared" si="7"/>
        <v>26.271525000000004</v>
      </c>
      <c r="L25" s="276">
        <f t="shared" si="7"/>
        <v>0</v>
      </c>
      <c r="M25" s="232">
        <f t="shared" si="7"/>
        <v>664.29427499999997</v>
      </c>
      <c r="N25" s="233">
        <f>SUM(N16:N24)</f>
        <v>141.86440677966101</v>
      </c>
      <c r="O25" s="101">
        <f>SUM(O16:O24)</f>
        <v>4.0307934088983046</v>
      </c>
      <c r="P25" s="234">
        <f>SUM(P16:P24)</f>
        <v>810.1894751885593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750.61500000000001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60.049199999999999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26.271525000000004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664.29427499999997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141.86440677966101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806.15868177966104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4.0307934088983055</v>
      </c>
    </row>
    <row r="35" spans="2:16" ht="15.75" customHeight="1" thickBot="1" x14ac:dyDescent="0.4">
      <c r="N35" s="345" t="s">
        <v>88</v>
      </c>
      <c r="O35" s="346"/>
      <c r="P35" s="297">
        <f>+P33+P34</f>
        <v>810.1894751885593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156.61799999999999</v>
      </c>
      <c r="L25" s="276">
        <f t="shared" si="7"/>
        <v>80.029200000000003</v>
      </c>
      <c r="M25" s="232">
        <f t="shared" si="7"/>
        <v>3927.2447999999999</v>
      </c>
      <c r="N25" s="233">
        <f>SUM(N16:N24)</f>
        <v>854.23728813559308</v>
      </c>
      <c r="O25" s="101">
        <f>SUM(O16:O24)</f>
        <v>23.907410440677968</v>
      </c>
      <c r="P25" s="234">
        <f>SUM(P16:P24)</f>
        <v>4805.3894985762709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4474.8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310.90800000000002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236.6472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3927.2447999999999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4781.4820881355927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45" t="s">
        <v>88</v>
      </c>
      <c r="O35" s="346"/>
      <c r="P35" s="297">
        <f>+P33+P34</f>
        <v>4805.3894985762709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119">
        <f t="shared" si="5"/>
        <v>235.21586888135593</v>
      </c>
      <c r="Q20" s="319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119">
        <f t="shared" si="5"/>
        <v>250.37668702372881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15</v>
      </c>
      <c r="I25" s="114">
        <f t="shared" si="7"/>
        <v>889.14</v>
      </c>
      <c r="J25" s="274">
        <f>SUM(J16:J24)</f>
        <v>64.069800000000015</v>
      </c>
      <c r="K25" s="275">
        <f t="shared" si="7"/>
        <v>31.119900000000005</v>
      </c>
      <c r="L25" s="276">
        <f t="shared" si="7"/>
        <v>12.004380000000001</v>
      </c>
      <c r="M25" s="232">
        <f t="shared" si="7"/>
        <v>781.94592000000011</v>
      </c>
      <c r="N25" s="233">
        <f>SUM(N16:N24)</f>
        <v>169.32203389830505</v>
      </c>
      <c r="O25" s="101">
        <f>SUM(O16:O24)</f>
        <v>4.7563397694915253</v>
      </c>
      <c r="P25" s="234">
        <f>SUM(P16:P24)</f>
        <v>956.02429366779654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889.14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64.069800000000015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43.124280000000006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781.94592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169.32203389830505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951.267953898305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4.7563397694915253</v>
      </c>
    </row>
    <row r="35" spans="2:16" ht="15.75" customHeight="1" thickBot="1" x14ac:dyDescent="0.4">
      <c r="N35" s="345" t="s">
        <v>88</v>
      </c>
      <c r="O35" s="346"/>
      <c r="P35" s="297">
        <f>+P33+P34</f>
        <v>956.02429366779654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2237.4</v>
      </c>
      <c r="J25" s="274">
        <f>SUM(J16:J24)</f>
        <v>155.45400000000001</v>
      </c>
      <c r="K25" s="275">
        <f t="shared" si="7"/>
        <v>78.309000000000012</v>
      </c>
      <c r="L25" s="276">
        <f t="shared" si="7"/>
        <v>40.014600000000002</v>
      </c>
      <c r="M25" s="232">
        <f t="shared" si="7"/>
        <v>1963.6224000000002</v>
      </c>
      <c r="N25" s="233">
        <f>SUM(N16:N24)</f>
        <v>427.11864406779654</v>
      </c>
      <c r="O25" s="101">
        <f>SUM(O16:O24)</f>
        <v>11.953705220338984</v>
      </c>
      <c r="P25" s="234">
        <f>SUM(P16:P24)</f>
        <v>2402.6947492881354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2237.4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155.45400000000001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118.32360000000001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1963.6224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427.11864406779654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2390.7410440677963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11.953705220338982</v>
      </c>
    </row>
    <row r="35" spans="2:16" ht="15.75" customHeight="1" thickBot="1" x14ac:dyDescent="0.4">
      <c r="N35" s="345" t="s">
        <v>88</v>
      </c>
      <c r="O35" s="346"/>
      <c r="P35" s="297">
        <f>+P33+P34</f>
        <v>2402.6947492881354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30.508800000000001</v>
      </c>
      <c r="L25" s="276">
        <f t="shared" si="7"/>
        <v>0</v>
      </c>
      <c r="M25" s="232">
        <f t="shared" si="7"/>
        <v>771.43679999999995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871.68000000000006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69.734400000000008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30.508800000000001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771.43680000000006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936.18256271186442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5" t="s">
        <v>88</v>
      </c>
      <c r="O35" s="346"/>
      <c r="P35" s="297">
        <f>+P33+P34</f>
        <v>940.86347552542372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3136.2115850847463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234">
        <f>SUM(P16:P24)</f>
        <v>4805.3894985762709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4474.8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310.90800000000002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236.64720000000003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3927.2447999999999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4781.4820881355927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45" t="s">
        <v>88</v>
      </c>
      <c r="O35" s="346"/>
      <c r="P35" s="297">
        <f>+P33+P34</f>
        <v>4805.3894985762709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46280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46279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2026-09-14T04:27:09Z</dcterms:modified>
</cp:coreProperties>
</file>