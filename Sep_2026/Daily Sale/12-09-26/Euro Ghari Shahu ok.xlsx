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8A75339-8414-4AC0-B634-299B69884F4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<sst xmlns="http://schemas.openxmlformats.org/spreadsheetml/2006/main" count="3977" uniqueCount="522">
  <si>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</si>
  <si>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</si>
  <si>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</si>
  <si>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</si>
  <si>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</si>
  <si>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</si>
  <si>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</si>
  <si>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</si>
  <si>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</si>
  <si>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</si>
  <si>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</si>
  <si>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</si>
  <si>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</si>
  <si>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</si>
  <si>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</si>
  <si>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</si>
  <si>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</si>
  <si>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</si>
  <si>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</si>
  <si>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</si>
  <si>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</si>
  <si>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</si>
  <si>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</si>
  <si>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</si>
  <si>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</si>
  <si>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</si>
  <si>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</si>
  <si>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</si>
  <si>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</si>
  <si>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</si>
  <si>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</si>
  <si>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</si>
  <si>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</si>
  <si>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</si>
  <si>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</si>
  <si>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</si>
  <si>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</si>
  <si>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</si>
  <si>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</si>
  <si>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</si>
  <si>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</si>
  <si>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</si>
  <si>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</si>
  <si>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</si>
  <si>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</si>
  <si>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</si>
  <si>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</si>
  <si>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</si>
  <si>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</si>
  <si>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</si>
  <si>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</si>
  <si>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</si>
  <si>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</si>
  <si>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</si>
  <si>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</si>
  <si>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</si>
  <si>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</si>
  <si>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</si>
  <si>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</si>
  <si>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</si>
  <si>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</si>
  <si>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</si>
  <si>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</si>
  <si>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</si>
  <si>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</si>
  <si>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</si>
  <si>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</si>
  <si>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</si>
  <si>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</si>
  <si>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</si>
  <si>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</si>
  <si>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</si>
  <si>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</si>
  <si>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</si>
  <si>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</si>
  <si>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</si>
  <si>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</si>
  <si>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</si>
  <si>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</si>
  <si>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</si>
  <si>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</si>
  <si>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</si>
  <si>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</si>
  <si>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</si>
  <si>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</si>
  <si>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</si>
  <si>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</si>
  <si>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</si>
  <si>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</si>
  <si>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</si>
  <si>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</si>
  <si>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</si>
  <si>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</si>
  <si>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</si>
  <si>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</si>
  <si>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</si>
  <si>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</si>
  <si>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</si>
  <si>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</si>
  <si>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</si>
  <si>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</si>
  <si>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</si>
  <si>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</si>
  <si>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</si>
  <si>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</si>
  <si>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</si>
  <si>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</si>
  <si>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</si>
  <si>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</si>
  <si>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</si>
  <si>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</si>
  <si>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</si>
  <si>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</si>
  <si>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</si>
  <si>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</si>
  <si>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</si>
  <si>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</si>
  <si>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</si>
  <si>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</si>
  <si>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</si>
  <si>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</si>
  <si>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</si>
  <si>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</si>
  <si>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</si>
  <si>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</si>
  <si>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</si>
  <si>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</si>
  <si>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</si>
  <si>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</si>
  <si>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</si>
  <si>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</si>
  <si>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</si>
  <si>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</si>
  <si>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</si>
  <si>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</si>
  <si>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</si>
  <si>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</si>
  <si>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</si>
  <si>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</si>
  <si>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</si>
  <si>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</si>
  <si>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</si>
  <si>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</si>
  <si>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</si>
  <si>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</si>
  <si>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</si>
  <si>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</si>
  <si>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</si>
  <si>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</si>
  <si>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</si>
  <si>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</si>
  <si>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</si>
  <si>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</si>
  <si>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</si>
  <si>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</si>
  <si>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</si>
  <si>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</si>
  <si>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</si>
  <si>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</si>
  <si>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</si>
  <si>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</si>
  <si>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</si>
  <si>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</si>
  <si>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</si>
  <si>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</si>
  <si>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</si>
  <si>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</si>
  <si>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</si>
  <si>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</si>
  <si>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</si>
  <si>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</si>
  <si>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</si>
  <si>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</si>
  <si>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</si>
  <si>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</si>
  <si>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</si>
  <si>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</si>
  <si>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</si>
  <si>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</si>
  <si>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</si>
  <si>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</si>
  <si>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</si>
  <si>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</si>
  <si>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</si>
  <si>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</si>
  <si>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</si>
  <si>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</si>
  <si>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</si>
  <si>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</si>
  <si>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</si>
  <si>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</si>
  <si>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</si>
  <si>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</si>
  <si>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</si>
  <si>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</si>
  <si>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</si>
  <si>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</si>
  <si>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</si>
  <si>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</si>
  <si>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</si>
  <si>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</si>
  <si>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</si>
  <si>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</si>
  <si>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</si>
  <si>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</si>
  <si>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</si>
  <si>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</si>
  <si>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</si>
  <si>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</si>
  <si>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</si>
  <si>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</si>
  <si>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</si>
  <si>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</si>
  <si>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</si>
  <si>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</si>
  <si>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</si>
  <si>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</si>
  <si>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</si>
  <si>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</si>
  <si>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</si>
  <si>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</si>
  <si>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</si>
  <si>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</si>
  <si>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</si>
  <si>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</si>
  <si>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</si>
  <si>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</si>
  <si>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</si>
  <si>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</si>
  <si>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</si>
  <si>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</si>
  <si>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</si>
  <si>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</si>
  <si>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</si>
  <si>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</si>
  <si>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</si>
  <si>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</si>
  <si>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</si>
  <si>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</si>
  <si>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</si>
  <si>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</si>
  <si>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</si>
  <si>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</si>
  <si>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</si>
  <si>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</si>
  <si>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</si>
  <si>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</si>
  <si>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</si>
  <si>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</si>
  <si>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</si>
  <si>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</si>
  <si>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</si>
  <si>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</si>
  <si>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</si>
  <si>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</si>
  <si>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</si>
  <si>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</si>
  <si>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</si>
  <si>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</si>
  <si>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</si>
  <si>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</si>
  <si>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</si>
  <si>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</si>
  <si>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</si>
  <si>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</si>
  <si>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</si>
  <si>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</si>
  <si>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</si>
  <si>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</si>
  <si>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</si>
  <si>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</si>
  <si>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</si>
  <si>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</si>
  <si>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</si>
  <si>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</si>
  <si>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</si>
  <si>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</si>
  <si>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</si>
  <si>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</si>
  <si>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</si>
  <si>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</si>
  <si>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</si>
  <si>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</si>
  <si>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</si>
  <si>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</si>
  <si>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</si>
  <si>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</si>
  <si>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</si>
  <si>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</si>
  <si>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</si>
  <si>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</si>
  <si>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</si>
  <si>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</si>
  <si>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</si>
  <si>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</si>
  <si>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</si>
  <si>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</si>
  <si>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</si>
  <si>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</si>
  <si>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</si>
  <si>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</si>
  <si>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</si>
  <si>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</si>
  <si>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</si>
  <si>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</si>
  <si>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</si>
  <si>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</si>
  <si>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</si>
  <si>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</si>
  <si>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</si>
  <si>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</si>
  <si>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</si>
  <si>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</si>
  <si>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</si>
  <si>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</si>
  <si>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</si>
  <si>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</si>
  <si>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</si>
  <si>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</si>
  <si>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</si>
  <si>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</si>
  <si>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</si>
  <si>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</si>
  <si>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</si>
  <si>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</si>
  <si>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</si>
  <si>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</si>
  <si>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</si>
  <si>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</si>
  <si>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</si>
  <si>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</si>
  <si>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</si>
  <si>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</si>
  <si>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</si>
  <si>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</si>
  <si>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</si>
  <si>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</si>
  <si>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</si>
  <si>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</si>
  <si>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</si>
  <si>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</si>
  <si>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</si>
  <si>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</si>
  <si>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</si>
  <si>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</si>
  <si>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</si>
  <si>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</si>
  <si>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</si>
  <si>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</si>
  <si>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</si>
  <si>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</si>
  <si>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</si>
  <si>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</si>
  <si>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</si>
  <si>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</si>
  <si>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</si>
  <si>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</si>
  <si>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</si>
  <si>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</si>
  <si>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</si>
  <si>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</si>
  <si>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</si>
  <si>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</si>
  <si>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</si>
  <si>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</si>
  <si>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</si>
  <si>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</si>
  <si>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</si>
  <si>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</si>
  <si>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</si>
  <si>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</si>
  <si>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</si>
  <si>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</si>
  <si>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</si>
  <si>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</si>
  <si>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</si>
  <si>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</si>
  <si>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</si>
  <si>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</si>
  <si>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</si>
  <si>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</si>
  <si>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</si>
  <si>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</si>
  <si>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</si>
  <si>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</si>
  <si>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</si>
  <si>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</si>
  <si>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</si>
  <si>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</si>
  <si>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</si>
  <si>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</si>
  <si>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</si>
  <si>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</si>
  <si>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</si>
  <si>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</si>
  <si>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</si>
  <si>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</si>
  <si>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</si>
  <si>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</si>
  <si>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</si>
  <si>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</si>
  <si>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</si>
  <si>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</si>
  <si>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</si>
  <si>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</si>
  <si>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</si>
  <si>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</si>
  <si>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</si>
  <si>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</si>
  <si>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</si>
  <si>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</si>
  <si>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</si>
  <si>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</si>
  <si>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</si>
  <si>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</si>
  <si>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</si>
  <si>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</si>
  <si>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</si>
  <si>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</si>
  <si>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</si>
  <si>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</si>
  <si>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</si>
  <si>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</si>
  <si>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</si>
  <si>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</si>
  <si>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</si>
  <si>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</si>
  <si>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</si>
  <si>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</si>
  <si>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</si>
  <si>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</si>
  <si>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</si>
  <si>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</si>
  <si>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</si>
  <si>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</si>
  <si>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</si>
  <si>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</si>
  <si>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</si>
  <si>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</si>
  <si>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</si>
  <si>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</si>
  <si>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</si>
  <si>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</si>
  <si>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</si>
  <si>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</si>
  <si>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</si>
  <si>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</si>
  <si>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</si>
  <si>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</si>
  <si>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</si>
  <si>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</si>
  <si>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</si>
  <si>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</si>
  <si>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</si>
  <si>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</si>
  <si>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</si>
  <si>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</si>
  <si>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</si>
  <si>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</si>
  <si>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</si>
  <si>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</si>
  <si>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</si>
  <si>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</si>
  <si>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</si>
  <si>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</si>
  <si>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</si>
  <si>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</si>
  <si>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</si>
  <si>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</si>
  <si>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</si>
  <si>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</si>
  <si>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</si>
  <si>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</si>
  <si>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</si>
  <si>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</si>
  <si>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</si>
  <si>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</si>
  <si>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</si>
  <si>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</si>
  <si>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</si>
  <si>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</si>
  <si>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</si>
  <si>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</si>
  <si>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</si>
  <si>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</si>
  <si>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</si>
  <si>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</si>
  <si>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</si>
  <si>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</si>
  <si>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</si>
  <si>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</si>
  <si>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</si>
  <si>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</si>
  <si>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</si>
  <si>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</si>
  <si>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</si>
  <si>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</si>
  <si>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</si>
  <si>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</si>
  <si>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</si>
  <si>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</si>
  <si>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</si>
  <si>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</si>
  <si>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</si>
  <si>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</si>
  <si>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</si>
  <si>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</si>
  <si>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</si>
  <si>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</si>
  <si>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</si>
  <si>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</si>
  <si>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</si>
  <si>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</si>
  <si>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</si>
  <si>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</si>
  <si>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</si>
  <si>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</si>
  <si>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</si>
  <si>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</si>
  <si>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</si>
  <si>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 xml:space="preserve">Address: Gari Shahu </t>
  </si>
  <si>
    <t>Invoice No # :43156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</si>
</sst>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518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514</v>
      </c>
      <c r="F3" s="359"/>
      <c r="G3" s="359"/>
      <c r="H3" s="356">
        <f ca="1">TODAY()</f>
        <v>46279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Euro</v>
      </c>
      <c r="T3" s="301">
        <f>+'1'!P35</f>
        <v>40182.574330550851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629.55000000000007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5445.6075000000001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33.177190042372878</v>
      </c>
      <c r="P7" s="310">
        <f>M7+N7+O7</f>
        <v>6668.6151985169481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419.70000000000005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3630.4049999999997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22.118126694915251</v>
      </c>
      <c r="P9" s="311">
        <f t="shared" si="2"/>
        <v>4445.7434656779651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871.68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7540.0319999999992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45.937448135593222</v>
      </c>
      <c r="P10" s="311">
        <f t="shared" si="2"/>
        <v>9233.4270752542379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7540.0319999999992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45.937448135593222</v>
      </c>
      <c r="P12" s="311">
        <f t="shared" si="2"/>
        <v>9233.4270752542379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15</v>
      </c>
      <c r="H16" s="113">
        <f t="shared" ref="H16:M16" si="3">SUM(H7:H15)</f>
        <v>600</v>
      </c>
      <c r="I16" s="114">
        <f t="shared" si="3"/>
        <v>37934.300000000003</v>
      </c>
      <c r="J16" s="274">
        <f>SUM(J7:J15)</f>
        <v>3793.43</v>
      </c>
      <c r="K16" s="275">
        <f t="shared" si="3"/>
        <v>1327.7005000000001</v>
      </c>
      <c r="L16" s="276">
        <f t="shared" si="3"/>
        <v>0</v>
      </c>
      <c r="M16" s="232">
        <f t="shared" si="3"/>
        <v>32813.169499999996</v>
      </c>
      <c r="N16" s="233">
        <f>SUM(N7:N15)</f>
        <v>7169.4915254237276</v>
      </c>
      <c r="O16" s="101">
        <f>SUM(O7:O15)</f>
        <v>199.91330512711863</v>
      </c>
      <c r="P16" s="113">
        <f>SUM(P7:P15)</f>
        <v>40182.574330550844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37934.300000000003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3793.43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1327.7005000000001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32813.169500000004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7169.4915254237276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39982.661025423731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199.91330512711863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40182.574330550851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40182.574330550851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0" workbookViewId="0">
      <selection activeCell="H25" sqref="H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521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46277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46276</v>
      </c>
      <c r="O5" s="368"/>
      <c r="P5" s="368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69" t="s">
        <v>69</v>
      </c>
      <c r="L6" s="369"/>
      <c r="M6" s="369"/>
      <c r="N6" s="398" t="s">
        <v>506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520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629.55000000000007</v>
      </c>
      <c r="K16" s="127">
        <f>$I16*T16</f>
        <v>220.34250000000003</v>
      </c>
      <c r="L16" s="118">
        <f>$I16*U16</f>
        <v>0</v>
      </c>
      <c r="M16" s="229">
        <f>I16-SUM(J16:L16)</f>
        <v>5445.6075000000001</v>
      </c>
      <c r="N16" s="248">
        <f>+(G16*D16+H16)*V16</f>
        <v>1189.8305084745757</v>
      </c>
      <c r="O16" s="238">
        <f>(N16+M16)*$O$15</f>
        <v>33.177190042372878</v>
      </c>
      <c r="P16" s="310">
        <f>M16+N16+O16</f>
        <v>6668.6151985169481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311">
        <f t="shared" ref="P17:P24" si="5">M17+N17+O17</f>
        <v>4445.7434656779651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120</v>
      </c>
      <c r="I19" s="236">
        <f t="shared" si="7"/>
        <v>8716.7999999999993</v>
      </c>
      <c r="J19" s="272">
        <f t="shared" si="1"/>
        <v>871.68</v>
      </c>
      <c r="K19" s="128">
        <f t="shared" si="1"/>
        <v>305.08800000000002</v>
      </c>
      <c r="L19" s="119">
        <f t="shared" si="1"/>
        <v>0</v>
      </c>
      <c r="M19" s="230">
        <f t="shared" si="2"/>
        <v>7540.0319999999992</v>
      </c>
      <c r="N19" s="277">
        <f t="shared" si="3"/>
        <v>1647.4576271186443</v>
      </c>
      <c r="O19" s="239">
        <f t="shared" si="4"/>
        <v>45.937448135593222</v>
      </c>
      <c r="P19" s="311">
        <f t="shared" si="5"/>
        <v>9233.4270752542379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120</v>
      </c>
      <c r="I21" s="236">
        <f t="shared" si="7"/>
        <v>8716.7999999999993</v>
      </c>
      <c r="J21" s="272">
        <f t="shared" si="1"/>
        <v>871.68</v>
      </c>
      <c r="K21" s="128">
        <f t="shared" si="1"/>
        <v>305.08800000000002</v>
      </c>
      <c r="L21" s="119">
        <f t="shared" si="1"/>
        <v>0</v>
      </c>
      <c r="M21" s="230">
        <f t="shared" si="2"/>
        <v>7540.0319999999992</v>
      </c>
      <c r="N21" s="277">
        <f t="shared" si="3"/>
        <v>1647.4576271186443</v>
      </c>
      <c r="O21" s="239">
        <f t="shared" si="4"/>
        <v>45.937448135593222</v>
      </c>
      <c r="P21" s="311">
        <f t="shared" si="5"/>
        <v>9233.4270752542379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37934.300000000003</v>
      </c>
      <c r="J25" s="274">
        <f>SUM(J16:J24)</f>
        <v>3793.43</v>
      </c>
      <c r="K25" s="275">
        <f t="shared" si="10"/>
        <v>1327.7005000000001</v>
      </c>
      <c r="L25" s="276">
        <f t="shared" si="10"/>
        <v>0</v>
      </c>
      <c r="M25" s="232">
        <f t="shared" si="10"/>
        <v>32813.169499999996</v>
      </c>
      <c r="N25" s="233">
        <f>SUM(N16:N24)</f>
        <v>7169.4915254237276</v>
      </c>
      <c r="O25" s="101">
        <f>SUM(O16:O24)</f>
        <v>199.91330512711863</v>
      </c>
      <c r="P25" s="113">
        <f>SUM(P16:P24)</f>
        <v>40182.574330550844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37934.300000000003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3793.43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1327.7005000000001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32813.169500000004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7169.4915254237276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39982.661025423731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199.91330512711866</v>
      </c>
    </row>
    <row r="35" spans="2:16" ht="15.75" customHeight="1" thickBot="1" x14ac:dyDescent="0.4">
      <c r="N35" s="343" t="s">
        <v>88</v>
      </c>
      <c r="O35" s="344"/>
      <c r="P35" s="297">
        <f>+P33+P34</f>
        <v>40182.574330550851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508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505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519</v>
      </c>
      <c r="B7" s="369"/>
      <c r="C7" s="369"/>
      <c r="F7" s="85"/>
      <c r="G7" s="86"/>
      <c r="K7" s="369" t="s">
        <v>66</v>
      </c>
      <c r="L7" s="369"/>
      <c r="M7" s="369"/>
      <c r="N7" s="398" t="s">
        <v>511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511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46280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46279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2026-09-14T06:22:08Z</dcterms:modified>
</cp:coreProperties>
</file>