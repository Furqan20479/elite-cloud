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425611B6-22F0-42EE-BB9A-5E86D9E055C9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<sst xmlns="http://schemas.openxmlformats.org/spreadsheetml/2006/main" count="3948" uniqueCount="519">
  <si>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</si>
  <si>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</si>
  <si>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</si>
  <si>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</si>
  <si>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</si>
  <si>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</si>
  <si>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</si>
  <si>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</si>
  <si>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</si>
  <si>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</si>
  <si>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</si>
  <si>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</si>
  <si>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</si>
  <si>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</si>
  <si>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</si>
  <si>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</si>
  <si>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</si>
  <si>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</si>
  <si>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</si>
  <si>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</si>
  <si>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</si>
  <si>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</si>
  <si>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</si>
  <si>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</si>
  <si>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</si>
  <si>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</si>
  <si>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</si>
  <si>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</si>
  <si>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</si>
  <si>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</si>
  <si>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</si>
  <si>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</si>
  <si>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</si>
  <si>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</si>
  <si>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</si>
  <si>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</si>
  <si>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</si>
  <si>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</si>
  <si>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</si>
  <si>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</si>
  <si>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</si>
  <si>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</si>
  <si>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</si>
  <si>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</si>
  <si>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</si>
  <si>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</si>
  <si>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</si>
  <si>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</si>
  <si>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</si>
  <si>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</si>
  <si>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</si>
  <si>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</si>
  <si>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</si>
  <si>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</si>
  <si>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</si>
  <si>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</si>
  <si>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</si>
  <si>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</si>
  <si>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</si>
  <si>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</si>
  <si>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</si>
  <si>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</si>
  <si>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</si>
  <si>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</si>
  <si>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</si>
  <si>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</si>
  <si>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</si>
  <si>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</si>
  <si>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</si>
  <si>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</si>
  <si>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</si>
  <si>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</si>
  <si>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</si>
  <si>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</si>
  <si>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</si>
  <si>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</si>
  <si>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</si>
  <si>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</si>
  <si>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</si>
  <si>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</si>
  <si>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</si>
  <si>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</si>
  <si>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</si>
  <si>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</si>
  <si>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</si>
  <si>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</si>
  <si>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</si>
  <si>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</si>
  <si>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</si>
  <si>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</si>
  <si>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</si>
  <si>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</si>
  <si>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</si>
  <si>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</si>
  <si>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</si>
  <si>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</si>
  <si>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</si>
  <si>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</si>
  <si>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</si>
  <si>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</si>
  <si>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</si>
  <si>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</si>
  <si>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</si>
  <si>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</si>
  <si>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</si>
  <si>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</si>
  <si>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</si>
  <si>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</si>
  <si>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</si>
  <si>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</si>
  <si>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</si>
  <si>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</si>
  <si>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</si>
  <si>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</si>
  <si>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</si>
  <si>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</si>
  <si>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</si>
  <si>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</si>
  <si>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</si>
  <si>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</si>
  <si>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</si>
  <si>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</si>
  <si>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</si>
  <si>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</si>
  <si>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</si>
  <si>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</si>
  <si>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</si>
  <si>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</si>
  <si>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</si>
  <si>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</si>
  <si>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</si>
  <si>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</si>
  <si>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</si>
  <si>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</si>
  <si>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</si>
  <si>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</si>
  <si>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</si>
  <si>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</si>
  <si>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</si>
  <si>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</si>
  <si>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</si>
  <si>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</si>
  <si>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</si>
  <si>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</si>
  <si>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</si>
  <si>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</si>
  <si>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</si>
  <si>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</si>
  <si>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</si>
  <si>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</si>
  <si>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</si>
  <si>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</si>
  <si>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</si>
  <si>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</si>
  <si>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</si>
  <si>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</si>
  <si>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</si>
  <si>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</si>
  <si>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</si>
  <si>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</si>
  <si>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</si>
  <si>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</si>
  <si>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</si>
  <si>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</si>
  <si>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</si>
  <si>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</si>
  <si>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</si>
  <si>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</si>
  <si>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</si>
  <si>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</si>
  <si>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</si>
  <si>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</si>
  <si>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</si>
  <si>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</si>
  <si>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</si>
  <si>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</si>
  <si>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</si>
  <si>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</si>
  <si>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</si>
  <si>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</si>
  <si>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</si>
  <si>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</si>
  <si>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</si>
  <si>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</si>
  <si>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</si>
  <si>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</si>
  <si>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</si>
  <si>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</si>
  <si>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</si>
  <si>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</si>
  <si>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</si>
  <si>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</si>
  <si>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</si>
  <si>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</si>
  <si>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</si>
  <si>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</si>
  <si>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</si>
  <si>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</si>
  <si>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</si>
  <si>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</si>
  <si>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</si>
  <si>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</si>
  <si>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</si>
  <si>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</si>
  <si>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</si>
  <si>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</si>
  <si>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</si>
  <si>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</si>
  <si>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</si>
  <si>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</si>
  <si>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</si>
  <si>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</si>
  <si>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</si>
  <si>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</si>
  <si>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</si>
  <si>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</si>
  <si>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</si>
  <si>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</si>
  <si>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</si>
  <si>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</si>
  <si>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</si>
  <si>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</si>
  <si>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</si>
  <si>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</si>
  <si>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</si>
  <si>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</si>
  <si>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</si>
  <si>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</si>
  <si>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</si>
  <si>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</si>
  <si>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</si>
  <si>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</si>
  <si>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</si>
  <si>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</si>
  <si>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</si>
  <si>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</si>
  <si>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</si>
  <si>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</si>
  <si>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</si>
  <si>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</si>
  <si>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</si>
  <si>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</si>
  <si>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</si>
  <si>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</si>
  <si>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</si>
  <si>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</si>
  <si>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</si>
  <si>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</si>
  <si>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</si>
  <si>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</si>
  <si>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</si>
  <si>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</si>
  <si>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</si>
  <si>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</si>
  <si>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</si>
  <si>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</si>
  <si>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</si>
  <si>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</si>
  <si>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</si>
  <si>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</si>
  <si>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</si>
  <si>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</si>
  <si>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</si>
  <si>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</si>
  <si>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</si>
  <si>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</si>
  <si>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</si>
  <si>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</si>
  <si>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</si>
  <si>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</si>
  <si>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</si>
  <si>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</si>
  <si>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</si>
  <si>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</si>
  <si>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</si>
  <si>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</si>
  <si>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</si>
  <si>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</si>
  <si>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</si>
  <si>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</si>
  <si>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</si>
  <si>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</si>
  <si>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</si>
  <si>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</si>
  <si>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</si>
  <si>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</si>
  <si>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</si>
  <si>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</si>
  <si>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</si>
  <si>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</si>
  <si>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</si>
  <si>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</si>
  <si>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</si>
  <si>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</si>
  <si>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</si>
  <si>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</si>
  <si>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</si>
  <si>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</si>
  <si>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</si>
  <si>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</si>
  <si>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</si>
  <si>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</si>
  <si>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</si>
  <si>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</si>
  <si>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</si>
  <si>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</si>
  <si>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</si>
  <si>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</si>
  <si>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</si>
  <si>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</si>
  <si>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</si>
  <si>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</si>
  <si>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</si>
  <si>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</si>
  <si>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</si>
  <si>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</si>
  <si>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</si>
  <si>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</si>
  <si>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</si>
  <si>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</si>
  <si>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</si>
  <si>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</si>
  <si>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</si>
  <si>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</si>
  <si>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</si>
  <si>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</si>
  <si>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</si>
  <si>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</si>
  <si>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</si>
  <si>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</si>
  <si>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</si>
  <si>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</si>
  <si>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</si>
  <si>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</si>
  <si>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</si>
  <si>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</si>
  <si>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</si>
  <si>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</si>
  <si>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</si>
  <si>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</si>
  <si>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</si>
  <si>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</si>
  <si>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</si>
  <si>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</si>
  <si>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</si>
  <si>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</si>
  <si>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</si>
  <si>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</si>
  <si>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</si>
  <si>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</si>
  <si>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</si>
  <si>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</si>
  <si>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</si>
  <si>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</si>
  <si>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</si>
  <si>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</si>
  <si>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</si>
  <si>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</si>
  <si>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</si>
  <si>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</si>
  <si>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</si>
  <si>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</si>
  <si>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</si>
  <si>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</si>
  <si>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</si>
  <si>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</si>
  <si>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</si>
  <si>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</si>
  <si>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</si>
  <si>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</si>
  <si>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</si>
  <si>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</si>
  <si>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</si>
  <si>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</si>
  <si>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</si>
  <si>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</si>
  <si>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</si>
  <si>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</si>
  <si>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</si>
  <si>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</si>
  <si>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</si>
  <si>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</si>
  <si>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</si>
  <si>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</si>
  <si>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</si>
  <si>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</si>
  <si>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</si>
  <si>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</si>
  <si>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</si>
  <si>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</si>
  <si>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</si>
  <si>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</si>
  <si>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</si>
  <si>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</si>
  <si>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</si>
  <si>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</si>
  <si>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</si>
  <si>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</si>
  <si>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</si>
  <si>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</si>
  <si>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</si>
  <si>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</si>
  <si>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</si>
  <si>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</si>
  <si>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</si>
  <si>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</si>
  <si>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</si>
  <si>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</si>
  <si>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</si>
  <si>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</si>
  <si>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</si>
  <si>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</si>
  <si>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</si>
  <si>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</si>
  <si>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</si>
  <si>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</si>
  <si>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</si>
  <si>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</si>
  <si>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</si>
  <si>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</si>
  <si>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</si>
  <si>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</si>
  <si>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</si>
  <si>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</si>
  <si>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</si>
  <si>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</si>
  <si>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</si>
  <si>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</si>
  <si>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</si>
  <si>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</si>
  <si>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</si>
  <si>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</si>
  <si>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</si>
  <si>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</si>
  <si>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</si>
  <si>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</si>
  <si>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</si>
  <si>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</si>
  <si>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</si>
  <si>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</si>
  <si>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</si>
  <si>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</si>
  <si>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</si>
  <si>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</si>
  <si>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</si>
  <si>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</si>
  <si>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</si>
  <si>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</si>
  <si>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</si>
  <si>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</si>
  <si>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</si>
  <si>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</si>
  <si>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</si>
  <si>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</si>
  <si>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</si>
  <si>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</si>
  <si>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</si>
  <si>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</si>
  <si>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</si>
  <si>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</si>
  <si>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</si>
  <si>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</si>
  <si>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</si>
  <si>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</si>
  <si>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</si>
  <si>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</si>
  <si>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</si>
  <si>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</si>
  <si>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</si>
  <si>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</si>
  <si>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</si>
  <si>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</si>
  <si>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</si>
  <si>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</si>
  <si>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</si>
  <si>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</si>
  <si>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</si>
  <si>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</si>
  <si>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</si>
  <si>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</si>
  <si>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</si>
  <si>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</si>
  <si>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</si>
  <si>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</si>
  <si>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</si>
  <si>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</si>
  <si>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</si>
  <si>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</si>
  <si>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</si>
  <si>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</si>
  <si>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</si>
  <si>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</si>
  <si>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</si>
  <si>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</si>
  <si>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</si>
  <si>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</si>
  <si>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</si>
  <si>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</si>
  <si>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</si>
  <si>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</si>
  <si>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</si>
  <si>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</si>
  <si>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</si>
  <si>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</si>
  <si>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</si>
  <si>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</si>
  <si>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</si>
  <si>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</si>
  <si>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</si>
  <si>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</si>
  <si>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</si>
  <si>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</si>
  <si>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</si>
  <si>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</si>
  <si>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Furqan</t>
  </si>
  <si>
    <t xml:space="preserve">Ajwa Bakers </t>
  </si>
  <si>
    <t>Address: Khan Colony Street No 10</t>
  </si>
  <si>
    <t xml:space="preserve">Bakhtawar Bakery </t>
  </si>
  <si>
    <t>Address: Makkah Colony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</si>
</sst>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U5" sqref="U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514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46277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 xml:space="preserve">Ajwa Bakers </v>
      </c>
      <c r="T3" s="301">
        <f>+'1'!P35</f>
        <v>3136.2115850847458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Bakhtawar Bakery </v>
      </c>
      <c r="T4" s="301">
        <f>+'2'!P35</f>
        <v>4137.7183331796605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Shop Name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Shop Name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Shop Name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25</v>
      </c>
      <c r="I10" s="236">
        <f t="shared" si="0"/>
        <v>1816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145.28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63.56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1607.16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343.22033898305085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9.7519016949152544</v>
      </c>
      <c r="P10" s="311">
        <f t="shared" si="2"/>
        <v>1960.1322406779661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20</v>
      </c>
      <c r="I11" s="236">
        <f t="shared" si="0"/>
        <v>1452.8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116.224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50.848000000000006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1285.7280000000001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274.57627118644069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7.8015213559322039</v>
      </c>
      <c r="P11" s="311">
        <f t="shared" si="2"/>
        <v>1568.1057925423729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35</v>
      </c>
      <c r="I12" s="236">
        <f t="shared" si="0"/>
        <v>2542.4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203.392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88.984000000000009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2250.0240000000003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480.50847457627123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13.652662372881355</v>
      </c>
      <c r="P12" s="311">
        <f t="shared" si="2"/>
        <v>2744.1851369491528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24</v>
      </c>
      <c r="I13" s="236">
        <f t="shared" si="0"/>
        <v>941.5200000000001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47.076000000000008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32.95320000000001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48.017520000000005</v>
      </c>
      <c r="M13" s="230">
        <f t="shared" si="1"/>
        <v>813.47328000000005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183.05084745762701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4.982620637288135</v>
      </c>
      <c r="P13" s="311">
        <f t="shared" si="2"/>
        <v>1001.5067480949152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2.6</v>
      </c>
      <c r="H16" s="113">
        <f t="shared" ref="H16:M16" si="3">SUM(H7:H15)</f>
        <v>104</v>
      </c>
      <c r="I16" s="114">
        <f t="shared" si="3"/>
        <v>6752.7200000000012</v>
      </c>
      <c r="J16" s="274">
        <f>SUM(J7:J15)</f>
        <v>511.97200000000004</v>
      </c>
      <c r="K16" s="275">
        <f t="shared" si="3"/>
        <v>236.34520000000003</v>
      </c>
      <c r="L16" s="276">
        <f t="shared" si="3"/>
        <v>48.017520000000005</v>
      </c>
      <c r="M16" s="232">
        <f t="shared" si="3"/>
        <v>5956.3852800000004</v>
      </c>
      <c r="N16" s="233">
        <f>SUM(N7:N15)</f>
        <v>1281.3559322033898</v>
      </c>
      <c r="O16" s="101">
        <f>SUM(O7:O15)</f>
        <v>36.188706061016944</v>
      </c>
      <c r="P16" s="113">
        <f>SUM(P7:P15)</f>
        <v>7273.9299182644072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6752.7200000000012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511.97200000000004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284.36272000000002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5956.3852800000013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1281.3559322033898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7237.7412122033911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36.188706061016944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7273.9299182644081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7273.9299182644063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7.25" customHeight="1" x14ac:dyDescent="0.4">
      <c r="A6" s="400" t="s">
        <v>515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7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7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7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2905.6</v>
      </c>
      <c r="J25" s="274">
        <f>SUM(J16:J24)</f>
        <v>232.44799999999998</v>
      </c>
      <c r="K25" s="275">
        <f t="shared" si="10"/>
        <v>101.696</v>
      </c>
      <c r="L25" s="276">
        <f t="shared" si="10"/>
        <v>0</v>
      </c>
      <c r="M25" s="232">
        <f t="shared" si="10"/>
        <v>2571.4559999999997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232.44799999999998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3136.2115850847458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4"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518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24</v>
      </c>
      <c r="I22" s="236">
        <f t="shared" si="0"/>
        <v>941.5200000000001</v>
      </c>
      <c r="J22" s="272">
        <f t="shared" si="1"/>
        <v>47.076000000000008</v>
      </c>
      <c r="K22" s="128">
        <f t="shared" si="1"/>
        <v>32.95320000000001</v>
      </c>
      <c r="L22" s="119">
        <f t="shared" si="1"/>
        <v>48.017520000000005</v>
      </c>
      <c r="M22" s="230">
        <f t="shared" si="2"/>
        <v>813.47328000000005</v>
      </c>
      <c r="N22" s="277">
        <f t="shared" si="3"/>
        <v>183.05084745762701</v>
      </c>
      <c r="O22" s="239">
        <f t="shared" si="4"/>
        <v>4.982620637288135</v>
      </c>
      <c r="P22" s="119">
        <f t="shared" si="5"/>
        <v>1001.5067480949152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64</v>
      </c>
      <c r="I25" s="114">
        <f t="shared" si="7"/>
        <v>3847.12</v>
      </c>
      <c r="J25" s="274">
        <f>SUM(J16:J24)</f>
        <v>279.524</v>
      </c>
      <c r="K25" s="275">
        <f t="shared" si="7"/>
        <v>134.64920000000001</v>
      </c>
      <c r="L25" s="276">
        <f t="shared" si="7"/>
        <v>48.017520000000005</v>
      </c>
      <c r="M25" s="232">
        <f t="shared" si="7"/>
        <v>3384.9292800000003</v>
      </c>
      <c r="N25" s="233">
        <f>SUM(N16:N24)</f>
        <v>732.2033898305084</v>
      </c>
      <c r="O25" s="101">
        <f>SUM(O16:O24)</f>
        <v>20.585663349152544</v>
      </c>
      <c r="P25" s="234">
        <f>SUM(P16:P24)</f>
        <v>4137.7183331796614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3847.12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279.524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182.66672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3384.9292799999998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732.2033898305084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4117.1326698305083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20.585663349152544</v>
      </c>
    </row>
    <row r="35" spans="2:16" ht="15.75" customHeight="1" thickBot="1" x14ac:dyDescent="0.4">
      <c r="N35" s="374" t="s">
        <v>88</v>
      </c>
      <c r="O35" s="375"/>
      <c r="P35" s="297">
        <f>+P33+P34</f>
        <v>4137.7183331796605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46277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46276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2026-09-11T11:44:36Z</dcterms:modified>
</cp:coreProperties>
</file>