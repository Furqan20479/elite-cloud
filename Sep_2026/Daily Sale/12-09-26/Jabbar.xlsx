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278BFB-C14B-41F7-A3A3-72F20652A19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<sst xmlns="http://schemas.openxmlformats.org/spreadsheetml/2006/main" count="3948" uniqueCount="526">
  <si>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</si>
  <si>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</si>
  <si>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</si>
  <si>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</si>
  <si>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</si>
  <si>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</si>
  <si>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</si>
  <si>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</si>
  <si>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</si>
  <si>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</si>
  <si>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</si>
  <si>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</si>
  <si>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</si>
  <si>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</si>
  <si>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</si>
  <si>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</si>
  <si>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</si>
  <si>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</si>
  <si>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</si>
  <si>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</si>
  <si>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</si>
  <si>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</si>
  <si>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</si>
  <si>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</si>
  <si>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</si>
  <si>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</si>
  <si>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</si>
  <si>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</si>
  <si>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</si>
  <si>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</si>
  <si>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</si>
  <si>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</si>
  <si>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</si>
  <si>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</si>
  <si>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</si>
  <si>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</si>
  <si>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</si>
  <si>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</si>
  <si>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</si>
  <si>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</si>
  <si>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</si>
  <si>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</si>
  <si>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</si>
  <si>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</si>
  <si>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</si>
  <si>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</si>
  <si>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</si>
  <si>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</si>
  <si>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</si>
  <si>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</si>
  <si>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</si>
  <si>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</si>
  <si>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</si>
  <si>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</si>
  <si>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</si>
  <si>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</si>
  <si>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</si>
  <si>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</si>
  <si>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</si>
  <si>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</si>
  <si>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</si>
  <si>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</si>
  <si>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</si>
  <si>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</si>
  <si>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</si>
  <si>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</si>
  <si>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</si>
  <si>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</si>
  <si>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</si>
  <si>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</si>
  <si>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</si>
  <si>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</si>
  <si>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</si>
  <si>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</si>
  <si>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</si>
  <si>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</si>
  <si>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</si>
  <si>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</si>
  <si>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</si>
  <si>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</si>
  <si>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</si>
  <si>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</si>
  <si>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</si>
  <si>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</si>
  <si>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</si>
  <si>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</si>
  <si>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</si>
  <si>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</si>
  <si>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</si>
  <si>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</si>
  <si>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</si>
  <si>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</si>
  <si>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</si>
  <si>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</si>
  <si>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</si>
  <si>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</si>
  <si>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</si>
  <si>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</si>
  <si>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</si>
  <si>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</si>
  <si>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</si>
  <si>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</si>
  <si>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</si>
  <si>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</si>
  <si>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</si>
  <si>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</si>
  <si>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</si>
  <si>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</si>
  <si>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</si>
  <si>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</si>
  <si>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</si>
  <si>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</si>
  <si>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</si>
  <si>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</si>
  <si>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</si>
  <si>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</si>
  <si>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</si>
  <si>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</si>
  <si>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</si>
  <si>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</si>
  <si>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</si>
  <si>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</si>
  <si>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</si>
  <si>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</si>
  <si>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</si>
  <si>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</si>
  <si>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</si>
  <si>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</si>
  <si>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</si>
  <si>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</si>
  <si>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</si>
  <si>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</si>
  <si>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</si>
  <si>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</si>
  <si>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</si>
  <si>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</si>
  <si>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</si>
  <si>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</si>
  <si>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</si>
  <si>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</si>
  <si>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</si>
  <si>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</si>
  <si>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</si>
  <si>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</si>
  <si>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</si>
  <si>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</si>
  <si>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</si>
  <si>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</si>
  <si>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</si>
  <si>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</si>
  <si>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</si>
  <si>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</si>
  <si>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</si>
  <si>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</si>
  <si>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</si>
  <si>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</si>
  <si>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</si>
  <si>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</si>
  <si>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</si>
  <si>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</si>
  <si>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</si>
  <si>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</si>
  <si>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</si>
  <si>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</si>
  <si>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</si>
  <si>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</si>
  <si>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</si>
  <si>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</si>
  <si>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</si>
  <si>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</si>
  <si>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</si>
  <si>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</si>
  <si>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</si>
  <si>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</si>
  <si>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</si>
  <si>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</si>
  <si>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</si>
  <si>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</si>
  <si>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</si>
  <si>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</si>
  <si>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</si>
  <si>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</si>
  <si>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</si>
  <si>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</si>
  <si>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</si>
  <si>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</si>
  <si>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</si>
  <si>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</si>
  <si>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</si>
  <si>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</si>
  <si>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</si>
  <si>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</si>
  <si>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</si>
  <si>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</si>
  <si>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</si>
  <si>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</si>
  <si>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</si>
  <si>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</si>
  <si>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</si>
  <si>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</si>
  <si>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</si>
  <si>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</si>
  <si>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</si>
  <si>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</si>
  <si>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</si>
  <si>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</si>
  <si>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</si>
  <si>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</si>
  <si>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</si>
  <si>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</si>
  <si>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</si>
  <si>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</si>
  <si>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</si>
  <si>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</si>
  <si>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</si>
  <si>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</si>
  <si>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</si>
  <si>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</si>
  <si>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</si>
  <si>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</si>
  <si>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</si>
  <si>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</si>
  <si>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</si>
  <si>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</si>
  <si>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</si>
  <si>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</si>
  <si>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</si>
  <si>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</si>
  <si>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</si>
  <si>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</si>
  <si>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</si>
  <si>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</si>
  <si>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</si>
  <si>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</si>
  <si>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</si>
  <si>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</si>
  <si>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</si>
  <si>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</si>
  <si>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</si>
  <si>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</si>
  <si>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</si>
  <si>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</si>
  <si>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</si>
  <si>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</si>
  <si>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</si>
  <si>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</si>
  <si>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</si>
  <si>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</si>
  <si>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</si>
  <si>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</si>
  <si>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</si>
  <si>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</si>
  <si>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</si>
  <si>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</si>
  <si>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</si>
  <si>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</si>
  <si>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</si>
  <si>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</si>
  <si>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</si>
  <si>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</si>
  <si>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</si>
  <si>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</si>
  <si>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</si>
  <si>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</si>
  <si>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</si>
  <si>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</si>
  <si>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</si>
  <si>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</si>
  <si>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</si>
  <si>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</si>
  <si>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</si>
  <si>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</si>
  <si>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</si>
  <si>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</si>
  <si>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</si>
  <si>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</si>
  <si>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</si>
  <si>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</si>
  <si>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</si>
  <si>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</si>
  <si>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</si>
  <si>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</si>
  <si>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</si>
  <si>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</si>
  <si>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</si>
  <si>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</si>
  <si>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</si>
  <si>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</si>
  <si>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</si>
  <si>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</si>
  <si>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</si>
  <si>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</si>
  <si>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</si>
  <si>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</si>
  <si>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</si>
  <si>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</si>
  <si>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</si>
  <si>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</si>
  <si>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</si>
  <si>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</si>
  <si>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</si>
  <si>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</si>
  <si>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</si>
  <si>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</si>
  <si>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</si>
  <si>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</si>
  <si>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</si>
  <si>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</si>
  <si>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</si>
  <si>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</si>
  <si>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</si>
  <si>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</si>
  <si>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</si>
  <si>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</si>
  <si>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</si>
  <si>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</si>
  <si>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</si>
  <si>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</si>
  <si>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</si>
  <si>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</si>
  <si>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</si>
  <si>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</si>
  <si>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</si>
  <si>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</si>
  <si>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</si>
  <si>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</si>
  <si>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</si>
  <si>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</si>
  <si>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</si>
  <si>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</si>
  <si>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</si>
  <si>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</si>
  <si>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</si>
  <si>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</si>
  <si>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</si>
  <si>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</si>
  <si>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</si>
  <si>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</si>
  <si>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</si>
  <si>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</si>
  <si>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</si>
  <si>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</si>
  <si>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</si>
  <si>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</si>
  <si>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</si>
  <si>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</si>
  <si>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</si>
  <si>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</si>
  <si>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</si>
  <si>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</si>
  <si>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</si>
  <si>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</si>
  <si>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</si>
  <si>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</si>
  <si>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</si>
  <si>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</si>
  <si>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</si>
  <si>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</si>
  <si>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</si>
  <si>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</si>
  <si>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</si>
  <si>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</si>
  <si>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</si>
  <si>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</si>
  <si>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</si>
  <si>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</si>
  <si>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</si>
  <si>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</si>
  <si>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</si>
  <si>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</si>
  <si>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</si>
  <si>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</si>
  <si>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</si>
  <si>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</si>
  <si>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</si>
  <si>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</si>
  <si>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</si>
  <si>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</si>
  <si>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</si>
  <si>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</si>
  <si>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</si>
  <si>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</si>
  <si>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</si>
  <si>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</si>
  <si>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</si>
  <si>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</si>
  <si>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</si>
  <si>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</si>
  <si>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</si>
  <si>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</si>
  <si>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</si>
  <si>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</si>
  <si>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</si>
  <si>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</si>
  <si>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</si>
  <si>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</si>
  <si>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</si>
  <si>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</si>
  <si>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</si>
  <si>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</si>
  <si>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</si>
  <si>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</si>
  <si>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</si>
  <si>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</si>
  <si>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</si>
  <si>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</si>
  <si>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</si>
  <si>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</si>
  <si>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</si>
  <si>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</si>
  <si>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</si>
  <si>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</si>
  <si>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</si>
  <si>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</si>
  <si>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</si>
  <si>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</si>
  <si>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</si>
  <si>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</si>
  <si>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</si>
  <si>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</si>
  <si>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</si>
  <si>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</si>
  <si>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</si>
  <si>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</si>
  <si>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</si>
  <si>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</si>
  <si>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</si>
  <si>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</si>
  <si>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</si>
  <si>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</si>
  <si>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</si>
  <si>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</si>
  <si>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</si>
  <si>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</si>
  <si>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</si>
  <si>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</si>
  <si>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</si>
  <si>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</si>
  <si>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</si>
  <si>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</si>
  <si>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</si>
  <si>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</si>
  <si>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</si>
  <si>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</si>
  <si>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</si>
  <si>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</si>
  <si>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</si>
  <si>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</si>
  <si>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</si>
  <si>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</si>
  <si>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</si>
  <si>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</si>
  <si>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</si>
  <si>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</si>
  <si>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</si>
  <si>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</si>
  <si>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</si>
  <si>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</si>
  <si>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</si>
  <si>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</si>
  <si>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</si>
  <si>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</si>
  <si>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</si>
  <si>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</si>
  <si>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</si>
  <si>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</si>
  <si>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</si>
  <si>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</si>
  <si>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</si>
  <si>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</si>
  <si>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</si>
  <si>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</si>
  <si>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</si>
  <si>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</si>
  <si>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</si>
  <si>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</si>
  <si>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</si>
  <si>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</si>
  <si>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</si>
  <si>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</si>
  <si>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</si>
  <si>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</si>
  <si>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</si>
  <si>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</si>
  <si>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</si>
  <si>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</si>
  <si>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</si>
  <si>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</si>
  <si>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</si>
  <si>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</si>
  <si>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</si>
  <si>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</si>
  <si>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</si>
  <si>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</si>
  <si>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</si>
  <si>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</si>
  <si>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</si>
  <si>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</si>
  <si>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</si>
  <si>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</si>
  <si>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</si>
  <si>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</si>
  <si>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</si>
  <si>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</si>
  <si>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</si>
  <si>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</si>
  <si>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</si>
  <si>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</si>
  <si>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</si>
  <si>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</si>
  <si>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</si>
  <si>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</si>
  <si>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</si>
  <si>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</si>
  <si>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Amna Store</t>
  </si>
  <si>
    <t xml:space="preserve">Address: Mozang </t>
  </si>
  <si>
    <t>Muneer Store</t>
  </si>
  <si>
    <t>Arshad Stoere</t>
  </si>
  <si>
    <t xml:space="preserve">Khan Nimko </t>
  </si>
  <si>
    <t>Hafiz Store</t>
  </si>
  <si>
    <t>Al Madina Store</t>
  </si>
  <si>
    <t>Imran Store</t>
  </si>
  <si>
    <t xml:space="preserve">Shane Ahmad </t>
  </si>
  <si>
    <t>Khan Store</t>
  </si>
  <si>
    <t>Data  Store</t>
  </si>
  <si>
    <t xml:space="preserve">Shell Pump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</si>
</sst>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Amna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Muneer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Arshad Stoere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Khan Nimko 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Hafiz Store</v>
      </c>
      <c r="T7" s="301">
        <f>+'5'!P35</f>
        <v>810.1894751885593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Madina Store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Imran Store</v>
      </c>
      <c r="T9" s="301">
        <f>+'7'!P35</f>
        <v>956.02429366779654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499.76319999999998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5528.6304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33.546541830508474</v>
      </c>
      <c r="P10" s="311">
        <f t="shared" si="2"/>
        <v>6742.8549079322038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Shane Ahmad </v>
      </c>
      <c r="T10" s="301">
        <f>+'8'!P35</f>
        <v>2402.6947492881354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</v>
      </c>
      <c r="I11" s="236">
        <f t="shared" si="0"/>
        <v>3777.28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302.18240000000003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132.20480000000001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3342.8928000000001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713.89830508474574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20.283955525423732</v>
      </c>
      <c r="P11" s="311">
        <f t="shared" si="2"/>
        <v>4077.0750606101697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Khan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133</v>
      </c>
      <c r="I12" s="236">
        <f t="shared" si="0"/>
        <v>9661.1200000000008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772.88959999999997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338.13920000000002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8550.0912000000008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1825.9322033898306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51.880117016949157</v>
      </c>
      <c r="P12" s="311">
        <f t="shared" si="2"/>
        <v>10427.90352040678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Data  Store</v>
      </c>
      <c r="T12" s="301">
        <f>+'10'!P35</f>
        <v>3136.2115850847463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106</v>
      </c>
      <c r="I13" s="236">
        <f t="shared" si="0"/>
        <v>4158.38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207.91900000000004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145.54330000000004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212.07738000000001</v>
      </c>
      <c r="M13" s="230">
        <f t="shared" si="1"/>
        <v>3592.8403200000002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808.47457627118592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22.006574481355933</v>
      </c>
      <c r="P13" s="311">
        <f t="shared" si="2"/>
        <v>4423.3214707525412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Shell Pump </v>
      </c>
      <c r="T13" s="301">
        <f>+'11'!P35</f>
        <v>4805.3894985762709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9.5749999999999993</v>
      </c>
      <c r="H16" s="113">
        <f t="shared" ref="H16:M16" si="3">SUM(H7:H15)</f>
        <v>383</v>
      </c>
      <c r="I16" s="114">
        <f t="shared" si="3"/>
        <v>24158.595000000001</v>
      </c>
      <c r="J16" s="274">
        <f>SUM(J7:J15)</f>
        <v>1807.9362000000001</v>
      </c>
      <c r="K16" s="275">
        <f t="shared" si="3"/>
        <v>845.55082500000003</v>
      </c>
      <c r="L16" s="276">
        <f t="shared" si="3"/>
        <v>212.07738000000001</v>
      </c>
      <c r="M16" s="232">
        <f t="shared" si="3"/>
        <v>21293.030595</v>
      </c>
      <c r="N16" s="233">
        <f>SUM(N7:N15)</f>
        <v>4588.4745762711864</v>
      </c>
      <c r="O16" s="101">
        <f>SUM(O7:O15)</f>
        <v>129.40752585635593</v>
      </c>
      <c r="P16" s="113">
        <f>SUM(P7:P15)</f>
        <v>26010.91269712754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24158.595000000001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1807.9362000000001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1057.628205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21293.030595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4588.4745762711864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25881.505171271187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129.40752585635593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26010.912697127544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26010.912697127544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0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119">
        <f t="shared" si="5"/>
        <v>1254.4846340338984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119">
        <f t="shared" si="5"/>
        <v>1254.4846340338984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750.61500000000001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60.049199999999999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26.271525000000004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664.29427499999997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806.15868177966104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74" t="s">
        <v>88</v>
      </c>
      <c r="O35" s="375"/>
      <c r="P35" s="297">
        <f>+P33+P34</f>
        <v>810.1894751885593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889.14</v>
      </c>
      <c r="J25" s="274">
        <f>SUM(J16:J24)</f>
        <v>64.069800000000015</v>
      </c>
      <c r="K25" s="275">
        <f t="shared" si="7"/>
        <v>31.119900000000005</v>
      </c>
      <c r="L25" s="276">
        <f t="shared" si="7"/>
        <v>12.004380000000001</v>
      </c>
      <c r="M25" s="232">
        <f t="shared" si="7"/>
        <v>781.94592000000011</v>
      </c>
      <c r="N25" s="233">
        <f>SUM(N16:N24)</f>
        <v>169.32203389830505</v>
      </c>
      <c r="O25" s="101">
        <f>SUM(O16:O24)</f>
        <v>4.7563397694915253</v>
      </c>
      <c r="P25" s="234">
        <f>SUM(P16:P24)</f>
        <v>956.02429366779654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889.14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64.069800000000015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43.124280000000006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781.94592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169.32203389830505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951.267953898305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4.7563397694915253</v>
      </c>
    </row>
    <row r="35" spans="2:16" ht="15.75" customHeight="1" thickBot="1" x14ac:dyDescent="0.4">
      <c r="N35" s="374" t="s">
        <v>88</v>
      </c>
      <c r="O35" s="375"/>
      <c r="P35" s="297">
        <f>+P33+P34</f>
        <v>956.02429366779654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2237.4</v>
      </c>
      <c r="J25" s="274">
        <f>SUM(J16:J24)</f>
        <v>155.45400000000001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234">
        <f>SUM(P16:P24)</f>
        <v>2402.6947492881354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2237.4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155.45400000000001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118.32360000000001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1963.6224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2390.7410440677963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74" t="s">
        <v>88</v>
      </c>
      <c r="O35" s="375"/>
      <c r="P35" s="297">
        <f>+P33+P34</f>
        <v>2402.6947492881354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2026-09-11T10:49:32Z</dcterms:modified>
</cp:coreProperties>
</file>