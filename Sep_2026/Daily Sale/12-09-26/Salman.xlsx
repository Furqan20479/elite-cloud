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D13E75BF-3D60-4D7B-8447-EAA9BAEBBE12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M20" i="48" s="1"/>
  <c r="O20" i="48" s="1"/>
  <c r="P20" i="48" s="1"/>
  <c r="R20" i="48" s="1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J7" i="62" l="1"/>
  <c r="M20" i="47"/>
  <c r="O20" i="47" s="1"/>
  <c r="P20" i="47" s="1"/>
  <c r="R20" i="47" s="1"/>
  <c r="M21" i="44"/>
  <c r="O21" i="44" s="1"/>
  <c r="P21" i="44" s="1"/>
  <c r="K12" i="62"/>
  <c r="M20" i="46"/>
  <c r="O20" i="46" s="1"/>
  <c r="P20" i="46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O21" i="50" s="1"/>
  <c r="P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<sst xmlns="http://schemas.openxmlformats.org/spreadsheetml/2006/main" count="3948" uniqueCount="524">
  <si>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</si>
  <si>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</si>
  <si>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</si>
  <si>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</si>
  <si>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</si>
  <si>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</si>
  <si>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</si>
  <si>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</si>
  <si>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</si>
  <si>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</si>
  <si>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</si>
  <si>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</si>
  <si>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</si>
  <si>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</si>
  <si>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</si>
  <si>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</si>
  <si>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</si>
  <si>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</si>
  <si>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</si>
  <si>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</si>
  <si>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</si>
  <si>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</si>
  <si>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</si>
  <si>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</si>
  <si>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</si>
  <si>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</si>
  <si>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</si>
  <si>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</si>
  <si>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</si>
  <si>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</si>
  <si>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</si>
  <si>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</si>
  <si>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</si>
  <si>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</si>
  <si>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</si>
  <si>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</si>
  <si>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</si>
  <si>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</si>
  <si>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</si>
  <si>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</si>
  <si>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</si>
  <si>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</si>
  <si>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</si>
  <si>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</si>
  <si>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</si>
  <si>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</si>
  <si>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</si>
  <si>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</si>
  <si>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</si>
  <si>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</si>
  <si>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</si>
  <si>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</si>
  <si>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</si>
  <si>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</si>
  <si>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</si>
  <si>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</si>
  <si>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</si>
  <si>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</si>
  <si>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</si>
  <si>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</si>
  <si>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</si>
  <si>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</si>
  <si>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</si>
  <si>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</si>
  <si>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</si>
  <si>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</si>
  <si>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</si>
  <si>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</si>
  <si>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</si>
  <si>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</si>
  <si>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</si>
  <si>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</si>
  <si>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</si>
  <si>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</si>
  <si>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</si>
  <si>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</si>
  <si>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</si>
  <si>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</si>
  <si>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</si>
  <si>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</si>
  <si>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</si>
  <si>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</si>
  <si>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</si>
  <si>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</si>
  <si>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</si>
  <si>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</si>
  <si>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</si>
  <si>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</si>
  <si>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</si>
  <si>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</si>
  <si>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</si>
  <si>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</si>
  <si>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</si>
  <si>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</si>
  <si>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</si>
  <si>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</si>
  <si>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</si>
  <si>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</si>
  <si>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</si>
  <si>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</si>
  <si>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</si>
  <si>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</si>
  <si>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</si>
  <si>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</si>
  <si>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</si>
  <si>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</si>
  <si>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</si>
  <si>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</si>
  <si>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</si>
  <si>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</si>
  <si>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</si>
  <si>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</si>
  <si>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</si>
  <si>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</si>
  <si>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</si>
  <si>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</si>
  <si>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</si>
  <si>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</si>
  <si>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</si>
  <si>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</si>
  <si>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</si>
  <si>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</si>
  <si>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</si>
  <si>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</si>
  <si>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</si>
  <si>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</si>
  <si>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</si>
  <si>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</si>
  <si>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</si>
  <si>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</si>
  <si>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</si>
  <si>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</si>
  <si>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</si>
  <si>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</si>
  <si>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</si>
  <si>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</si>
  <si>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</si>
  <si>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</si>
  <si>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</si>
  <si>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</si>
  <si>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</si>
  <si>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</si>
  <si>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</si>
  <si>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</si>
  <si>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</si>
  <si>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</si>
  <si>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</si>
  <si>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</si>
  <si>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</si>
  <si>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</si>
  <si>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</si>
  <si>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</si>
  <si>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</si>
  <si>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</si>
  <si>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</si>
  <si>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</si>
  <si>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</si>
  <si>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</si>
  <si>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</si>
  <si>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</si>
  <si>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</si>
  <si>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</si>
  <si>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</si>
  <si>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</si>
  <si>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</si>
  <si>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</si>
  <si>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</si>
  <si>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</si>
  <si>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</si>
  <si>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</si>
  <si>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</si>
  <si>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</si>
  <si>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</si>
  <si>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</si>
  <si>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</si>
  <si>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</si>
  <si>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</si>
  <si>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</si>
  <si>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</si>
  <si>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</si>
  <si>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</si>
  <si>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</si>
  <si>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</si>
  <si>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</si>
  <si>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</si>
  <si>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</si>
  <si>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</si>
  <si>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</si>
  <si>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</si>
  <si>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</si>
  <si>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</si>
  <si>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</si>
  <si>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</si>
  <si>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</si>
  <si>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</si>
  <si>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</si>
  <si>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</si>
  <si>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</si>
  <si>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</si>
  <si>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</si>
  <si>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</si>
  <si>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</si>
  <si>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</si>
  <si>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</si>
  <si>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</si>
  <si>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</si>
  <si>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</si>
  <si>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</si>
  <si>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</si>
  <si>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</si>
  <si>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</si>
  <si>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</si>
  <si>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</si>
  <si>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</si>
  <si>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</si>
  <si>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</si>
  <si>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</si>
  <si>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</si>
  <si>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</si>
  <si>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</si>
  <si>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</si>
  <si>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</si>
  <si>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</si>
  <si>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</si>
  <si>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</si>
  <si>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</si>
  <si>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</si>
  <si>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</si>
  <si>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</si>
  <si>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</si>
  <si>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</si>
  <si>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</si>
  <si>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</si>
  <si>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</si>
  <si>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</si>
  <si>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</si>
  <si>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</si>
  <si>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</si>
  <si>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</si>
  <si>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</si>
  <si>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</si>
  <si>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</si>
  <si>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</si>
  <si>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</si>
  <si>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</si>
  <si>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</si>
  <si>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</si>
  <si>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</si>
  <si>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</si>
  <si>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</si>
  <si>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</si>
  <si>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</si>
  <si>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</si>
  <si>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</si>
  <si>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</si>
  <si>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</si>
  <si>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</si>
  <si>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</si>
  <si>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</si>
  <si>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</si>
  <si>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</si>
  <si>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</si>
  <si>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</si>
  <si>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</si>
  <si>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</si>
  <si>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</si>
  <si>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</si>
  <si>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</si>
  <si>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</si>
  <si>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</si>
  <si>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</si>
  <si>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</si>
  <si>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</si>
  <si>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</si>
  <si>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</si>
  <si>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</si>
  <si>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</si>
  <si>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</si>
  <si>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</si>
  <si>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</si>
  <si>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</si>
  <si>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</si>
  <si>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</si>
  <si>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</si>
  <si>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</si>
  <si>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</si>
  <si>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</si>
  <si>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</si>
  <si>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</si>
  <si>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</si>
  <si>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</si>
  <si>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</si>
  <si>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</si>
  <si>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</si>
  <si>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</si>
  <si>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</si>
  <si>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</si>
  <si>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</si>
  <si>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</si>
  <si>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</si>
  <si>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</si>
  <si>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</si>
  <si>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</si>
  <si>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</si>
  <si>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</si>
  <si>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</si>
  <si>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</si>
  <si>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</si>
  <si>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</si>
  <si>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</si>
  <si>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</si>
  <si>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</si>
  <si>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</si>
  <si>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</si>
  <si>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</si>
  <si>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</si>
  <si>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</si>
  <si>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</si>
  <si>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</si>
  <si>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</si>
  <si>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</si>
  <si>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</si>
  <si>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</si>
  <si>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</si>
  <si>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</si>
  <si>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</si>
  <si>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</si>
  <si>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</si>
  <si>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</si>
  <si>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</si>
  <si>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</si>
  <si>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</si>
  <si>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</si>
  <si>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</si>
  <si>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</si>
  <si>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</si>
  <si>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</si>
  <si>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</si>
  <si>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</si>
  <si>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</si>
  <si>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</si>
  <si>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</si>
  <si>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</si>
  <si>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</si>
  <si>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</si>
  <si>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</si>
  <si>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</si>
  <si>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</si>
  <si>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</si>
  <si>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</si>
  <si>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</si>
  <si>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</si>
  <si>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</si>
  <si>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</si>
  <si>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</si>
  <si>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</si>
  <si>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</si>
  <si>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</si>
  <si>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</si>
  <si>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</si>
  <si>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</si>
  <si>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</si>
  <si>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</si>
  <si>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</si>
  <si>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</si>
  <si>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</si>
  <si>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</si>
  <si>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</si>
  <si>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</si>
  <si>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</si>
  <si>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</si>
  <si>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</si>
  <si>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</si>
  <si>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</si>
  <si>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</si>
  <si>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</si>
  <si>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</si>
  <si>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</si>
  <si>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</si>
  <si>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</si>
  <si>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</si>
  <si>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</si>
  <si>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</si>
  <si>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</si>
  <si>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</si>
  <si>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</si>
  <si>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</si>
  <si>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</si>
  <si>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</si>
  <si>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</si>
  <si>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</si>
  <si>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</si>
  <si>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</si>
  <si>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</si>
  <si>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</si>
  <si>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</si>
  <si>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</si>
  <si>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</si>
  <si>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</si>
  <si>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</si>
  <si>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</si>
  <si>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</si>
  <si>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</si>
  <si>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</si>
  <si>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</si>
  <si>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</si>
  <si>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</si>
  <si>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</si>
  <si>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</si>
  <si>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</si>
  <si>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</si>
  <si>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</si>
  <si>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</si>
  <si>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</si>
  <si>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</si>
  <si>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</si>
  <si>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</si>
  <si>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</si>
  <si>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</si>
  <si>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</si>
  <si>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</si>
  <si>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</si>
  <si>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</si>
  <si>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</si>
  <si>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</si>
  <si>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</si>
  <si>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</si>
  <si>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</si>
  <si>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</si>
  <si>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</si>
  <si>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</si>
  <si>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</si>
  <si>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</si>
  <si>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</si>
  <si>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</si>
  <si>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</si>
  <si>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</si>
  <si>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</si>
  <si>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</si>
  <si>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</si>
  <si>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</si>
  <si>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</si>
  <si>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</si>
  <si>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</si>
  <si>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</si>
  <si>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</si>
  <si>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</si>
  <si>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</si>
  <si>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</si>
  <si>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</si>
  <si>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</si>
  <si>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</si>
  <si>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</si>
  <si>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</si>
  <si>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</si>
  <si>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</si>
  <si>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</si>
  <si>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</si>
  <si>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</si>
  <si>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</si>
  <si>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</si>
  <si>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</si>
  <si>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</si>
  <si>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</si>
  <si>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</si>
  <si>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</si>
  <si>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</si>
  <si>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</si>
  <si>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</si>
  <si>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</si>
  <si>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</si>
  <si>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</si>
  <si>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</si>
  <si>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</si>
  <si>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</si>
  <si>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</si>
  <si>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</si>
  <si>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</si>
  <si>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</si>
  <si>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</si>
  <si>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</si>
  <si>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</si>
  <si>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</si>
  <si>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</si>
  <si>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</si>
  <si>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</si>
  <si>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</si>
  <si>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</si>
  <si>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</si>
  <si>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</si>
  <si>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</si>
  <si>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</si>
  <si>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</si>
  <si>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</si>
  <si>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</si>
  <si>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</si>
  <si>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</si>
  <si>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</si>
  <si>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</si>
  <si>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</si>
  <si>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</si>
  <si>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</si>
  <si>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</si>
  <si>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</si>
  <si>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</si>
  <si>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</si>
  <si>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</si>
  <si>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</si>
  <si>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</si>
  <si>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</si>
  <si>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</si>
  <si>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</si>
  <si>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</si>
  <si>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Salman</t>
  </si>
  <si>
    <t>Madina Store</t>
  </si>
  <si>
    <t xml:space="preserve">Adil Bakers </t>
  </si>
  <si>
    <t xml:space="preserve">V Mart </t>
  </si>
  <si>
    <t xml:space="preserve">MG Mart </t>
  </si>
  <si>
    <t>AL Makkah Store</t>
  </si>
  <si>
    <t>Kashif Super Store</t>
  </si>
  <si>
    <t>Umar General Store</t>
  </si>
  <si>
    <t xml:space="preserve">Data Ali Hajvery </t>
  </si>
  <si>
    <t>Khan Store</t>
  </si>
  <si>
    <t>Address: Tajpura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</si>
</sst>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U1" sqref="U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513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46277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Madina Store</v>
      </c>
      <c r="T3" s="301">
        <f>+'1'!P35</f>
        <v>3136.2115850847458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Adil Bakers </v>
      </c>
      <c r="T4" s="301">
        <f>+'2'!P35</f>
        <v>2384.4092265381355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 xml:space="preserve">V Mart </v>
      </c>
      <c r="T5" s="301">
        <f>+'3'!P35</f>
        <v>18817.269510508475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 xml:space="preserve">MG Mart </v>
      </c>
      <c r="T6" s="301">
        <f>+'4'!P35</f>
        <v>5836.8431690466095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131</v>
      </c>
      <c r="I7" s="235">
        <f>(G7*D7)*F7+H7*F7</f>
        <v>6872.5874999999996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549.80700000000002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240.54056250000002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6082.2399374999995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1298.8983050847451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36.905691212923728</v>
      </c>
      <c r="P7" s="310">
        <f>M7+N7+O7</f>
        <v>7418.0439337976677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AL Makkah Store</v>
      </c>
      <c r="T7" s="301">
        <f>+'5'!P35</f>
        <v>3136.2115850847458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31</v>
      </c>
      <c r="I8" s="236">
        <f t="shared" ref="I8:I14" si="0">(G8*D8)*F8+H8*F8</f>
        <v>1626.3374999999999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130.107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56.921812500000009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1439.3086874999999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307.37288135593207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8.733407844279661</v>
      </c>
      <c r="P8" s="311">
        <f t="shared" ref="P8:P15" si="2">M8+N8+O8</f>
        <v>1755.4149767002116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Kashif Super Store</v>
      </c>
      <c r="T8" s="301">
        <f>+'6'!P35</f>
        <v>5684.3946157786013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21</v>
      </c>
      <c r="I9" s="236">
        <f t="shared" si="0"/>
        <v>1101.7124999999999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88.137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38.559937500000004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975.01556249999987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208.22033898305074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5.9161795074152543</v>
      </c>
      <c r="P9" s="311">
        <f t="shared" si="2"/>
        <v>1189.1520809904659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Umar General Store</v>
      </c>
      <c r="T9" s="301">
        <f>+'7'!P35</f>
        <v>3136.2115850847458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170</v>
      </c>
      <c r="I10" s="236">
        <f t="shared" si="0"/>
        <v>12348.8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987.904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432.20800000000008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10928.687999999998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2333.8983050847464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66.312931525423735</v>
      </c>
      <c r="P10" s="311">
        <f t="shared" si="2"/>
        <v>13328.899236610168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 xml:space="preserve">Data Ali Hajvery </v>
      </c>
      <c r="T10" s="301">
        <f>+'8'!P35</f>
        <v>1019.2732122775423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140</v>
      </c>
      <c r="I11" s="236">
        <f t="shared" si="0"/>
        <v>10169.6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813.56799999999987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355.93599999999998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9000.0960000000014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1922.0338983050851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54.610649491525436</v>
      </c>
      <c r="P11" s="311">
        <f t="shared" si="2"/>
        <v>10976.740547796613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Khan Store</v>
      </c>
      <c r="T11" s="301">
        <f>+'9'!P35</f>
        <v>9335.4926642542378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190</v>
      </c>
      <c r="I12" s="236">
        <f t="shared" si="0"/>
        <v>13801.6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1104.1280000000002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483.0560000000001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12214.416000000001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2608.4745762711868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74.114452881355945</v>
      </c>
      <c r="P12" s="311">
        <f t="shared" si="2"/>
        <v>14897.005029152544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70</v>
      </c>
      <c r="I13" s="236">
        <f t="shared" si="0"/>
        <v>2746.1000000000004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137.30500000000004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96.113500000000016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140.05110000000002</v>
      </c>
      <c r="M13" s="230">
        <f t="shared" si="1"/>
        <v>2372.6304000000005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533.89830508474552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14.53264352542373</v>
      </c>
      <c r="P13" s="311">
        <f t="shared" si="2"/>
        <v>2921.0613486101697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18.824999999999999</v>
      </c>
      <c r="H16" s="113">
        <f t="shared" ref="H16:M16" si="3">SUM(H7:H15)</f>
        <v>753</v>
      </c>
      <c r="I16" s="114">
        <f t="shared" si="3"/>
        <v>48666.737499999996</v>
      </c>
      <c r="J16" s="274">
        <f>SUM(J7:J15)</f>
        <v>3810.9559999999997</v>
      </c>
      <c r="K16" s="275">
        <f t="shared" si="3"/>
        <v>1703.3358125</v>
      </c>
      <c r="L16" s="276">
        <f t="shared" si="3"/>
        <v>140.05110000000002</v>
      </c>
      <c r="M16" s="232">
        <f t="shared" si="3"/>
        <v>43012.394587499999</v>
      </c>
      <c r="N16" s="233">
        <f>SUM(N7:N15)</f>
        <v>9212.7966101694929</v>
      </c>
      <c r="O16" s="101">
        <f>SUM(O7:O15)</f>
        <v>261.12595598834747</v>
      </c>
      <c r="P16" s="113">
        <f>SUM(P7:P15)</f>
        <v>52486.317153657837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48666.737499999996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3810.9559999999997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1843.3869125000001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43012.394587499999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9212.7966101694929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52225.19119766949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261.12595598834747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52486.317153657837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52486.31715365783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9" workbookViewId="0">
      <selection activeCell="G27" sqref="G2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7.2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7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119">
        <f t="shared" si="5"/>
        <v>1568.1057925423729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7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119">
        <f t="shared" si="5"/>
        <v>1568.1057925423729</v>
      </c>
      <c r="Q20" s="319"/>
      <c r="R20">
        <f>P20/21</f>
        <v>74.671704406779668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2905.6</v>
      </c>
      <c r="J25" s="274">
        <f>SUM(J16:J24)</f>
        <v>232.44800000000001</v>
      </c>
      <c r="K25" s="275">
        <f t="shared" si="10"/>
        <v>101.69600000000001</v>
      </c>
      <c r="L25" s="276">
        <f t="shared" si="10"/>
        <v>0</v>
      </c>
      <c r="M25" s="232">
        <f t="shared" si="10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232.44800000000001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101.69600000000001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4" workbookViewId="0">
      <selection activeCell="G27" sqref="G2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5" customHeight="1" x14ac:dyDescent="0.4">
      <c r="A6" s="400" t="s">
        <v>515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118">
        <f>M16+N16+O16</f>
        <v>1132.5257914194915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30</v>
      </c>
      <c r="I22" s="236">
        <f t="shared" si="0"/>
        <v>1176.9000000000001</v>
      </c>
      <c r="J22" s="272">
        <f t="shared" si="1"/>
        <v>58.845000000000006</v>
      </c>
      <c r="K22" s="128">
        <f t="shared" si="1"/>
        <v>41.191500000000005</v>
      </c>
      <c r="L22" s="119">
        <f t="shared" si="1"/>
        <v>60.021900000000002</v>
      </c>
      <c r="M22" s="230">
        <f t="shared" si="2"/>
        <v>1016.8416000000001</v>
      </c>
      <c r="N22" s="277">
        <f t="shared" si="3"/>
        <v>228.81355932203377</v>
      </c>
      <c r="O22" s="239">
        <f t="shared" si="4"/>
        <v>6.2282757966101689</v>
      </c>
      <c r="P22" s="119">
        <f t="shared" si="5"/>
        <v>1251.883435118644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50</v>
      </c>
      <c r="I25" s="114">
        <f t="shared" si="7"/>
        <v>2226.15</v>
      </c>
      <c r="J25" s="274">
        <f>SUM(J16:J24)</f>
        <v>142.785</v>
      </c>
      <c r="K25" s="275">
        <f t="shared" si="7"/>
        <v>77.915250000000015</v>
      </c>
      <c r="L25" s="276">
        <f t="shared" si="7"/>
        <v>60.021900000000002</v>
      </c>
      <c r="M25" s="232">
        <f t="shared" si="7"/>
        <v>1945.42785</v>
      </c>
      <c r="N25" s="233">
        <f>SUM(N16:N24)</f>
        <v>427.11864406779637</v>
      </c>
      <c r="O25" s="101">
        <f>SUM(O16:O24)</f>
        <v>11.862732470338983</v>
      </c>
      <c r="P25" s="234">
        <f>SUM(P16:P24)</f>
        <v>2384.4092265381355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2226.15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142.785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137.93715000000003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1945.4278500000003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427.11864406779637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2372.5464940677966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11.862732470338983</v>
      </c>
    </row>
    <row r="35" spans="2:16" ht="15.75" customHeight="1" thickBot="1" x14ac:dyDescent="0.4">
      <c r="N35" s="374" t="s">
        <v>88</v>
      </c>
      <c r="O35" s="375"/>
      <c r="P35" s="297">
        <f>+P33+P34</f>
        <v>2384.4092265381355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3" workbookViewId="0">
      <selection activeCell="G27" sqref="G2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8.7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80</v>
      </c>
      <c r="I19" s="236">
        <f t="shared" si="0"/>
        <v>5811.2</v>
      </c>
      <c r="J19" s="272">
        <f t="shared" si="1"/>
        <v>464.89600000000002</v>
      </c>
      <c r="K19" s="128">
        <f t="shared" si="1"/>
        <v>203.39200000000002</v>
      </c>
      <c r="L19" s="119">
        <f t="shared" si="1"/>
        <v>0</v>
      </c>
      <c r="M19" s="230">
        <f t="shared" si="2"/>
        <v>5142.9120000000003</v>
      </c>
      <c r="N19" s="277">
        <f t="shared" si="3"/>
        <v>1098.3050847457628</v>
      </c>
      <c r="O19" s="239">
        <f t="shared" si="4"/>
        <v>31.206085423728815</v>
      </c>
      <c r="P19" s="119">
        <f t="shared" si="5"/>
        <v>6272.4231701694916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0"/>
        <v>5811.2</v>
      </c>
      <c r="J20" s="272">
        <f t="shared" si="1"/>
        <v>464.89600000000002</v>
      </c>
      <c r="K20" s="128">
        <f t="shared" si="1"/>
        <v>203.39200000000002</v>
      </c>
      <c r="L20" s="119">
        <f t="shared" si="1"/>
        <v>0</v>
      </c>
      <c r="M20" s="230">
        <f t="shared" si="2"/>
        <v>5142.9120000000003</v>
      </c>
      <c r="N20" s="277">
        <f t="shared" si="3"/>
        <v>1098.3050847457628</v>
      </c>
      <c r="O20" s="239">
        <f t="shared" si="4"/>
        <v>31.206085423728815</v>
      </c>
      <c r="P20" s="119">
        <f t="shared" si="5"/>
        <v>6272.4231701694916</v>
      </c>
      <c r="Q20" s="319"/>
      <c r="R20">
        <f>P20/21</f>
        <v>298.68681762711867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0"/>
        <v>5811.2</v>
      </c>
      <c r="J21" s="272">
        <f t="shared" si="1"/>
        <v>464.89600000000002</v>
      </c>
      <c r="K21" s="128">
        <f t="shared" si="1"/>
        <v>203.39200000000002</v>
      </c>
      <c r="L21" s="119">
        <f t="shared" si="1"/>
        <v>0</v>
      </c>
      <c r="M21" s="230">
        <f t="shared" si="2"/>
        <v>5142.9120000000003</v>
      </c>
      <c r="N21" s="277">
        <f t="shared" si="3"/>
        <v>1098.3050847457628</v>
      </c>
      <c r="O21" s="239">
        <f t="shared" si="4"/>
        <v>31.206085423728815</v>
      </c>
      <c r="P21" s="119">
        <f t="shared" si="5"/>
        <v>6272.4231701694916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240</v>
      </c>
      <c r="I25" s="114">
        <f t="shared" si="7"/>
        <v>17433.599999999999</v>
      </c>
      <c r="J25" s="274">
        <f>SUM(J16:J24)</f>
        <v>1394.6880000000001</v>
      </c>
      <c r="K25" s="275">
        <f t="shared" si="7"/>
        <v>610.17600000000004</v>
      </c>
      <c r="L25" s="276">
        <f t="shared" si="7"/>
        <v>0</v>
      </c>
      <c r="M25" s="232">
        <f t="shared" si="7"/>
        <v>15428.736000000001</v>
      </c>
      <c r="N25" s="233">
        <f>SUM(N16:N24)</f>
        <v>3294.9152542372885</v>
      </c>
      <c r="O25" s="101">
        <f>SUM(O16:O24)</f>
        <v>93.618256271186453</v>
      </c>
      <c r="P25" s="234">
        <f>SUM(P16:P24)</f>
        <v>18817.269510508475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17433.599999999999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1394.6880000000001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610.17600000000004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15428.735999999999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3294.9152542372885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18723.651254237288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93.618256271186439</v>
      </c>
    </row>
    <row r="35" spans="2:16" ht="15.75" customHeight="1" thickBot="1" x14ac:dyDescent="0.4">
      <c r="N35" s="374" t="s">
        <v>88</v>
      </c>
      <c r="O35" s="375"/>
      <c r="P35" s="297">
        <f>+P33+P34</f>
        <v>18817.269510508475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3" workbookViewId="0">
      <selection activeCell="G27" sqref="G2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80</v>
      </c>
      <c r="I25" s="114">
        <f t="shared" si="7"/>
        <v>5407.65</v>
      </c>
      <c r="J25" s="274">
        <f>SUM(J16:J24)</f>
        <v>432.61199999999997</v>
      </c>
      <c r="K25" s="275">
        <f t="shared" si="7"/>
        <v>189.26775000000004</v>
      </c>
      <c r="L25" s="276">
        <f t="shared" si="7"/>
        <v>0</v>
      </c>
      <c r="M25" s="232">
        <f t="shared" si="7"/>
        <v>4785.7702500000005</v>
      </c>
      <c r="N25" s="233">
        <f>SUM(N16:N24)</f>
        <v>1022.0338983050847</v>
      </c>
      <c r="O25" s="101">
        <f>SUM(O16:O24)</f>
        <v>29.039020741525423</v>
      </c>
      <c r="P25" s="234">
        <f>SUM(P16:P24)</f>
        <v>5836.8431690466105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5407.65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432.61199999999997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189.26775000000004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4785.7702499999996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1022.0338983050847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5807.8041483050838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29.03902074152542</v>
      </c>
    </row>
    <row r="35" spans="2:16" ht="15.75" customHeight="1" thickBot="1" x14ac:dyDescent="0.4">
      <c r="N35" s="374" t="s">
        <v>88</v>
      </c>
      <c r="O35" s="375"/>
      <c r="P35" s="297">
        <f>+P33+P34</f>
        <v>5836.8431690466095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3" workbookViewId="0">
      <selection activeCell="G27" sqref="G2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232.44800000000001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101.69600000000001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3" workbookViewId="0">
      <selection activeCell="G27" sqref="G2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118">
        <f>M16+N16+O16</f>
        <v>849.39434356461845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15</v>
      </c>
      <c r="I17" s="236">
        <f t="shared" ref="I17:I23" si="0">(G17*D17)*F17+H17*F17</f>
        <v>786.9375</v>
      </c>
      <c r="J17" s="272">
        <f t="shared" ref="J17:L24" si="1">$I17*S17</f>
        <v>62.954999999999998</v>
      </c>
      <c r="K17" s="128">
        <f>$I17*T17</f>
        <v>27.542812500000004</v>
      </c>
      <c r="L17" s="119">
        <f>$I17*U17</f>
        <v>0</v>
      </c>
      <c r="M17" s="230">
        <f t="shared" ref="M17:M24" si="2">I17-SUM(J17:L17)</f>
        <v>696.43968749999999</v>
      </c>
      <c r="N17" s="277">
        <f t="shared" ref="N17:N24" si="3">+(G17*D17+H17)*V17</f>
        <v>148.72881355932196</v>
      </c>
      <c r="O17" s="239">
        <f t="shared" ref="O17:O24" si="4">(N17+M17)*$O$15</f>
        <v>4.22584250529661</v>
      </c>
      <c r="P17" s="119">
        <f t="shared" ref="P17:P24" si="5">M17+N17+O17</f>
        <v>849.39434356461845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15</v>
      </c>
      <c r="I18" s="236">
        <f t="shared" si="0"/>
        <v>786.9375</v>
      </c>
      <c r="J18" s="272">
        <f t="shared" si="1"/>
        <v>62.954999999999998</v>
      </c>
      <c r="K18" s="128">
        <f t="shared" si="1"/>
        <v>27.542812500000004</v>
      </c>
      <c r="L18" s="119">
        <f t="shared" si="1"/>
        <v>0</v>
      </c>
      <c r="M18" s="230">
        <f t="shared" si="2"/>
        <v>696.43968749999999</v>
      </c>
      <c r="N18" s="277">
        <f t="shared" si="3"/>
        <v>148.72881355932196</v>
      </c>
      <c r="O18" s="239">
        <f t="shared" si="4"/>
        <v>4.22584250529661</v>
      </c>
      <c r="P18" s="119">
        <f t="shared" si="5"/>
        <v>849.39434356461845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85</v>
      </c>
      <c r="I25" s="114">
        <f t="shared" si="7"/>
        <v>5266.4125000000004</v>
      </c>
      <c r="J25" s="274">
        <f>SUM(J16:J24)</f>
        <v>421.31300000000005</v>
      </c>
      <c r="K25" s="275">
        <f t="shared" si="7"/>
        <v>184.32443750000002</v>
      </c>
      <c r="L25" s="276">
        <f t="shared" si="7"/>
        <v>0</v>
      </c>
      <c r="M25" s="232">
        <f t="shared" si="7"/>
        <v>4660.7750624999999</v>
      </c>
      <c r="N25" s="233">
        <f>SUM(N16:N24)</f>
        <v>995.33898305084722</v>
      </c>
      <c r="O25" s="101">
        <f>SUM(O16:O24)</f>
        <v>28.280570227754236</v>
      </c>
      <c r="P25" s="234">
        <f>SUM(P16:P24)</f>
        <v>5684.3946157786004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5266.4125000000004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421.31300000000005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184.32443750000002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4660.7750624999999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995.33898305084722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5656.1140455508466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28.280570227754232</v>
      </c>
    </row>
    <row r="35" spans="2:16" ht="15.75" customHeight="1" thickBot="1" x14ac:dyDescent="0.4">
      <c r="N35" s="374" t="s">
        <v>88</v>
      </c>
      <c r="O35" s="375"/>
      <c r="P35" s="297">
        <f>+P33+P34</f>
        <v>5684.3946157786013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3" workbookViewId="0">
      <selection activeCell="G27" sqref="G2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232.44799999999998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G27" sqref="G2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5" customHeight="1" x14ac:dyDescent="0.4">
      <c r="A6" s="400" t="s">
        <v>521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6</v>
      </c>
      <c r="I16" s="235">
        <f>(G16*D16)*F16+H16*F16</f>
        <v>314.77499999999998</v>
      </c>
      <c r="J16" s="271">
        <f>$I16*S16</f>
        <v>25.181999999999999</v>
      </c>
      <c r="K16" s="127">
        <f>$I16*T16</f>
        <v>11.017125</v>
      </c>
      <c r="L16" s="118">
        <f>$I16*U16</f>
        <v>0</v>
      </c>
      <c r="M16" s="229">
        <f>I16-SUM(J16:L16)</f>
        <v>278.575875</v>
      </c>
      <c r="N16" s="248">
        <f>+(G16*D16+H16)*V16</f>
        <v>59.491525423728788</v>
      </c>
      <c r="O16" s="238">
        <f>(N16+M16)*$O$15</f>
        <v>1.6903370021186439</v>
      </c>
      <c r="P16" s="118">
        <f>M16+N16+O16</f>
        <v>339.75773742584744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119">
        <f t="shared" ref="P17:P24" si="5">M17+N17+O17</f>
        <v>339.75773742584744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6</v>
      </c>
      <c r="I18" s="236">
        <f t="shared" si="0"/>
        <v>314.77499999999998</v>
      </c>
      <c r="J18" s="272">
        <f t="shared" si="1"/>
        <v>25.181999999999999</v>
      </c>
      <c r="K18" s="128">
        <f t="shared" si="1"/>
        <v>11.017125</v>
      </c>
      <c r="L18" s="119">
        <f t="shared" si="1"/>
        <v>0</v>
      </c>
      <c r="M18" s="230">
        <f t="shared" si="2"/>
        <v>278.575875</v>
      </c>
      <c r="N18" s="277">
        <f t="shared" si="3"/>
        <v>59.491525423728788</v>
      </c>
      <c r="O18" s="239">
        <f t="shared" si="4"/>
        <v>1.6903370021186439</v>
      </c>
      <c r="P18" s="119">
        <f t="shared" si="5"/>
        <v>339.75773742584744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18</v>
      </c>
      <c r="I25" s="114">
        <f t="shared" si="7"/>
        <v>944.32499999999993</v>
      </c>
      <c r="J25" s="274">
        <f>SUM(J16:J24)</f>
        <v>75.545999999999992</v>
      </c>
      <c r="K25" s="275">
        <f t="shared" si="7"/>
        <v>33.051375</v>
      </c>
      <c r="L25" s="276">
        <f t="shared" si="7"/>
        <v>0</v>
      </c>
      <c r="M25" s="232">
        <f t="shared" si="7"/>
        <v>835.72762499999999</v>
      </c>
      <c r="N25" s="233">
        <f>SUM(N16:N24)</f>
        <v>178.47457627118638</v>
      </c>
      <c r="O25" s="101">
        <f>SUM(O16:O24)</f>
        <v>5.0710110063559313</v>
      </c>
      <c r="P25" s="234">
        <f>SUM(P16:P24)</f>
        <v>1019.2732122775424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944.32499999999993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75.545999999999992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33.051375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835.72762499999999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178.47457627118638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1014.2022012711864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5.0710110063559322</v>
      </c>
    </row>
    <row r="35" spans="2:16" ht="15.75" customHeight="1" thickBot="1" x14ac:dyDescent="0.4">
      <c r="N35" s="374" t="s">
        <v>88</v>
      </c>
      <c r="O35" s="375"/>
      <c r="P35" s="297">
        <f>+P33+P34</f>
        <v>1019.2732122775423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4" workbookViewId="0">
      <selection activeCell="G27" sqref="G2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5" customHeight="1" x14ac:dyDescent="0.4">
      <c r="A6" s="400" t="s">
        <v>522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80</v>
      </c>
      <c r="I16" s="235">
        <f>(G16*D16)*F16+H16*F16</f>
        <v>4197</v>
      </c>
      <c r="J16" s="271">
        <f>$I16*S16</f>
        <v>335.76</v>
      </c>
      <c r="K16" s="127">
        <f>$I16*T16</f>
        <v>146.89500000000001</v>
      </c>
      <c r="L16" s="118">
        <f>$I16*U16</f>
        <v>0</v>
      </c>
      <c r="M16" s="229">
        <f>I16-SUM(J16:L16)</f>
        <v>3714.3450000000003</v>
      </c>
      <c r="N16" s="248">
        <f>+(G16*D16+H16)*V16</f>
        <v>793.22033898305051</v>
      </c>
      <c r="O16" s="238">
        <f>(N16+M16)*$O$15</f>
        <v>22.537826694915253</v>
      </c>
      <c r="P16" s="118">
        <f>M16+N16+O16</f>
        <v>4530.103165677966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119">
        <f t="shared" si="5"/>
        <v>1568.1057925423729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160</v>
      </c>
      <c r="I25" s="114">
        <f t="shared" si="7"/>
        <v>8671.8000000000011</v>
      </c>
      <c r="J25" s="274">
        <f>SUM(J16:J24)</f>
        <v>646.66800000000001</v>
      </c>
      <c r="K25" s="275">
        <f t="shared" si="7"/>
        <v>303.51300000000003</v>
      </c>
      <c r="L25" s="276">
        <f t="shared" si="7"/>
        <v>80.029200000000003</v>
      </c>
      <c r="M25" s="232">
        <f t="shared" si="7"/>
        <v>7641.5898000000007</v>
      </c>
      <c r="N25" s="233">
        <f>SUM(N16:N24)</f>
        <v>1647.4576271186436</v>
      </c>
      <c r="O25" s="101">
        <f>SUM(O16:O24)</f>
        <v>46.445237135593217</v>
      </c>
      <c r="P25" s="234">
        <f>SUM(P16:P24)</f>
        <v>9335.4926642542378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8671.8000000000011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646.66800000000001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383.54220000000004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7641.5898000000016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1647.4576271186436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9289.0474271186449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46.445237135593224</v>
      </c>
    </row>
    <row r="35" spans="2:16" ht="15.75" customHeight="1" thickBot="1" x14ac:dyDescent="0.4">
      <c r="N35" s="374" t="s">
        <v>88</v>
      </c>
      <c r="O35" s="375"/>
      <c r="P35" s="297">
        <f>+P33+P34</f>
        <v>9335.4926642542378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B19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B19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B19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B19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B19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B19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B19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B19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B19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B19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B19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B19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B19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B19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B19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B19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B19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B19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B19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B19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B19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46277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46276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2026-09-11T11:28:42Z</dcterms:modified>
</cp:coreProperties>
</file>