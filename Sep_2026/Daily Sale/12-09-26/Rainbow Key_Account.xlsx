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168C3A-1543-4A37-866D-F6DAE34A5CB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<sst xmlns="http://schemas.openxmlformats.org/spreadsheetml/2006/main" count="3908" uniqueCount="517">
  <si>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</si>
  <si>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</si>
  <si>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</si>
  <si>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</si>
  <si>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</si>
  <si>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</si>
  <si>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</si>
  <si>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</si>
  <si>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</si>
  <si>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</si>
  <si>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</si>
  <si>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</si>
  <si>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</si>
  <si>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</si>
  <si>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</si>
  <si>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</si>
  <si>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</si>
  <si>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</si>
  <si>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</si>
  <si>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</si>
  <si>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</si>
  <si>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</si>
  <si>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</si>
  <si>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</si>
  <si>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</si>
  <si>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</si>
  <si>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</si>
  <si>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</si>
  <si>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</si>
  <si>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</si>
  <si>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</si>
  <si>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</si>
  <si>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</si>
  <si>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</si>
  <si>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</si>
  <si>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</si>
  <si>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</si>
  <si>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</si>
  <si>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</si>
  <si>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</si>
  <si>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</si>
  <si>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</si>
  <si>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</si>
  <si>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</si>
  <si>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</si>
  <si>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</si>
  <si>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</si>
  <si>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</si>
  <si>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</si>
  <si>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</si>
  <si>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</si>
  <si>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</si>
  <si>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</si>
  <si>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</si>
  <si>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</si>
  <si>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</si>
  <si>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</si>
  <si>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</si>
  <si>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</si>
  <si>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</si>
  <si>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</si>
  <si>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</si>
  <si>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</si>
  <si>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</si>
  <si>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</si>
  <si>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</si>
  <si>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</si>
  <si>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</si>
  <si>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</si>
  <si>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</si>
  <si>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</si>
  <si>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</si>
  <si>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</si>
  <si>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</si>
  <si>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</si>
  <si>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</si>
  <si>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</si>
  <si>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</si>
  <si>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</si>
  <si>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</si>
  <si>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</si>
  <si>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</si>
  <si>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</si>
  <si>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</si>
  <si>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</si>
  <si>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</si>
  <si>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</si>
  <si>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</si>
  <si>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</si>
  <si>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</si>
  <si>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</si>
  <si>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</si>
  <si>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</si>
  <si>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</si>
  <si>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</si>
  <si>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</si>
  <si>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</si>
  <si>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</si>
  <si>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</si>
  <si>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</si>
  <si>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</si>
  <si>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</si>
  <si>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</si>
  <si>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</si>
  <si>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</si>
  <si>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</si>
  <si>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</si>
  <si>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</si>
  <si>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</si>
  <si>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</si>
  <si>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</si>
  <si>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</si>
  <si>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</si>
  <si>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</si>
  <si>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</si>
  <si>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</si>
  <si>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</si>
  <si>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</si>
  <si>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</si>
  <si>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</si>
  <si>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</si>
  <si>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</si>
  <si>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</si>
  <si>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</si>
  <si>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</si>
  <si>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</si>
  <si>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</si>
  <si>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</si>
  <si>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</si>
  <si>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</si>
  <si>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</si>
  <si>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</si>
  <si>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</si>
  <si>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</si>
  <si>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</si>
  <si>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</si>
  <si>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</si>
  <si>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</si>
  <si>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</si>
  <si>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</si>
  <si>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</si>
  <si>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</si>
  <si>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</si>
  <si>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</si>
  <si>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</si>
  <si>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</si>
  <si>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</si>
  <si>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</si>
  <si>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</si>
  <si>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</si>
  <si>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</si>
  <si>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</si>
  <si>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</si>
  <si>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</si>
  <si>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</si>
  <si>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</si>
  <si>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</si>
  <si>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</si>
  <si>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</si>
  <si>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</si>
  <si>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</si>
  <si>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</si>
  <si>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</si>
  <si>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</si>
  <si>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</si>
  <si>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</si>
  <si>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</si>
  <si>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</si>
  <si>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</si>
  <si>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</si>
  <si>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</si>
  <si>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</si>
  <si>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</si>
  <si>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</si>
  <si>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</si>
  <si>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</si>
  <si>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</si>
  <si>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</si>
  <si>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</si>
  <si>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</si>
  <si>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</si>
  <si>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</si>
  <si>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</si>
  <si>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</si>
  <si>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</si>
  <si>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</si>
  <si>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</si>
  <si>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</si>
  <si>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</si>
  <si>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</si>
  <si>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</si>
  <si>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</si>
  <si>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</si>
  <si>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</si>
  <si>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</si>
  <si>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</si>
  <si>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</si>
  <si>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</si>
  <si>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</si>
  <si>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</si>
  <si>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</si>
  <si>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</si>
  <si>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</si>
  <si>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</si>
  <si>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</si>
  <si>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</si>
  <si>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</si>
  <si>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</si>
  <si>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</si>
  <si>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</si>
  <si>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</si>
  <si>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</si>
  <si>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</si>
  <si>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</si>
  <si>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</si>
  <si>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</si>
  <si>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</si>
  <si>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</si>
  <si>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</si>
  <si>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</si>
  <si>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</si>
  <si>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</si>
  <si>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</si>
  <si>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</si>
  <si>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</si>
  <si>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</si>
  <si>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</si>
  <si>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</si>
  <si>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</si>
  <si>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</si>
  <si>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</si>
  <si>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</si>
  <si>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</si>
  <si>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</si>
  <si>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</si>
  <si>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</si>
  <si>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</si>
  <si>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</si>
  <si>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</si>
  <si>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</si>
  <si>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</si>
  <si>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</si>
  <si>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</si>
  <si>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</si>
  <si>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</si>
  <si>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</si>
  <si>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</si>
  <si>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</si>
  <si>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</si>
  <si>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</si>
  <si>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</si>
  <si>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</si>
  <si>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</si>
  <si>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</si>
  <si>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</si>
  <si>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</si>
  <si>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</si>
  <si>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</si>
  <si>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</si>
  <si>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</si>
  <si>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</si>
  <si>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</si>
  <si>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</si>
  <si>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</si>
  <si>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</si>
  <si>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</si>
  <si>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</si>
  <si>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</si>
  <si>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</si>
  <si>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</si>
  <si>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</si>
  <si>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</si>
  <si>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</si>
  <si>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</si>
  <si>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</si>
  <si>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</si>
  <si>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</si>
  <si>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</si>
  <si>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</si>
  <si>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</si>
  <si>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</si>
  <si>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</si>
  <si>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</si>
  <si>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</si>
  <si>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</si>
  <si>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</si>
  <si>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</si>
  <si>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</si>
  <si>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</si>
  <si>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</si>
  <si>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</si>
  <si>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</si>
  <si>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</si>
  <si>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</si>
  <si>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</si>
  <si>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</si>
  <si>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</si>
  <si>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</si>
  <si>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</si>
  <si>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</si>
  <si>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</si>
  <si>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</si>
  <si>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</si>
  <si>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</si>
  <si>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</si>
  <si>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</si>
  <si>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</si>
  <si>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</si>
  <si>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</si>
  <si>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</si>
  <si>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</si>
  <si>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</si>
  <si>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</si>
  <si>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</si>
  <si>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</si>
  <si>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</si>
  <si>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</si>
  <si>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</si>
  <si>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</si>
  <si>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</si>
  <si>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</si>
  <si>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</si>
  <si>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</si>
  <si>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</si>
  <si>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</si>
  <si>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</si>
  <si>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</si>
  <si>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</si>
  <si>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</si>
  <si>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</si>
  <si>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</si>
  <si>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</si>
  <si>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</si>
  <si>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</si>
  <si>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</si>
  <si>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</si>
  <si>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</si>
  <si>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</si>
  <si>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</si>
  <si>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</si>
  <si>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</si>
  <si>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</si>
  <si>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</si>
  <si>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</si>
  <si>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</si>
  <si>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</si>
  <si>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</si>
  <si>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</si>
  <si>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</si>
  <si>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</si>
  <si>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</si>
  <si>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</si>
  <si>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</si>
  <si>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</si>
  <si>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</si>
  <si>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</si>
  <si>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</si>
  <si>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</si>
  <si>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</si>
  <si>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</si>
  <si>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</si>
  <si>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</si>
  <si>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</si>
  <si>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</si>
  <si>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</si>
  <si>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</si>
  <si>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</si>
  <si>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</si>
  <si>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</si>
  <si>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</si>
  <si>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</si>
  <si>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</si>
  <si>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</si>
  <si>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</si>
  <si>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</si>
  <si>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</si>
  <si>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</si>
  <si>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</si>
  <si>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</si>
  <si>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</si>
  <si>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</si>
  <si>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</si>
  <si>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</si>
  <si>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</si>
  <si>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</si>
  <si>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</si>
  <si>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</si>
  <si>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</si>
  <si>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</si>
  <si>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</si>
  <si>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</si>
  <si>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</si>
  <si>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</si>
  <si>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</si>
  <si>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</si>
  <si>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</si>
  <si>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</si>
  <si>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</si>
  <si>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</si>
  <si>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</si>
  <si>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</si>
  <si>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</si>
  <si>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</si>
  <si>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</si>
  <si>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</si>
  <si>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</si>
  <si>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</si>
  <si>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</si>
  <si>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</si>
  <si>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</si>
  <si>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</si>
  <si>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</si>
  <si>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</si>
  <si>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</si>
  <si>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</si>
  <si>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</si>
  <si>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</si>
  <si>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</si>
  <si>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</si>
  <si>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</si>
  <si>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</si>
  <si>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</si>
  <si>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</si>
  <si>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</si>
  <si>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</si>
  <si>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</si>
  <si>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</si>
  <si>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</si>
  <si>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</si>
  <si>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</si>
  <si>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</si>
  <si>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</si>
  <si>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</si>
  <si>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</si>
  <si>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</si>
  <si>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</si>
  <si>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</si>
  <si>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</si>
  <si>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</si>
  <si>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</si>
  <si>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</si>
  <si>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</si>
  <si>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</si>
  <si>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</si>
  <si>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</si>
  <si>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</si>
  <si>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</si>
  <si>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</si>
  <si>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</si>
  <si>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</si>
  <si>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</si>
  <si>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</si>
  <si>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</si>
  <si>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</si>
  <si>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</si>
  <si>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</si>
  <si>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</si>
  <si>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</si>
  <si>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</si>
  <si>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</si>
  <si>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</si>
  <si>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</si>
  <si>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</si>
  <si>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</si>
  <si>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</si>
  <si>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</si>
  <si>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</si>
  <si>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</si>
  <si>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</si>
  <si>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</si>
  <si>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</si>
  <si>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</si>
  <si>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</si>
  <si>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</si>
  <si>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</si>
  <si>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</si>
  <si>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</si>
  <si>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</si>
  <si>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</si>
  <si>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</si>
  <si>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</si>
  <si>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</si>
  <si>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</si>
  <si>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</si>
  <si>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</si>
  <si>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</si>
  <si>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</si>
  <si>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</si>
  <si>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</si>
  <si>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</si>
  <si>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</si>
  <si>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</si>
  <si>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</si>
  <si>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</si>
  <si>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</si>
  <si>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</si>
  <si>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</si>
  <si>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</si>
  <si>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</si>
  <si>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</si>
  <si>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</si>
  <si>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</si>
  <si>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</si>
  <si>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</si>
  <si>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</si>
  <si>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</si>
  <si>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</si>
  <si>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</si>
  <si>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</si>
  <si>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</si>
  <si>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</si>
  <si>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 Shaikhpura</t>
  </si>
  <si>
    <t>Address: Gujranwala</t>
  </si>
  <si>
    <t>Address: Sabzazaar</t>
  </si>
  <si>
    <t>Invoice No # :4512348</t>
  </si>
  <si>
    <t>Address: Barki Road</t>
  </si>
  <si>
    <t>Invoice No # :45114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</si>
</sst>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497</v>
      </c>
      <c r="F2" s="373"/>
      <c r="G2" s="373"/>
      <c r="H2" s="373" t="s">
        <v>507</v>
      </c>
      <c r="I2" s="373"/>
      <c r="J2" s="374"/>
      <c r="R2" s="370" t="s">
        <v>506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498</v>
      </c>
      <c r="F3" s="379"/>
      <c r="G3" s="379"/>
      <c r="H3" s="376">
        <v>46273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Rainbow Cash &amp; Carry</v>
      </c>
      <c r="T3" s="301">
        <f>+'1'!P35</f>
        <v>37670.55889385593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2847.4880000000003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16779.84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103.11953898305084</v>
      </c>
      <c r="P12" s="119">
        <f t="shared" si="2"/>
        <v>20727.027335593219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520</v>
      </c>
      <c r="I16" s="114">
        <f t="shared" si="3"/>
        <v>36965.699999999997</v>
      </c>
      <c r="J16" s="274">
        <f>SUM(J7:J15)</f>
        <v>5175.1980000000003</v>
      </c>
      <c r="K16" s="275">
        <f t="shared" si="3"/>
        <v>1293.7995000000001</v>
      </c>
      <c r="L16" s="276">
        <f t="shared" si="3"/>
        <v>0</v>
      </c>
      <c r="M16" s="232">
        <f t="shared" si="3"/>
        <v>30496.702499999999</v>
      </c>
      <c r="N16" s="233">
        <f>SUM(N7:N15)</f>
        <v>6986.4406779661022</v>
      </c>
      <c r="O16" s="101">
        <f>SUM(O7:O15)</f>
        <v>187.41571588983049</v>
      </c>
      <c r="P16" s="234">
        <f>SUM(P7:P15)</f>
        <v>37670.558893855923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36965.699999999997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5175.1980000000003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1293.7995000000001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30496.702499999996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6986.4406779661022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37483.1431779661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187.41571588983049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37670.55889385593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37670.55889385593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516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46276</v>
      </c>
      <c r="O5" s="383"/>
      <c r="P5" s="383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06"/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7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36965.699999999997</v>
      </c>
      <c r="J25" s="274">
        <f>SUM(J16:J24)</f>
        <v>5175.1980000000003</v>
      </c>
      <c r="K25" s="275">
        <f t="shared" si="10"/>
        <v>1293.7995000000001</v>
      </c>
      <c r="L25" s="276">
        <f t="shared" si="10"/>
        <v>0</v>
      </c>
      <c r="M25" s="232">
        <f t="shared" si="10"/>
        <v>30496.702499999999</v>
      </c>
      <c r="N25" s="233">
        <f>SUM(N16:N24)</f>
        <v>6986.4406779661022</v>
      </c>
      <c r="O25" s="101">
        <f>SUM(O16:O24)</f>
        <v>187.41571588983049</v>
      </c>
      <c r="P25" s="234">
        <f>SUM(P16:P24)</f>
        <v>37670.558893855923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36965.699999999997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5175.1980000000003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1293.7995000000001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30496.702499999996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6986.4406779661022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37483.1431779661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187.41571588983049</v>
      </c>
    </row>
    <row r="35" spans="2:16" ht="15.75" customHeight="1" thickBot="1" x14ac:dyDescent="0.4">
      <c r="N35" s="364" t="s">
        <v>88</v>
      </c>
      <c r="O35" s="365"/>
      <c r="P35" s="297">
        <f>+P33+P34</f>
        <v>37670.55889385593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514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511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514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514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  <c r="Q28" s="309"/>
      <c r="S28" s="310"/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  <c r="Q29" s="309"/>
      <c r="S29" s="310"/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  <c r="Q30" s="309"/>
      <c r="S30" s="310"/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  <c r="Q31" s="309"/>
      <c r="S31" s="310"/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46271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46277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46276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2026-09-11T11:47:36Z</dcterms:modified>
</cp:coreProperties>
</file>