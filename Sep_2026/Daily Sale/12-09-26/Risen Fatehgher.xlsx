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C0062330-2AE9-4267-83C6-183687DFA63D}" xr6:coauthVersionLast="47" xr6:coauthVersionMax="47" xr10:uidLastSave="{00000000-0000-0000-0000-000000000000}"/>
  <bookViews>
    <workbookView xWindow="-110" yWindow="-110" windowWidth="19420" windowHeight="10420" tabRatio="872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M23" i="61" s="1"/>
  <c r="O23" i="61" s="1"/>
  <c r="P23" i="61" s="1"/>
  <c r="K23" i="61"/>
  <c r="L23" i="6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J7" i="62" l="1"/>
  <c r="M20" i="46"/>
  <c r="O20" i="46" s="1"/>
  <c r="P20" i="46" s="1"/>
  <c r="R20" i="46" s="1"/>
  <c r="M21" i="53"/>
  <c r="O21" i="53" s="1"/>
  <c r="P21" i="53" s="1"/>
  <c r="M16" i="52"/>
  <c r="M21" i="52"/>
  <c r="O21" i="52" s="1"/>
  <c r="P21" i="52" s="1"/>
  <c r="M17" i="60"/>
  <c r="O17" i="60" s="1"/>
  <c r="P17" i="60" s="1"/>
  <c r="M16" i="66"/>
  <c r="J25" i="61"/>
  <c r="P29" i="61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70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<sst xmlns="http://schemas.openxmlformats.org/spreadsheetml/2006/main" count="3947" uniqueCount="524">
  <si>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</si>
  <si>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</si>
  <si>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</si>
  <si>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</si>
  <si>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</si>
  <si>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</si>
  <si>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</si>
  <si>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</si>
  <si>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</si>
  <si>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</si>
  <si>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</si>
  <si>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</si>
  <si>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</si>
  <si>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</si>
  <si>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</si>
  <si>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</si>
  <si>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</si>
  <si>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</si>
  <si>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</si>
  <si>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</si>
  <si>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</si>
  <si>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</si>
  <si>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</si>
  <si>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</si>
  <si>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</si>
  <si>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</si>
  <si>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</si>
  <si>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</si>
  <si>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</si>
  <si>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</si>
  <si>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</si>
  <si>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</si>
  <si>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</si>
  <si>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</si>
  <si>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</si>
  <si>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</si>
  <si>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</si>
  <si>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</si>
  <si>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</si>
  <si>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</si>
  <si>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</si>
  <si>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</si>
  <si>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</si>
  <si>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</si>
  <si>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</si>
  <si>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</si>
  <si>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</si>
  <si>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</si>
  <si>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</si>
  <si>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</si>
  <si>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</si>
  <si>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</si>
  <si>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</si>
  <si>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</si>
  <si>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</si>
  <si>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</si>
  <si>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</si>
  <si>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</si>
  <si>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</si>
  <si>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</si>
  <si>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</si>
  <si>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</si>
  <si>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</si>
  <si>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</si>
  <si>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</si>
  <si>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</si>
  <si>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</si>
  <si>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</si>
  <si>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</si>
  <si>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</si>
  <si>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</si>
  <si>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</si>
  <si>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</si>
  <si>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</si>
  <si>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</si>
  <si>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</si>
  <si>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</si>
  <si>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</si>
  <si>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</si>
  <si>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</si>
  <si>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</si>
  <si>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</si>
  <si>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</si>
  <si>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</si>
  <si>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</si>
  <si>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</si>
  <si>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</si>
  <si>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</si>
  <si>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</si>
  <si>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</si>
  <si>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</si>
  <si>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</si>
  <si>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</si>
  <si>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</si>
  <si>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</si>
  <si>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</si>
  <si>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</si>
  <si>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</si>
  <si>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</si>
  <si>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</si>
  <si>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</si>
  <si>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</si>
  <si>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</si>
  <si>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</si>
  <si>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</si>
  <si>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</si>
  <si>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</si>
  <si>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</si>
  <si>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</si>
  <si>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</si>
  <si>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</si>
  <si>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</si>
  <si>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</si>
  <si>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</si>
  <si>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</si>
  <si>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</si>
  <si>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</si>
  <si>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</si>
  <si>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</si>
  <si>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</si>
  <si>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</si>
  <si>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</si>
  <si>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</si>
  <si>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</si>
  <si>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</si>
  <si>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</si>
  <si>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</si>
  <si>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</si>
  <si>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</si>
  <si>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</si>
  <si>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</si>
  <si>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</si>
  <si>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</si>
  <si>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</si>
  <si>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</si>
  <si>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</si>
  <si>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</si>
  <si>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</si>
  <si>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</si>
  <si>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</si>
  <si>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</si>
  <si>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</si>
  <si>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</si>
  <si>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</si>
  <si>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</si>
  <si>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</si>
  <si>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</si>
  <si>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</si>
  <si>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</si>
  <si>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</si>
  <si>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</si>
  <si>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</si>
  <si>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</si>
  <si>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</si>
  <si>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</si>
  <si>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</si>
  <si>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</si>
  <si>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</si>
  <si>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</si>
  <si>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</si>
  <si>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</si>
  <si>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</si>
  <si>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</si>
  <si>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</si>
  <si>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</si>
  <si>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</si>
  <si>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</si>
  <si>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</si>
  <si>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</si>
  <si>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</si>
  <si>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</si>
  <si>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</si>
  <si>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</si>
  <si>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</si>
  <si>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</si>
  <si>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</si>
  <si>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</si>
  <si>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</si>
  <si>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</si>
  <si>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</si>
  <si>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</si>
  <si>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</si>
  <si>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</si>
  <si>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</si>
  <si>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</si>
  <si>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</si>
  <si>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</si>
  <si>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</si>
  <si>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</si>
  <si>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</si>
  <si>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</si>
  <si>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</si>
  <si>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</si>
  <si>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</si>
  <si>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</si>
  <si>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</si>
  <si>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</si>
  <si>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</si>
  <si>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</si>
  <si>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</si>
  <si>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</si>
  <si>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</si>
  <si>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</si>
  <si>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</si>
  <si>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</si>
  <si>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</si>
  <si>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</si>
  <si>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</si>
  <si>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</si>
  <si>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</si>
  <si>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</si>
  <si>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</si>
  <si>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</si>
  <si>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</si>
  <si>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</si>
  <si>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</si>
  <si>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</si>
  <si>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</si>
  <si>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</si>
  <si>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</si>
  <si>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</si>
  <si>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</si>
  <si>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</si>
  <si>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</si>
  <si>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</si>
  <si>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</si>
  <si>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</si>
  <si>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</si>
  <si>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</si>
  <si>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</si>
  <si>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</si>
  <si>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</si>
  <si>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</si>
  <si>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</si>
  <si>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</si>
  <si>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</si>
  <si>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</si>
  <si>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</si>
  <si>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</si>
  <si>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</si>
  <si>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</si>
  <si>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</si>
  <si>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</si>
  <si>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</si>
  <si>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</si>
  <si>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</si>
  <si>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</si>
  <si>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</si>
  <si>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</si>
  <si>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</si>
  <si>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</si>
  <si>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</si>
  <si>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</si>
  <si>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</si>
  <si>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</si>
  <si>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</si>
  <si>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</si>
  <si>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</si>
  <si>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</si>
  <si>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</si>
  <si>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</si>
  <si>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</si>
  <si>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</si>
  <si>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</si>
  <si>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</si>
  <si>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</si>
  <si>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</si>
  <si>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</si>
  <si>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</si>
  <si>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</si>
  <si>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</si>
  <si>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</si>
  <si>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</si>
  <si>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</si>
  <si>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</si>
  <si>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</si>
  <si>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</si>
  <si>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</si>
  <si>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</si>
  <si>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</si>
  <si>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</si>
  <si>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</si>
  <si>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</si>
  <si>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</si>
  <si>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</si>
  <si>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</si>
  <si>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</si>
  <si>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</si>
  <si>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</si>
  <si>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</si>
  <si>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</si>
  <si>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</si>
  <si>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</si>
  <si>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</si>
  <si>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</si>
  <si>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</si>
  <si>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</si>
  <si>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</si>
  <si>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</si>
  <si>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</si>
  <si>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</si>
  <si>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</si>
  <si>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</si>
  <si>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</si>
  <si>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</si>
  <si>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</si>
  <si>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</si>
  <si>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</si>
  <si>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</si>
  <si>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</si>
  <si>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</si>
  <si>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</si>
  <si>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</si>
  <si>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</si>
  <si>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</si>
  <si>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</si>
  <si>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</si>
  <si>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</si>
  <si>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</si>
  <si>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</si>
  <si>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</si>
  <si>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</si>
  <si>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</si>
  <si>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</si>
  <si>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</si>
  <si>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</si>
  <si>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</si>
  <si>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</si>
  <si>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</si>
  <si>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</si>
  <si>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</si>
  <si>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</si>
  <si>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</si>
  <si>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</si>
  <si>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</si>
  <si>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</si>
  <si>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</si>
  <si>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</si>
  <si>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</si>
  <si>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</si>
  <si>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</si>
  <si>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</si>
  <si>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</si>
  <si>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</si>
  <si>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</si>
  <si>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</si>
  <si>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</si>
  <si>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</si>
  <si>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</si>
  <si>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</si>
  <si>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</si>
  <si>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</si>
  <si>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</si>
  <si>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</si>
  <si>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</si>
  <si>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</si>
  <si>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</si>
  <si>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</si>
  <si>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</si>
  <si>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</si>
  <si>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</si>
  <si>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</si>
  <si>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</si>
  <si>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</si>
  <si>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</si>
  <si>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</si>
  <si>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</si>
  <si>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</si>
  <si>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</si>
  <si>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</si>
  <si>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</si>
  <si>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</si>
  <si>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</si>
  <si>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</si>
  <si>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</si>
  <si>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</si>
  <si>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</si>
  <si>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</si>
  <si>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</si>
  <si>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</si>
  <si>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</si>
  <si>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</si>
  <si>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</si>
  <si>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</si>
  <si>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</si>
  <si>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</si>
  <si>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</si>
  <si>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</si>
  <si>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</si>
  <si>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</si>
  <si>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</si>
  <si>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</si>
  <si>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</si>
  <si>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</si>
  <si>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</si>
  <si>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</si>
  <si>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</si>
  <si>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</si>
  <si>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</si>
  <si>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</si>
  <si>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</si>
  <si>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</si>
  <si>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</si>
  <si>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</si>
  <si>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</si>
  <si>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</si>
  <si>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</si>
  <si>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</si>
  <si>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</si>
  <si>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</si>
  <si>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</si>
  <si>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</si>
  <si>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</si>
  <si>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</si>
  <si>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</si>
  <si>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</si>
  <si>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</si>
  <si>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</si>
  <si>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</si>
  <si>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</si>
  <si>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</si>
  <si>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</si>
  <si>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</si>
  <si>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</si>
  <si>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</si>
  <si>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</si>
  <si>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</si>
  <si>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</si>
  <si>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</si>
  <si>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</si>
  <si>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</si>
  <si>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</si>
  <si>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</si>
  <si>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</si>
  <si>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</si>
  <si>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</si>
  <si>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</si>
  <si>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</si>
  <si>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</si>
  <si>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</si>
  <si>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</si>
  <si>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</si>
  <si>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</si>
  <si>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</si>
  <si>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</si>
  <si>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</si>
  <si>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</si>
  <si>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</si>
  <si>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</si>
  <si>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</si>
  <si>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</si>
  <si>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</si>
  <si>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</si>
  <si>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</si>
  <si>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</si>
  <si>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</si>
  <si>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</si>
  <si>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</si>
  <si>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</si>
  <si>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</si>
  <si>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</si>
  <si>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</si>
  <si>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</si>
  <si>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</si>
  <si>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</si>
  <si>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</si>
  <si>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</si>
  <si>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</si>
  <si>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</si>
  <si>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</si>
  <si>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</si>
  <si>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</si>
  <si>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</si>
  <si>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</si>
  <si>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</si>
  <si>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</si>
  <si>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</si>
  <si>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</si>
  <si>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</si>
  <si>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</si>
  <si>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</si>
  <si>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</si>
  <si>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</si>
  <si>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</si>
  <si>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</si>
  <si>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</si>
  <si>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</si>
  <si>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</si>
  <si>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</si>
  <si>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</si>
  <si>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</si>
  <si>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</si>
  <si>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</si>
  <si>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</si>
  <si>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</si>
  <si>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</si>
  <si>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</si>
  <si>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</si>
  <si>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</si>
  <si>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</si>
  <si>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</si>
  <si>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</si>
  <si>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</si>
  <si>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</si>
  <si>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</si>
  <si>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</si>
  <si>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</si>
  <si>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</si>
  <si>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</si>
  <si>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</si>
  <si>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</si>
  <si>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</si>
  <si>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Address:Gajjumata</t>
  </si>
  <si>
    <t>Invoice No # :1566516</t>
  </si>
  <si>
    <t>Rafaqat Sons</t>
  </si>
  <si>
    <t>NTN #: 8822959-7</t>
  </si>
  <si>
    <t>M &amp; M Traders</t>
  </si>
  <si>
    <t>Address: Fatehgher</t>
  </si>
  <si>
    <t xml:space="preserve">Address: Manawan </t>
  </si>
  <si>
    <t>_CB TRADERS</t>
  </si>
  <si>
    <t>NTN #: 4987374-2</t>
  </si>
  <si>
    <t>Invoice No # :11462</t>
  </si>
  <si>
    <t>NTN #:9725069-2</t>
  </si>
  <si>
    <t>MS Traders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</si>
</sst>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10" fontId="18" fillId="0" borderId="42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8" t="s">
        <v>91</v>
      </c>
      <c r="B2" s="368"/>
      <c r="C2" s="368"/>
      <c r="E2" s="355" t="s">
        <v>498</v>
      </c>
      <c r="F2" s="356"/>
      <c r="G2" s="356"/>
      <c r="H2" s="353" t="s">
        <v>514</v>
      </c>
      <c r="I2" s="353"/>
      <c r="J2" s="354"/>
      <c r="R2" s="350" t="s">
        <v>497</v>
      </c>
      <c r="S2" s="351"/>
      <c r="T2" s="352"/>
    </row>
    <row r="3" spans="1:20 16377:16378" ht="21.75" customHeight="1" thickBot="1" x14ac:dyDescent="0.4">
      <c r="A3" s="369" t="s">
        <v>92</v>
      </c>
      <c r="B3" s="369"/>
      <c r="C3" s="369"/>
      <c r="E3" s="359" t="s">
        <v>508</v>
      </c>
      <c r="F3" s="360"/>
      <c r="G3" s="360"/>
      <c r="H3" s="357">
        <f ca="1">TODAY()</f>
        <v>46276</v>
      </c>
      <c r="I3" s="357"/>
      <c r="J3" s="358"/>
      <c r="K3" s="370" t="s">
        <v>43</v>
      </c>
      <c r="L3" s="370"/>
      <c r="M3" s="370"/>
      <c r="N3" s="369"/>
      <c r="O3" s="369"/>
      <c r="P3" s="369"/>
      <c r="R3" s="299">
        <v>1</v>
      </c>
      <c r="S3" s="300" t="str">
        <f>+'1'!A6:A6</f>
        <v>MS Traders</v>
      </c>
      <c r="T3" s="301">
        <f>+'1'!P35</f>
        <v>44415.058576271178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_CB TRADERS</v>
      </c>
      <c r="T4" s="301">
        <f>+'2'!P35</f>
        <v>30597.09562754237</v>
      </c>
      <c r="XEX4" t="s">
        <v>105</v>
      </c>
    </row>
    <row r="5" spans="1:20 16377:16378" ht="21.75" customHeight="1" thickBot="1" x14ac:dyDescent="0.4">
      <c r="A5" s="389" t="s">
        <v>51</v>
      </c>
      <c r="B5" s="361"/>
      <c r="C5" s="391" t="s">
        <v>90</v>
      </c>
      <c r="D5" s="115" t="s">
        <v>52</v>
      </c>
      <c r="E5" s="393" t="s">
        <v>58</v>
      </c>
      <c r="F5" s="394"/>
      <c r="G5" s="366" t="s">
        <v>54</v>
      </c>
      <c r="H5" s="367"/>
      <c r="I5" s="395" t="s">
        <v>77</v>
      </c>
      <c r="J5" s="365" t="s">
        <v>55</v>
      </c>
      <c r="K5" s="366"/>
      <c r="L5" s="367"/>
      <c r="M5" s="361" t="s">
        <v>84</v>
      </c>
      <c r="N5" s="363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M &amp; M Traders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0"/>
      <c r="B6" s="362"/>
      <c r="C6" s="39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4"/>
      <c r="J6" s="143" t="s">
        <v>59</v>
      </c>
      <c r="K6" s="144" t="s">
        <v>39</v>
      </c>
      <c r="L6" s="145" t="s">
        <v>493</v>
      </c>
      <c r="M6" s="362"/>
      <c r="N6" s="364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M &amp; M Traders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120</v>
      </c>
      <c r="I7" s="235">
        <f>(G7*D7)*F7+H7*F7</f>
        <v>6295.5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881.37000000000012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220.34250000000003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5193.7875000000004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1189.8305084745757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31.918090042372878</v>
      </c>
      <c r="P7" s="310">
        <f>M7+N7+O7</f>
        <v>6415.5360985169482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M &amp; M Traders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293.79000000000002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73.447500000000005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1731.2625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10.639363347457627</v>
      </c>
      <c r="P8" s="311">
        <f t="shared" ref="P8:P15" si="2">M8+N8+O8</f>
        <v>2138.512032838983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M &amp; M Traders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80</v>
      </c>
      <c r="I9" s="236">
        <f t="shared" si="0"/>
        <v>4197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587.58000000000004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146.89500000000001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3462.5250000000001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793.22033898305051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21.278726694915253</v>
      </c>
      <c r="P9" s="311">
        <f t="shared" si="2"/>
        <v>4277.0240656779661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M &amp; M Traders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520</v>
      </c>
      <c r="I10" s="236">
        <f t="shared" si="0"/>
        <v>37772.800000000003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5288.1920000000009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1322.0480000000002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31162.560000000001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7138.9830508474579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191.50771525423727</v>
      </c>
      <c r="P10" s="311">
        <f t="shared" si="2"/>
        <v>38493.050766101696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M &amp; M Traders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320</v>
      </c>
      <c r="I11" s="236">
        <f t="shared" si="0"/>
        <v>23244.799999999999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3254.2720000000004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813.5680000000001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19176.96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4393.2203389830511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117.85090169491525</v>
      </c>
      <c r="P11" s="311">
        <f t="shared" si="2"/>
        <v>23688.031240677963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M &amp; M Traders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M &amp; M Traders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M &amp; M Traders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M &amp; M Traders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M &amp; M Traders</v>
      </c>
      <c r="T15" s="301">
        <f>+'13'!P35</f>
        <v>0</v>
      </c>
    </row>
    <row r="16" spans="1:20 16377:16378" ht="21.75" customHeight="1" thickBot="1" x14ac:dyDescent="0.4">
      <c r="A16" s="371">
        <f>COUNT(A7:A15)</f>
        <v>0</v>
      </c>
      <c r="B16" s="372"/>
      <c r="C16" s="372" t="s">
        <v>40</v>
      </c>
      <c r="D16" s="372"/>
      <c r="E16" s="372"/>
      <c r="F16" s="373"/>
      <c r="G16" s="117">
        <f>H16/40</f>
        <v>27</v>
      </c>
      <c r="H16" s="113">
        <f t="shared" ref="H16:M16" si="3">SUM(H7:H15)</f>
        <v>1080</v>
      </c>
      <c r="I16" s="114">
        <f t="shared" si="3"/>
        <v>73608.600000000006</v>
      </c>
      <c r="J16" s="274">
        <f>SUM(J7:J15)</f>
        <v>10305.204000000002</v>
      </c>
      <c r="K16" s="275">
        <f t="shared" si="3"/>
        <v>2576.3010000000004</v>
      </c>
      <c r="L16" s="276">
        <f t="shared" si="3"/>
        <v>0</v>
      </c>
      <c r="M16" s="232">
        <f t="shared" si="3"/>
        <v>60727.095000000001</v>
      </c>
      <c r="N16" s="233">
        <f>SUM(N7:N15)</f>
        <v>13911.864406779659</v>
      </c>
      <c r="O16" s="101">
        <f>SUM(O7:O15)</f>
        <v>373.19479703389828</v>
      </c>
      <c r="P16" s="113">
        <f>SUM(P7:P15)</f>
        <v>75012.154203813552</v>
      </c>
      <c r="Q16" s="128">
        <f>SUM(Q7:Q15)</f>
        <v>0</v>
      </c>
      <c r="R16" s="314">
        <v>14</v>
      </c>
      <c r="S16" s="300" t="str">
        <f>+'14'!A6:A6</f>
        <v>M &amp; M Traders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M &amp; M Traders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M &amp; M Traders</v>
      </c>
      <c r="T18" s="301">
        <f>+'16'!P35</f>
        <v>0</v>
      </c>
    </row>
    <row r="19" spans="1:20" ht="21.75" customHeight="1" x14ac:dyDescent="0.35">
      <c r="B19" s="374" t="s">
        <v>64</v>
      </c>
      <c r="C19" s="375"/>
      <c r="D19" s="375"/>
      <c r="E19" s="375"/>
      <c r="F19" s="375"/>
      <c r="G19" s="375"/>
      <c r="H19" s="375"/>
      <c r="I19" s="375"/>
      <c r="J19" s="375"/>
      <c r="K19" s="375"/>
      <c r="L19" s="376"/>
      <c r="N19" s="383" t="s">
        <v>60</v>
      </c>
      <c r="O19" s="384"/>
      <c r="P19" s="139">
        <f>I16</f>
        <v>73608.600000000006</v>
      </c>
      <c r="R19" s="299">
        <v>17</v>
      </c>
      <c r="S19" s="300" t="str">
        <f>+'17'!A6:A6</f>
        <v>M &amp; M Traders</v>
      </c>
      <c r="T19" s="301">
        <f>+'17'!P35</f>
        <v>0</v>
      </c>
    </row>
    <row r="20" spans="1:20" ht="21.75" customHeight="1" x14ac:dyDescent="0.35">
      <c r="B20" s="377"/>
      <c r="C20" s="378"/>
      <c r="D20" s="378"/>
      <c r="E20" s="378"/>
      <c r="F20" s="378"/>
      <c r="G20" s="378"/>
      <c r="H20" s="378"/>
      <c r="I20" s="378"/>
      <c r="J20" s="378"/>
      <c r="K20" s="378"/>
      <c r="L20" s="379"/>
      <c r="N20" s="385" t="s">
        <v>85</v>
      </c>
      <c r="O20" s="386"/>
      <c r="P20" s="140">
        <f>+J16</f>
        <v>10305.204000000002</v>
      </c>
      <c r="R20" s="299">
        <v>18</v>
      </c>
      <c r="S20" s="300" t="str">
        <f>+'18'!A6:A6</f>
        <v>M &amp; M Traders</v>
      </c>
      <c r="T20" s="301">
        <f>+'18'!P35</f>
        <v>0</v>
      </c>
    </row>
    <row r="21" spans="1:20" ht="21.75" customHeight="1" x14ac:dyDescent="0.35">
      <c r="B21" s="377"/>
      <c r="C21" s="378"/>
      <c r="D21" s="378"/>
      <c r="E21" s="378"/>
      <c r="F21" s="378"/>
      <c r="G21" s="378"/>
      <c r="H21" s="378"/>
      <c r="I21" s="378"/>
      <c r="J21" s="378"/>
      <c r="K21" s="378"/>
      <c r="L21" s="379"/>
      <c r="N21" s="385" t="s">
        <v>86</v>
      </c>
      <c r="O21" s="386"/>
      <c r="P21" s="140">
        <f>+K16+L16</f>
        <v>2576.3010000000004</v>
      </c>
      <c r="R21" s="299">
        <v>19</v>
      </c>
      <c r="S21" s="300" t="str">
        <f>+'19'!A6:A6</f>
        <v>M &amp; M Traders</v>
      </c>
      <c r="T21" s="301">
        <f>+'19'!P35</f>
        <v>0</v>
      </c>
    </row>
    <row r="22" spans="1:20" ht="21.75" customHeight="1" x14ac:dyDescent="0.35">
      <c r="B22" s="377"/>
      <c r="C22" s="378"/>
      <c r="D22" s="378"/>
      <c r="E22" s="378"/>
      <c r="F22" s="378"/>
      <c r="G22" s="378"/>
      <c r="H22" s="378"/>
      <c r="I22" s="378"/>
      <c r="J22" s="378"/>
      <c r="K22" s="378"/>
      <c r="L22" s="379"/>
      <c r="M22" s="131"/>
      <c r="N22" s="385" t="s">
        <v>87</v>
      </c>
      <c r="O22" s="386"/>
      <c r="P22" s="140">
        <f>P19-P20-P21</f>
        <v>60727.095000000008</v>
      </c>
      <c r="R22" s="299">
        <v>20</v>
      </c>
      <c r="S22" s="300" t="str">
        <f>+'20'!A6:A6</f>
        <v>M &amp; M Traders</v>
      </c>
      <c r="T22" s="301">
        <f>+'20'!P35</f>
        <v>0</v>
      </c>
    </row>
    <row r="23" spans="1:20" ht="21.75" customHeight="1" x14ac:dyDescent="0.35">
      <c r="B23" s="377"/>
      <c r="C23" s="378"/>
      <c r="D23" s="378"/>
      <c r="E23" s="378"/>
      <c r="F23" s="378"/>
      <c r="G23" s="378"/>
      <c r="H23" s="378"/>
      <c r="I23" s="378"/>
      <c r="J23" s="378"/>
      <c r="K23" s="378"/>
      <c r="L23" s="379"/>
      <c r="M23" s="131"/>
      <c r="N23" s="136" t="s">
        <v>61</v>
      </c>
      <c r="O23" s="133">
        <v>0.18</v>
      </c>
      <c r="P23" s="140">
        <f>+N16</f>
        <v>13911.864406779659</v>
      </c>
      <c r="R23" s="299">
        <v>21</v>
      </c>
      <c r="S23" s="300" t="str">
        <f>+'21'!A6:A6</f>
        <v>M &amp; M Traders</v>
      </c>
      <c r="T23" s="301">
        <f>+'21'!P35</f>
        <v>0</v>
      </c>
    </row>
    <row r="24" spans="1:20" ht="21.75" customHeight="1" x14ac:dyDescent="0.35">
      <c r="B24" s="377"/>
      <c r="C24" s="378"/>
      <c r="D24" s="378"/>
      <c r="E24" s="378"/>
      <c r="F24" s="378"/>
      <c r="G24" s="378"/>
      <c r="H24" s="378"/>
      <c r="I24" s="378"/>
      <c r="J24" s="378"/>
      <c r="K24" s="378"/>
      <c r="L24" s="379"/>
      <c r="M24" s="131"/>
      <c r="N24" s="387" t="s">
        <v>76</v>
      </c>
      <c r="O24" s="388"/>
      <c r="P24" s="140">
        <f>P22+P23</f>
        <v>74638.959406779672</v>
      </c>
      <c r="R24" s="299">
        <v>22</v>
      </c>
      <c r="S24" s="300" t="str">
        <f>+'22'!A6:A6</f>
        <v>M &amp; M Traders</v>
      </c>
      <c r="T24" s="301">
        <f>+'22'!P35</f>
        <v>0</v>
      </c>
    </row>
    <row r="25" spans="1:20" ht="21.75" customHeight="1" thickBot="1" x14ac:dyDescent="0.4">
      <c r="B25" s="380"/>
      <c r="C25" s="381"/>
      <c r="D25" s="381"/>
      <c r="E25" s="381"/>
      <c r="F25" s="381"/>
      <c r="G25" s="381"/>
      <c r="H25" s="381"/>
      <c r="I25" s="381"/>
      <c r="J25" s="381"/>
      <c r="K25" s="381"/>
      <c r="L25" s="382"/>
      <c r="M25" s="99"/>
      <c r="N25" s="138" t="s">
        <v>83</v>
      </c>
      <c r="O25" s="137" t="e">
        <f>IF(#REF!="Filer",0.5%,2.5%)</f>
        <v>#REF!</v>
      </c>
      <c r="P25" s="140">
        <f>+O16</f>
        <v>373.19479703389828</v>
      </c>
      <c r="R25" s="299">
        <v>23</v>
      </c>
      <c r="S25" s="300" t="str">
        <f>+'23'!A6:A6</f>
        <v>M &amp; M Traders</v>
      </c>
      <c r="T25" s="301">
        <f>+'23'!P35</f>
        <v>0</v>
      </c>
    </row>
    <row r="26" spans="1:20" ht="21.75" customHeight="1" thickBot="1" x14ac:dyDescent="0.4">
      <c r="N26" s="344" t="s">
        <v>88</v>
      </c>
      <c r="O26" s="345"/>
      <c r="P26" s="297">
        <f>+P24+P25</f>
        <v>75012.154203813567</v>
      </c>
      <c r="R26" s="299">
        <v>24</v>
      </c>
      <c r="S26" s="300" t="str">
        <f>+'24'!A6:A6</f>
        <v>M &amp; M Traders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6"/>
      <c r="D27" s="346"/>
      <c r="E27" s="346"/>
      <c r="F27" s="346"/>
      <c r="G27" s="346"/>
      <c r="H27" s="346"/>
      <c r="I27" s="347"/>
      <c r="J27" s="348"/>
      <c r="K27" s="349"/>
      <c r="R27" s="299">
        <v>25</v>
      </c>
      <c r="S27" s="300" t="str">
        <f>+'25'!A6:A6</f>
        <v>M &amp; M Traders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M &amp; M Traders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M &amp; M Traders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M &amp; M Traders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M &amp; M Traders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M &amp; M Traders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75012.154203813552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F7" sqref="F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46277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46276</v>
      </c>
      <c r="O5" s="369"/>
      <c r="P5" s="369"/>
      <c r="R5" s="85"/>
      <c r="S5" s="266"/>
    </row>
    <row r="6" spans="1:22 16383:16384" ht="17.25" customHeight="1" x14ac:dyDescent="0.4">
      <c r="A6" s="398" t="s">
        <v>523</v>
      </c>
      <c r="B6" s="398"/>
      <c r="C6" s="398"/>
      <c r="F6" s="85"/>
      <c r="G6" s="86"/>
      <c r="K6" s="370" t="s">
        <v>69</v>
      </c>
      <c r="L6" s="370"/>
      <c r="M6" s="370"/>
      <c r="N6" s="399" t="s">
        <v>500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522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517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319">
        <v>3.5000000000000003E-2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400</v>
      </c>
      <c r="I19" s="236">
        <f t="shared" si="7"/>
        <v>29056</v>
      </c>
      <c r="J19" s="272">
        <f t="shared" si="1"/>
        <v>4067.8400000000006</v>
      </c>
      <c r="K19" s="128">
        <f t="shared" si="1"/>
        <v>1016.9600000000002</v>
      </c>
      <c r="L19" s="119">
        <f t="shared" si="1"/>
        <v>0</v>
      </c>
      <c r="M19" s="230">
        <f t="shared" si="2"/>
        <v>23971.199999999997</v>
      </c>
      <c r="N19" s="277">
        <f t="shared" si="3"/>
        <v>5491.5254237288136</v>
      </c>
      <c r="O19" s="239">
        <f t="shared" si="4"/>
        <v>147.31362711864406</v>
      </c>
      <c r="P19" s="311">
        <f t="shared" si="5"/>
        <v>29610.039050847456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200</v>
      </c>
      <c r="I20" s="236">
        <f t="shared" si="7"/>
        <v>14528</v>
      </c>
      <c r="J20" s="272">
        <f t="shared" si="1"/>
        <v>2033.9200000000003</v>
      </c>
      <c r="K20" s="128">
        <f t="shared" si="1"/>
        <v>508.48000000000008</v>
      </c>
      <c r="L20" s="119">
        <f t="shared" si="1"/>
        <v>0</v>
      </c>
      <c r="M20" s="230">
        <f t="shared" si="2"/>
        <v>11985.599999999999</v>
      </c>
      <c r="N20" s="277">
        <f t="shared" si="3"/>
        <v>2745.7627118644068</v>
      </c>
      <c r="O20" s="239">
        <f t="shared" si="4"/>
        <v>73.656813559322032</v>
      </c>
      <c r="P20" s="311">
        <f t="shared" si="5"/>
        <v>14805.019525423728</v>
      </c>
      <c r="Q20" s="156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" si="8">SUM(G16:G24)</f>
        <v>0</v>
      </c>
      <c r="H25" s="113">
        <f t="shared" ref="H25" si="9">SUM(H16:H24)</f>
        <v>600</v>
      </c>
      <c r="I25" s="114">
        <f t="shared" ref="I25:M25" si="10">SUM(I16:I24)</f>
        <v>43584</v>
      </c>
      <c r="J25" s="274">
        <f>SUM(J16:J24)</f>
        <v>6101.7600000000011</v>
      </c>
      <c r="K25" s="275">
        <f t="shared" si="10"/>
        <v>1525.4400000000003</v>
      </c>
      <c r="L25" s="276">
        <f t="shared" si="10"/>
        <v>0</v>
      </c>
      <c r="M25" s="232">
        <f t="shared" si="10"/>
        <v>35956.799999999996</v>
      </c>
      <c r="N25" s="233">
        <f>SUM(N16:N24)</f>
        <v>8237.2881355932204</v>
      </c>
      <c r="O25" s="101">
        <f>SUM(O16:O24)</f>
        <v>220.97044067796611</v>
      </c>
      <c r="P25" s="113">
        <f>SUM(P16:P24)</f>
        <v>44415.058576271185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43584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6101.7600000000011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1525.4400000000003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35956.799999999996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8237.2881355932204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44194.088135593214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220.97044067796608</v>
      </c>
    </row>
    <row r="35" spans="2:16" ht="15.75" customHeight="1" thickBot="1" x14ac:dyDescent="0.4">
      <c r="N35" s="344" t="s">
        <v>88</v>
      </c>
      <c r="O35" s="345"/>
      <c r="P35" s="297">
        <f>+P33+P34</f>
        <v>44415.058576271178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521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46277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46276</v>
      </c>
      <c r="O5" s="369"/>
      <c r="P5" s="369"/>
      <c r="R5" s="85"/>
      <c r="S5" s="266"/>
    </row>
    <row r="6" spans="1:22 16383:16384" ht="15" customHeight="1" x14ac:dyDescent="0.4">
      <c r="A6" s="398" t="s">
        <v>519</v>
      </c>
      <c r="B6" s="398"/>
      <c r="C6" s="398"/>
      <c r="F6" s="85"/>
      <c r="G6" s="86"/>
      <c r="K6" s="370" t="s">
        <v>69</v>
      </c>
      <c r="L6" s="370"/>
      <c r="M6" s="370"/>
      <c r="N6" s="399" t="s">
        <v>502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520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518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120</v>
      </c>
      <c r="I16" s="235">
        <f>(G16*D16)*F16+H16*F16</f>
        <v>6295.5</v>
      </c>
      <c r="J16" s="271">
        <f>$I16*S16</f>
        <v>881.37000000000012</v>
      </c>
      <c r="K16" s="127">
        <f>$I16*T16</f>
        <v>220.34250000000003</v>
      </c>
      <c r="L16" s="118">
        <f>$I16*U16</f>
        <v>0</v>
      </c>
      <c r="M16" s="229">
        <f>I16-SUM(J16:L16)</f>
        <v>5193.7875000000004</v>
      </c>
      <c r="N16" s="248">
        <f>+(G16*D16+H16)*V16</f>
        <v>1189.8305084745757</v>
      </c>
      <c r="O16" s="238">
        <f>(N16+M16)*$O$15</f>
        <v>31.918090042372878</v>
      </c>
      <c r="P16" s="310">
        <f>M16+N16+O16</f>
        <v>6415.5360985169482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293.79000000000002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1731.2625</v>
      </c>
      <c r="N17" s="277">
        <f t="shared" ref="N17:N24" si="3">+(G17*D17+H17)*V17</f>
        <v>396.61016949152526</v>
      </c>
      <c r="O17" s="239">
        <f t="shared" ref="O17:O24" si="4">(N17+M17)*$O$15</f>
        <v>10.639363347457627</v>
      </c>
      <c r="P17" s="311">
        <f t="shared" ref="P17:P24" si="5">M17+N17+O17</f>
        <v>2138.512032838983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si="0"/>
        <v>4197</v>
      </c>
      <c r="J18" s="272">
        <f t="shared" si="1"/>
        <v>587.58000000000004</v>
      </c>
      <c r="K18" s="128">
        <f t="shared" si="1"/>
        <v>146.89500000000001</v>
      </c>
      <c r="L18" s="119">
        <f t="shared" si="1"/>
        <v>0</v>
      </c>
      <c r="M18" s="230">
        <f t="shared" si="2"/>
        <v>3462.5250000000001</v>
      </c>
      <c r="N18" s="277">
        <f t="shared" si="3"/>
        <v>793.22033898305051</v>
      </c>
      <c r="O18" s="239">
        <f t="shared" si="4"/>
        <v>21.278726694915253</v>
      </c>
      <c r="P18" s="311">
        <f t="shared" si="5"/>
        <v>4277.0240656779661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120</v>
      </c>
      <c r="I19" s="236">
        <f t="shared" si="0"/>
        <v>8716.7999999999993</v>
      </c>
      <c r="J19" s="272">
        <f t="shared" si="1"/>
        <v>1220.3520000000001</v>
      </c>
      <c r="K19" s="128">
        <f t="shared" si="1"/>
        <v>305.08800000000002</v>
      </c>
      <c r="L19" s="119">
        <f t="shared" si="1"/>
        <v>0</v>
      </c>
      <c r="M19" s="230">
        <f t="shared" si="2"/>
        <v>7191.3599999999988</v>
      </c>
      <c r="N19" s="277">
        <f t="shared" si="3"/>
        <v>1647.4576271186443</v>
      </c>
      <c r="O19" s="239">
        <f t="shared" si="4"/>
        <v>44.194088135593212</v>
      </c>
      <c r="P19" s="311">
        <f t="shared" si="5"/>
        <v>8883.0117152542352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120</v>
      </c>
      <c r="I20" s="236">
        <f t="shared" si="0"/>
        <v>8716.7999999999993</v>
      </c>
      <c r="J20" s="272">
        <f t="shared" si="1"/>
        <v>1220.3520000000001</v>
      </c>
      <c r="K20" s="128">
        <f t="shared" si="1"/>
        <v>305.08800000000002</v>
      </c>
      <c r="L20" s="119">
        <f t="shared" si="1"/>
        <v>0</v>
      </c>
      <c r="M20" s="230">
        <f t="shared" si="2"/>
        <v>7191.3599999999988</v>
      </c>
      <c r="N20" s="277">
        <f t="shared" si="3"/>
        <v>1647.4576271186443</v>
      </c>
      <c r="O20" s="239">
        <f t="shared" si="4"/>
        <v>44.194088135593212</v>
      </c>
      <c r="P20" s="311">
        <f t="shared" si="5"/>
        <v>8883.0117152542352</v>
      </c>
      <c r="Q20" s="156"/>
      <c r="R20">
        <f>P20/21</f>
        <v>423.00055786924929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480</v>
      </c>
      <c r="I25" s="114">
        <f t="shared" si="7"/>
        <v>30024.6</v>
      </c>
      <c r="J25" s="274">
        <f>SUM(J16:J24)</f>
        <v>4203.4440000000004</v>
      </c>
      <c r="K25" s="275">
        <f t="shared" si="7"/>
        <v>1050.8610000000001</v>
      </c>
      <c r="L25" s="276">
        <f t="shared" si="7"/>
        <v>0</v>
      </c>
      <c r="M25" s="232">
        <f t="shared" si="7"/>
        <v>24770.294999999998</v>
      </c>
      <c r="N25" s="233">
        <f>SUM(N16:N24)</f>
        <v>5674.57627118644</v>
      </c>
      <c r="O25" s="101">
        <f>SUM(O16:O24)</f>
        <v>152.22435635593217</v>
      </c>
      <c r="P25" s="113">
        <f>SUM(P16:P24)</f>
        <v>30597.095627542367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30024.6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4203.4440000000004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1050.8610000000001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24770.294999999998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5674.57627118644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30444.871271186439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152.2243563559322</v>
      </c>
    </row>
    <row r="35" spans="2:16" ht="15.75" customHeight="1" thickBot="1" x14ac:dyDescent="0.4">
      <c r="N35" s="344" t="s">
        <v>88</v>
      </c>
      <c r="O35" s="345"/>
      <c r="P35" s="297">
        <f>+P33+P34</f>
        <v>30597.09562754237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8.7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7"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10"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8.7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8" t="s">
        <v>91</v>
      </c>
      <c r="B2" s="368"/>
      <c r="C2" s="368"/>
    </row>
    <row r="3" spans="1:18 16382:16383" ht="15" customHeight="1" x14ac:dyDescent="0.35">
      <c r="A3" s="369" t="s">
        <v>92</v>
      </c>
      <c r="B3" s="369"/>
      <c r="C3" s="369"/>
      <c r="F3" s="85"/>
      <c r="G3" s="1"/>
      <c r="J3" s="370" t="s">
        <v>43</v>
      </c>
      <c r="K3" s="370"/>
      <c r="L3" s="370"/>
      <c r="M3" s="369"/>
      <c r="N3" s="369"/>
      <c r="O3" s="36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9" t="s">
        <v>65</v>
      </c>
      <c r="B4" s="369"/>
      <c r="C4" s="369"/>
      <c r="F4" s="85"/>
      <c r="G4" s="1"/>
      <c r="J4" s="370" t="s">
        <v>44</v>
      </c>
      <c r="K4" s="370"/>
      <c r="L4" s="370"/>
      <c r="M4" s="400">
        <f ca="1">TODAY()+1</f>
        <v>46277</v>
      </c>
      <c r="N4" s="400"/>
      <c r="O4" s="40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70" t="s">
        <v>45</v>
      </c>
      <c r="K5" s="370"/>
      <c r="L5" s="370"/>
      <c r="M5" s="400">
        <f ca="1">M4-1</f>
        <v>46276</v>
      </c>
      <c r="N5" s="369"/>
      <c r="O5" s="369"/>
      <c r="Q5" s="85"/>
      <c r="R5" s="1"/>
    </row>
    <row r="6" spans="1:18 16382:16383" ht="15" customHeight="1" x14ac:dyDescent="0.35">
      <c r="A6" s="370" t="s">
        <v>94</v>
      </c>
      <c r="B6" s="370"/>
      <c r="C6" s="370"/>
      <c r="F6" s="85"/>
      <c r="G6" s="86"/>
      <c r="J6" s="370" t="s">
        <v>69</v>
      </c>
      <c r="K6" s="370"/>
      <c r="L6" s="370"/>
      <c r="M6" s="399" t="s">
        <v>62</v>
      </c>
      <c r="N6" s="399"/>
      <c r="O6" s="39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0" t="s">
        <v>73</v>
      </c>
      <c r="B7" s="370"/>
      <c r="C7" s="370"/>
      <c r="F7" s="85"/>
      <c r="G7" s="86"/>
      <c r="J7" s="370" t="s">
        <v>66</v>
      </c>
      <c r="K7" s="370"/>
      <c r="L7" s="370"/>
      <c r="M7" s="399" t="s">
        <v>70</v>
      </c>
      <c r="N7" s="399"/>
      <c r="O7" s="39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6" t="s">
        <v>95</v>
      </c>
      <c r="B8" s="396"/>
      <c r="C8" s="396"/>
      <c r="F8" s="85"/>
      <c r="G8" s="86"/>
      <c r="J8" s="370" t="s">
        <v>67</v>
      </c>
      <c r="K8" s="370"/>
      <c r="L8" s="370"/>
      <c r="M8" s="399" t="s">
        <v>71</v>
      </c>
      <c r="N8" s="399"/>
      <c r="O8" s="399"/>
      <c r="Q8" s="85"/>
      <c r="R8" s="86"/>
    </row>
    <row r="9" spans="1:18 16382:16383" x14ac:dyDescent="0.35">
      <c r="A9" s="396" t="s">
        <v>96</v>
      </c>
      <c r="B9" s="396"/>
      <c r="C9" s="396"/>
      <c r="F9" s="85"/>
      <c r="G9" s="86"/>
      <c r="J9" s="370" t="s">
        <v>68</v>
      </c>
      <c r="K9" s="370"/>
      <c r="L9" s="370"/>
      <c r="M9" s="399" t="s">
        <v>104</v>
      </c>
      <c r="N9" s="399"/>
      <c r="O9" s="399"/>
      <c r="Q9" s="85"/>
      <c r="R9" s="86"/>
      <c r="XFC9" t="s">
        <v>49</v>
      </c>
    </row>
    <row r="10" spans="1:18 16382:16383" x14ac:dyDescent="0.35">
      <c r="A10" s="396" t="s">
        <v>97</v>
      </c>
      <c r="B10" s="396"/>
      <c r="C10" s="396"/>
      <c r="F10" s="85"/>
      <c r="G10" s="1"/>
      <c r="J10" s="370" t="s">
        <v>46</v>
      </c>
      <c r="K10" s="370"/>
      <c r="L10" s="370"/>
      <c r="M10" s="369" t="s">
        <v>47</v>
      </c>
      <c r="N10" s="369"/>
      <c r="O10" s="36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0" t="s">
        <v>48</v>
      </c>
      <c r="K11" s="370"/>
      <c r="L11" s="370"/>
      <c r="M11" s="369" t="s">
        <v>49</v>
      </c>
      <c r="N11" s="369"/>
      <c r="O11" s="36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0" t="s">
        <v>50</v>
      </c>
      <c r="K12" s="370"/>
      <c r="L12" s="370"/>
      <c r="M12" s="369"/>
      <c r="N12" s="369"/>
      <c r="O12" s="36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9" t="s">
        <v>51</v>
      </c>
      <c r="B14" s="361"/>
      <c r="C14" s="391" t="s">
        <v>90</v>
      </c>
      <c r="D14" s="88" t="s">
        <v>52</v>
      </c>
      <c r="E14" s="95" t="s">
        <v>74</v>
      </c>
      <c r="F14" s="115" t="s">
        <v>53</v>
      </c>
      <c r="G14" s="365" t="s">
        <v>54</v>
      </c>
      <c r="H14" s="367"/>
      <c r="I14" s="395" t="s">
        <v>77</v>
      </c>
      <c r="J14" s="366" t="s">
        <v>55</v>
      </c>
      <c r="K14" s="367"/>
      <c r="L14" s="39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0"/>
      <c r="B15" s="362"/>
      <c r="C15" s="39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4"/>
      <c r="J15" s="144" t="s">
        <v>39</v>
      </c>
      <c r="K15" s="145" t="s">
        <v>59</v>
      </c>
      <c r="L15" s="36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6"/>
      <c r="M28" s="383" t="s">
        <v>60</v>
      </c>
      <c r="N28" s="384"/>
      <c r="O28" s="139">
        <f>I25</f>
        <v>1452.8</v>
      </c>
    </row>
    <row r="29" spans="1:18 16383:16383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9"/>
      <c r="M29" s="385" t="s">
        <v>85</v>
      </c>
      <c r="N29" s="386"/>
      <c r="O29" s="140">
        <f>K25</f>
        <v>0</v>
      </c>
    </row>
    <row r="30" spans="1:18 16383:16383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9"/>
      <c r="M30" s="385" t="s">
        <v>86</v>
      </c>
      <c r="N30" s="386"/>
      <c r="O30" s="140">
        <f>J25</f>
        <v>50.848000000000006</v>
      </c>
    </row>
    <row r="31" spans="1:18 16383:16383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9"/>
      <c r="L31" s="131"/>
      <c r="M31" s="385" t="s">
        <v>87</v>
      </c>
      <c r="N31" s="386"/>
      <c r="O31" s="140">
        <f>O28-O29-O30</f>
        <v>1401.952</v>
      </c>
    </row>
    <row r="32" spans="1:18 16383:16383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9"/>
      <c r="L33" s="131"/>
      <c r="M33" s="387" t="s">
        <v>76</v>
      </c>
      <c r="N33" s="388"/>
      <c r="O33" s="140">
        <f>O31+O32</f>
        <v>1710.3814400000001</v>
      </c>
    </row>
    <row r="34" spans="2:15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4" t="s">
        <v>88</v>
      </c>
      <c r="N35" s="345"/>
      <c r="O35" s="141">
        <f>O28-O29+O31+O34</f>
        <v>2897.511536</v>
      </c>
    </row>
    <row r="36" spans="2:15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3" t="s">
        <v>439</v>
      </c>
      <c r="E1" s="336" t="s">
        <v>58</v>
      </c>
      <c r="F1" s="336"/>
      <c r="G1" s="337" t="s">
        <v>440</v>
      </c>
      <c r="H1" s="337"/>
      <c r="I1" s="410" t="s">
        <v>441</v>
      </c>
      <c r="J1" s="410"/>
      <c r="K1" s="410" t="s">
        <v>442</v>
      </c>
      <c r="L1" s="410"/>
      <c r="M1" s="405" t="s">
        <v>484</v>
      </c>
      <c r="N1" s="406"/>
      <c r="O1" s="407"/>
    </row>
    <row r="2" spans="3:24" ht="29" x14ac:dyDescent="0.35">
      <c r="C2" s="336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4" t="s">
        <v>58</v>
      </c>
      <c r="F7" s="404"/>
      <c r="G7" s="402" t="s">
        <v>440</v>
      </c>
      <c r="H7" s="337"/>
      <c r="I7" s="338" t="s">
        <v>441</v>
      </c>
      <c r="J7" s="339"/>
      <c r="K7" s="338" t="s">
        <v>442</v>
      </c>
      <c r="L7" s="339"/>
      <c r="M7" s="405" t="s">
        <v>484</v>
      </c>
      <c r="N7" s="406"/>
      <c r="O7" s="407"/>
      <c r="P7" s="256" t="s">
        <v>475</v>
      </c>
      <c r="Q7" s="242" t="s">
        <v>473</v>
      </c>
      <c r="R7" s="403" t="s">
        <v>475</v>
      </c>
      <c r="S7" s="403" t="s">
        <v>485</v>
      </c>
      <c r="T7" s="401" t="s">
        <v>486</v>
      </c>
      <c r="U7" s="401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2"/>
      <c r="U8" s="40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5" t="s">
        <v>484</v>
      </c>
      <c r="N13" s="406"/>
      <c r="O13" s="407"/>
      <c r="P13" s="256" t="s">
        <v>475</v>
      </c>
      <c r="Q13" s="242" t="s">
        <v>473</v>
      </c>
      <c r="R13" s="403" t="s">
        <v>475</v>
      </c>
      <c r="S13" s="403" t="s">
        <v>485</v>
      </c>
      <c r="T13" s="401" t="s">
        <v>486</v>
      </c>
      <c r="U13" s="401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2"/>
      <c r="U14" s="40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5" t="s">
        <v>484</v>
      </c>
      <c r="N20" s="406"/>
      <c r="O20" s="407"/>
      <c r="P20" s="256" t="s">
        <v>475</v>
      </c>
      <c r="Q20" s="242" t="s">
        <v>473</v>
      </c>
      <c r="R20" s="403" t="s">
        <v>475</v>
      </c>
      <c r="S20" s="403" t="s">
        <v>485</v>
      </c>
      <c r="T20" s="401" t="s">
        <v>486</v>
      </c>
      <c r="U20" s="401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2"/>
      <c r="U21" s="40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5" t="s">
        <v>484</v>
      </c>
      <c r="N27" s="406"/>
      <c r="O27" s="407"/>
      <c r="P27" s="256" t="s">
        <v>475</v>
      </c>
      <c r="Q27" s="242" t="s">
        <v>473</v>
      </c>
      <c r="R27" s="403" t="s">
        <v>475</v>
      </c>
      <c r="S27" s="403" t="s">
        <v>485</v>
      </c>
      <c r="T27" s="401" t="s">
        <v>486</v>
      </c>
      <c r="U27" s="401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2"/>
      <c r="U28" s="40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3" t="s">
        <v>439</v>
      </c>
      <c r="D1" s="336" t="s">
        <v>58</v>
      </c>
      <c r="E1" s="336"/>
      <c r="F1" s="337" t="s">
        <v>440</v>
      </c>
      <c r="G1" s="337"/>
      <c r="H1" s="410" t="s">
        <v>441</v>
      </c>
      <c r="I1" s="410"/>
      <c r="J1" s="410" t="s">
        <v>442</v>
      </c>
      <c r="K1" s="410"/>
      <c r="L1" s="405" t="s">
        <v>484</v>
      </c>
      <c r="M1" s="406"/>
      <c r="N1" s="407"/>
    </row>
    <row r="2" spans="2:17" ht="29" x14ac:dyDescent="0.35">
      <c r="B2" s="336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2026-09-11T11:52:31Z</dcterms:modified>
</cp:coreProperties>
</file>