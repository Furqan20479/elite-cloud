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B58C37-D111-42C6-AD95-2C11E376003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<sst xmlns="http://schemas.openxmlformats.org/spreadsheetml/2006/main" count="3976" uniqueCount="517">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</sst>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46279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HA Mega Mart </v>
      </c>
      <c r="T3" s="301">
        <f>+'1'!P35</f>
        <v>39420.094900550852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7365.6959999999999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45.065768135593224</v>
      </c>
      <c r="P10" s="311">
        <f t="shared" si="2"/>
        <v>9058.2193952542384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</v>
      </c>
      <c r="H16" s="113">
        <f t="shared" ref="H16:M16" si="3">SUM(H7:H15)</f>
        <v>600</v>
      </c>
      <c r="I16" s="114">
        <f t="shared" si="3"/>
        <v>37934.300000000003</v>
      </c>
      <c r="J16" s="274">
        <f>SUM(J7:J15)</f>
        <v>4552.1159999999991</v>
      </c>
      <c r="K16" s="275">
        <f t="shared" si="3"/>
        <v>1327.7005000000001</v>
      </c>
      <c r="L16" s="276">
        <f t="shared" si="3"/>
        <v>0</v>
      </c>
      <c r="M16" s="232">
        <f t="shared" si="3"/>
        <v>32054.483499999998</v>
      </c>
      <c r="N16" s="233">
        <f>SUM(N7:N15)</f>
        <v>7169.4915254237276</v>
      </c>
      <c r="O16" s="101">
        <f>SUM(O7:O15)</f>
        <v>196.11987512711866</v>
      </c>
      <c r="P16" s="113">
        <f>SUM(P7:P15)</f>
        <v>39420.094900550845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37934.300000000003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4552.1159999999991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1327.7005000000001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32054.483500000002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7169.4915254237276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39223.97502542373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196.11987512711866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39420.094900550852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39420.094900550852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46277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46276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1046.0159999999998</v>
      </c>
      <c r="K19" s="128">
        <f t="shared" si="1"/>
        <v>305.08800000000002</v>
      </c>
      <c r="L19" s="119">
        <f t="shared" si="1"/>
        <v>0</v>
      </c>
      <c r="M19" s="230">
        <f t="shared" si="2"/>
        <v>7365.6959999999999</v>
      </c>
      <c r="N19" s="277">
        <f t="shared" si="3"/>
        <v>1647.4576271186443</v>
      </c>
      <c r="O19" s="239">
        <f t="shared" si="4"/>
        <v>45.065768135593224</v>
      </c>
      <c r="P19" s="311">
        <f t="shared" si="5"/>
        <v>9058.2193952542384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37934.300000000003</v>
      </c>
      <c r="J25" s="274">
        <f>SUM(J16:J24)</f>
        <v>4552.1159999999991</v>
      </c>
      <c r="K25" s="275">
        <f t="shared" si="10"/>
        <v>1327.7005000000001</v>
      </c>
      <c r="L25" s="276">
        <f t="shared" si="10"/>
        <v>0</v>
      </c>
      <c r="M25" s="232">
        <f t="shared" si="10"/>
        <v>32054.483499999998</v>
      </c>
      <c r="N25" s="233">
        <f>SUM(N16:N24)</f>
        <v>7169.4915254237276</v>
      </c>
      <c r="O25" s="101">
        <f>SUM(O16:O24)</f>
        <v>196.11987512711866</v>
      </c>
      <c r="P25" s="113">
        <f>SUM(P16:P24)</f>
        <v>39420.094900550845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37934.300000000003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4552.1159999999991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1327.7005000000001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32054.483500000002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7169.4915254237276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39223.97502542373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196.11987512711866</v>
      </c>
    </row>
    <row r="35" spans="2:16" ht="15.75" customHeight="1" thickBot="1" x14ac:dyDescent="0.4">
      <c r="N35" s="343" t="s">
        <v>88</v>
      </c>
      <c r="O35" s="344"/>
      <c r="P35" s="297">
        <f>+P33+P34</f>
        <v>39420.094900550852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46280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46279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2026-09-14T06:21:16Z</dcterms:modified>
</cp:coreProperties>
</file>