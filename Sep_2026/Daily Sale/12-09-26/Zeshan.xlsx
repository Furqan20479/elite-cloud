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E90778E-A4C3-4CB7-93CD-FE443641425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<sst xmlns="http://schemas.openxmlformats.org/spreadsheetml/2006/main" count="3948" uniqueCount="528">
  <si>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</si>
  <si>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</si>
  <si>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</si>
  <si>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</si>
  <si>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</si>
  <si>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</si>
  <si>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</si>
  <si>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</si>
  <si>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</si>
  <si>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</si>
  <si>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</si>
  <si>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</si>
  <si>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</si>
  <si>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</si>
  <si>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</si>
  <si>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</si>
  <si>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</si>
  <si>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</si>
  <si>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</si>
  <si>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</si>
  <si>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</si>
  <si>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</si>
  <si>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</si>
  <si>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</si>
  <si>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</si>
  <si>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</si>
  <si>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</si>
  <si>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</si>
  <si>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</si>
  <si>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</si>
  <si>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</si>
  <si>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</si>
  <si>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</si>
  <si>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</si>
  <si>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</si>
  <si>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</si>
  <si>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</si>
  <si>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</si>
  <si>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</si>
  <si>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</si>
  <si>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</si>
  <si>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</si>
  <si>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</si>
  <si>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</si>
  <si>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</si>
  <si>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</si>
  <si>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</si>
  <si>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</si>
  <si>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</si>
  <si>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</si>
  <si>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</si>
  <si>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</si>
  <si>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</si>
  <si>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</si>
  <si>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</si>
  <si>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</si>
  <si>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</si>
  <si>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</si>
  <si>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</si>
  <si>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</si>
  <si>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</si>
  <si>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</si>
  <si>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</si>
  <si>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</si>
  <si>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</si>
  <si>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</si>
  <si>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</si>
  <si>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</si>
  <si>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</si>
  <si>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</si>
  <si>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</si>
  <si>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</si>
  <si>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</si>
  <si>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</si>
  <si>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</si>
  <si>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</si>
  <si>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</si>
  <si>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</si>
  <si>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</si>
  <si>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</si>
  <si>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</si>
  <si>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</si>
  <si>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</si>
  <si>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</si>
  <si>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</si>
  <si>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</si>
  <si>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</si>
  <si>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</si>
  <si>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</si>
  <si>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</si>
  <si>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</si>
  <si>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</si>
  <si>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</si>
  <si>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</si>
  <si>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</si>
  <si>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</si>
  <si>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</si>
  <si>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</si>
  <si>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</si>
  <si>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</si>
  <si>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</si>
  <si>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</si>
  <si>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</si>
  <si>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</si>
  <si>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</si>
  <si>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</si>
  <si>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</si>
  <si>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</si>
  <si>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</si>
  <si>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</si>
  <si>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</si>
  <si>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</si>
  <si>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</si>
  <si>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</si>
  <si>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</si>
  <si>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</si>
  <si>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</si>
  <si>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</si>
  <si>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</si>
  <si>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</si>
  <si>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</si>
  <si>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</si>
  <si>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</si>
  <si>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</si>
  <si>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</si>
  <si>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</si>
  <si>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</si>
  <si>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</si>
  <si>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</si>
  <si>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</si>
  <si>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</si>
  <si>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</si>
  <si>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</si>
  <si>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</si>
  <si>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</si>
  <si>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</si>
  <si>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</si>
  <si>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</si>
  <si>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</si>
  <si>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</si>
  <si>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</si>
  <si>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</si>
  <si>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</si>
  <si>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</si>
  <si>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</si>
  <si>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</si>
  <si>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</si>
  <si>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</si>
  <si>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</si>
  <si>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</si>
  <si>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</si>
  <si>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</si>
  <si>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</si>
  <si>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</si>
  <si>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</si>
  <si>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</si>
  <si>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</si>
  <si>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</si>
  <si>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</si>
  <si>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</si>
  <si>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</si>
  <si>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</si>
  <si>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</si>
  <si>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</si>
  <si>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</si>
  <si>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</si>
  <si>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</si>
  <si>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</si>
  <si>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</si>
  <si>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</si>
  <si>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</si>
  <si>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</si>
  <si>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</si>
  <si>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</si>
  <si>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</si>
  <si>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</si>
  <si>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</si>
  <si>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</si>
  <si>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</si>
  <si>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</si>
  <si>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</si>
  <si>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</si>
  <si>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</si>
  <si>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</si>
  <si>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</si>
  <si>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</si>
  <si>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</si>
  <si>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</si>
  <si>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</si>
  <si>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</si>
  <si>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</si>
  <si>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</si>
  <si>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</si>
  <si>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</si>
  <si>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</si>
  <si>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</si>
  <si>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</si>
  <si>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</si>
  <si>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</si>
  <si>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</si>
  <si>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</si>
  <si>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</si>
  <si>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</si>
  <si>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</si>
  <si>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</si>
  <si>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</si>
  <si>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</si>
  <si>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</si>
  <si>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</si>
  <si>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</si>
  <si>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</si>
  <si>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</si>
  <si>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</si>
  <si>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</si>
  <si>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</si>
  <si>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</si>
  <si>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</si>
  <si>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</si>
  <si>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</si>
  <si>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</si>
  <si>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</si>
  <si>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</si>
  <si>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</si>
  <si>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</si>
  <si>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</si>
  <si>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</si>
  <si>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</si>
  <si>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</si>
  <si>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</si>
  <si>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</si>
  <si>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</si>
  <si>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</si>
  <si>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</si>
  <si>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</si>
  <si>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</si>
  <si>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</si>
  <si>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</si>
  <si>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</si>
  <si>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</si>
  <si>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</si>
  <si>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</si>
  <si>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</si>
  <si>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</si>
  <si>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</si>
  <si>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</si>
  <si>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</si>
  <si>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</si>
  <si>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</si>
  <si>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</si>
  <si>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</si>
  <si>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</si>
  <si>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</si>
  <si>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</si>
  <si>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</si>
  <si>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</si>
  <si>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</si>
  <si>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</si>
  <si>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</si>
  <si>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</si>
  <si>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</si>
  <si>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</si>
  <si>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</si>
  <si>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</si>
  <si>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</si>
  <si>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</si>
  <si>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</si>
  <si>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</si>
  <si>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</si>
  <si>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</si>
  <si>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</si>
  <si>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</si>
  <si>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</si>
  <si>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</si>
  <si>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</si>
  <si>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</si>
  <si>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</si>
  <si>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</si>
  <si>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</si>
  <si>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</si>
  <si>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</si>
  <si>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</si>
  <si>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</si>
  <si>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</si>
  <si>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</si>
  <si>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</si>
  <si>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</si>
  <si>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</si>
  <si>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</si>
  <si>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</si>
  <si>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</si>
  <si>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</si>
  <si>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</si>
  <si>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</si>
  <si>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</si>
  <si>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</si>
  <si>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</si>
  <si>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</si>
  <si>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</si>
  <si>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</si>
  <si>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</si>
  <si>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</si>
  <si>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</si>
  <si>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</si>
  <si>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</si>
  <si>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</si>
  <si>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</si>
  <si>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</si>
  <si>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</si>
  <si>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</si>
  <si>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</si>
  <si>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</si>
  <si>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</si>
  <si>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</si>
  <si>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</si>
  <si>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</si>
  <si>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</si>
  <si>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</si>
  <si>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</si>
  <si>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</si>
  <si>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</si>
  <si>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</si>
  <si>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</si>
  <si>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</si>
  <si>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</si>
  <si>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</si>
  <si>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</si>
  <si>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</si>
  <si>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</si>
  <si>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</si>
  <si>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</si>
  <si>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</si>
  <si>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</si>
  <si>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</si>
  <si>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</si>
  <si>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</si>
  <si>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</si>
  <si>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</si>
  <si>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</si>
  <si>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</si>
  <si>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</si>
  <si>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</si>
  <si>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</si>
  <si>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</si>
  <si>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</si>
  <si>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</si>
  <si>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</si>
  <si>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</si>
  <si>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</si>
  <si>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</si>
  <si>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</si>
  <si>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</si>
  <si>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</si>
  <si>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</si>
  <si>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</si>
  <si>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</si>
  <si>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</si>
  <si>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</si>
  <si>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</si>
  <si>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</si>
  <si>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</si>
  <si>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</si>
  <si>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</si>
  <si>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</si>
  <si>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</si>
  <si>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</si>
  <si>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</si>
  <si>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</si>
  <si>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</si>
  <si>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</si>
  <si>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</si>
  <si>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</si>
  <si>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</si>
  <si>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</si>
  <si>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</si>
  <si>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</si>
  <si>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</si>
  <si>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</si>
  <si>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</si>
  <si>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</si>
  <si>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</si>
  <si>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</si>
  <si>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</si>
  <si>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</si>
  <si>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</si>
  <si>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</si>
  <si>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</si>
  <si>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</si>
  <si>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</si>
  <si>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</si>
  <si>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</si>
  <si>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</si>
  <si>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</si>
  <si>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</si>
  <si>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</si>
  <si>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</si>
  <si>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</si>
  <si>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</si>
  <si>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</si>
  <si>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</si>
  <si>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</si>
  <si>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</si>
  <si>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</si>
  <si>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</si>
  <si>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</si>
  <si>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</si>
  <si>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</si>
  <si>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</si>
  <si>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</si>
  <si>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</si>
  <si>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</si>
  <si>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</si>
  <si>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</si>
  <si>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</si>
  <si>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</si>
  <si>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</si>
  <si>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</si>
  <si>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</si>
  <si>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</si>
  <si>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</si>
  <si>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</si>
  <si>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</si>
  <si>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</si>
  <si>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</si>
  <si>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</si>
  <si>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</si>
  <si>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</si>
  <si>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</si>
  <si>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</si>
  <si>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</si>
  <si>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</si>
  <si>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</si>
  <si>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</si>
  <si>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</si>
  <si>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</si>
  <si>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</si>
  <si>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</si>
  <si>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</si>
  <si>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</si>
  <si>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</si>
  <si>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</si>
  <si>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</si>
  <si>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</si>
  <si>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</si>
  <si>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</si>
  <si>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</si>
  <si>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</si>
  <si>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</si>
  <si>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</si>
  <si>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</si>
  <si>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</si>
  <si>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</si>
  <si>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</si>
  <si>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</si>
  <si>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</si>
  <si>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</si>
  <si>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</si>
  <si>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</si>
  <si>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</si>
  <si>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</si>
  <si>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</si>
  <si>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</si>
  <si>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</si>
  <si>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</si>
  <si>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</si>
  <si>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</si>
  <si>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</si>
  <si>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</si>
  <si>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</si>
  <si>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</si>
  <si>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</si>
  <si>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</si>
  <si>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</si>
  <si>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</si>
  <si>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</si>
  <si>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</si>
  <si>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</si>
  <si>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</si>
  <si>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</si>
  <si>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</si>
  <si>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</si>
  <si>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</si>
  <si>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</si>
  <si>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</si>
  <si>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</si>
  <si>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</si>
  <si>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</si>
  <si>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</si>
  <si>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</si>
  <si>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</si>
  <si>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</si>
  <si>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</si>
  <si>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</si>
  <si>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</si>
  <si>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</si>
  <si>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</si>
  <si>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</si>
  <si>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</si>
  <si>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</si>
  <si>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</si>
  <si>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</si>
  <si>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</si>
  <si>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</si>
  <si>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</si>
  <si>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</si>
  <si>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</si>
  <si>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</si>
  <si>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</si>
  <si>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</si>
  <si>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</si>
  <si>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</si>
  <si>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</si>
  <si>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</si>
  <si>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</si>
  <si>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</si>
  <si>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 xml:space="preserve">Omega Mart </t>
  </si>
  <si>
    <t>Address: Statelife</t>
  </si>
  <si>
    <t>24 Store</t>
  </si>
  <si>
    <t>Cv Store</t>
  </si>
  <si>
    <t xml:space="preserve">Captain Mart </t>
  </si>
  <si>
    <t>Afzal Store</t>
  </si>
  <si>
    <t>Az Store</t>
  </si>
  <si>
    <t>Waqas Store</t>
  </si>
  <si>
    <t>Al mazz Store</t>
  </si>
  <si>
    <t>Al Jalil Store</t>
  </si>
  <si>
    <t>Sadiq Store</t>
  </si>
  <si>
    <t>Fresh Store</t>
  </si>
  <si>
    <t>Ajwa Store</t>
  </si>
  <si>
    <t xml:space="preserve">Marwa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</si>
</sst>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Omega Mart </v>
      </c>
      <c r="T3" s="301">
        <f>+'1'!P35</f>
        <v>3934.229496330508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24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Cv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Captain Mart </v>
      </c>
      <c r="T6" s="301">
        <f>+'4'!P35</f>
        <v>283.13144785487287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Afzal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Az Store</v>
      </c>
      <c r="T8" s="301">
        <f>+'6'!P35</f>
        <v>283.13144785487287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Waqas Store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 mazz Store</v>
      </c>
      <c r="T10" s="301">
        <f>+'8'!P35</f>
        <v>30778.090250847461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 Jalil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610.17600000000004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15080.063999999998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91.874896271186444</v>
      </c>
      <c r="P12" s="311">
        <f t="shared" si="2"/>
        <v>18466.854150508476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Sadiq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Fresh Store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Ajwa Store</v>
      </c>
      <c r="T14" s="301">
        <f>+'12'!P35</f>
        <v>1669.1779134915255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Marwa Mart </v>
      </c>
      <c r="T15" s="301">
        <f>+'13'!P35</f>
        <v>566.26289570974575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15</v>
      </c>
      <c r="H16" s="113">
        <f t="shared" ref="H16:M16" si="3">SUM(H7:H15)</f>
        <v>600</v>
      </c>
      <c r="I16" s="114">
        <f t="shared" si="3"/>
        <v>38489.9</v>
      </c>
      <c r="J16" s="274">
        <f>SUM(J7:J15)</f>
        <v>3566.16</v>
      </c>
      <c r="K16" s="275">
        <f t="shared" si="3"/>
        <v>1347.1465000000003</v>
      </c>
      <c r="L16" s="276">
        <f t="shared" si="3"/>
        <v>160.05840000000001</v>
      </c>
      <c r="M16" s="232">
        <f t="shared" si="3"/>
        <v>33416.535099999994</v>
      </c>
      <c r="N16" s="233">
        <f>SUM(N7:N15)</f>
        <v>7291.5254237288136</v>
      </c>
      <c r="O16" s="101">
        <f>SUM(O7:O15)</f>
        <v>203.54030261864406</v>
      </c>
      <c r="P16" s="113">
        <f>SUM(P7:P15)</f>
        <v>40911.600826347465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38489.9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3566.16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1507.2049000000002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33416.535100000008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7291.5254237288136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40708.060523728826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203.54030261864406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40911.600826347472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40911.600826347472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3667.7000000000003</v>
      </c>
      <c r="J25" s="274">
        <f>SUM(J16:J24)</f>
        <v>246.34000000000003</v>
      </c>
      <c r="K25" s="275">
        <f t="shared" si="10"/>
        <v>128.36950000000002</v>
      </c>
      <c r="L25" s="276">
        <f t="shared" si="10"/>
        <v>80.029200000000003</v>
      </c>
      <c r="M25" s="232">
        <f t="shared" si="10"/>
        <v>3212.9613000000004</v>
      </c>
      <c r="N25" s="233">
        <f>SUM(N16:N24)</f>
        <v>701.694915254237</v>
      </c>
      <c r="O25" s="101">
        <f>SUM(O16:O24)</f>
        <v>19.573281076271186</v>
      </c>
      <c r="P25" s="234">
        <f>SUM(P16:P24)</f>
        <v>3934.2294963305085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3667.7000000000003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246.34000000000003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208.39870000000002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3212.9612999999999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3914.6562152542369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74" t="s">
        <v>88</v>
      </c>
      <c r="O35" s="375"/>
      <c r="P35" s="297">
        <f>+P33+P34</f>
        <v>3934.229496330508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119">
        <f t="shared" si="5"/>
        <v>6155.6180501694917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119">
        <f t="shared" si="5"/>
        <v>6155.6180501694917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240</v>
      </c>
      <c r="I21" s="236">
        <f t="shared" si="0"/>
        <v>17433.599999999999</v>
      </c>
      <c r="J21" s="272">
        <f t="shared" si="1"/>
        <v>1743.36</v>
      </c>
      <c r="K21" s="128">
        <f t="shared" si="1"/>
        <v>610.17600000000004</v>
      </c>
      <c r="L21" s="119">
        <f t="shared" si="1"/>
        <v>0</v>
      </c>
      <c r="M21" s="230">
        <f t="shared" si="2"/>
        <v>15080.063999999998</v>
      </c>
      <c r="N21" s="277">
        <f t="shared" si="3"/>
        <v>3294.9152542372885</v>
      </c>
      <c r="O21" s="239">
        <f t="shared" si="4"/>
        <v>91.874896271186444</v>
      </c>
      <c r="P21" s="119">
        <f t="shared" si="5"/>
        <v>18466.854150508476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400</v>
      </c>
      <c r="I25" s="114">
        <f t="shared" si="7"/>
        <v>29056</v>
      </c>
      <c r="J25" s="274">
        <f>SUM(J16:J24)</f>
        <v>2905.6</v>
      </c>
      <c r="K25" s="275">
        <f t="shared" si="7"/>
        <v>1016.96</v>
      </c>
      <c r="L25" s="276">
        <f t="shared" si="7"/>
        <v>0</v>
      </c>
      <c r="M25" s="232">
        <f t="shared" si="7"/>
        <v>25133.439999999999</v>
      </c>
      <c r="N25" s="233">
        <f>SUM(N16:N24)</f>
        <v>5491.5254237288136</v>
      </c>
      <c r="O25" s="101">
        <f>SUM(O16:O24)</f>
        <v>153.12482711864408</v>
      </c>
      <c r="P25" s="234">
        <f>SUM(P16:P24)</f>
        <v>30778.090250847461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2905.6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1016.96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25133.440000000002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5491.5254237288136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30624.965423728816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153.12482711864408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30778.090250847461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2026-09-11T11:38:08Z</dcterms:modified>
</cp:coreProperties>
</file>