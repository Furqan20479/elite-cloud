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7B5A96-9DF0-4904-9B36-EFE1C6A30E1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I16" i="43" l="1"/>
  <c r="I16" i="1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R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44"/>
  <c r="O21" i="44" s="1"/>
  <c r="P21" i="44" s="1"/>
  <c r="M21" i="52"/>
  <c r="O21" i="52" s="1"/>
  <c r="P21" i="52" s="1"/>
  <c r="M20" i="57"/>
  <c r="O20" i="57" s="1"/>
  <c r="P20" i="57" s="1"/>
  <c r="R20" i="57" s="1"/>
  <c r="M21" i="69"/>
  <c r="O21" i="69" s="1"/>
  <c r="P21" i="69" s="1"/>
  <c r="K12" i="62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<sst xmlns="http://schemas.openxmlformats.org/spreadsheetml/2006/main" count="3918" uniqueCount="518">
  <si>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</si>
  <si>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</si>
  <si>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</si>
  <si>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</si>
  <si>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</si>
  <si>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</si>
  <si>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</si>
  <si>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</si>
  <si>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</si>
  <si>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</si>
  <si>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</si>
  <si>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</si>
  <si>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</si>
  <si>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</si>
  <si>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</si>
  <si>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</si>
  <si>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</si>
  <si>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</si>
  <si>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</si>
  <si>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</si>
  <si>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</si>
  <si>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</si>
  <si>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</si>
  <si>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</si>
  <si>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</si>
  <si>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</si>
  <si>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</si>
  <si>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</si>
  <si>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</si>
  <si>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</si>
  <si>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</si>
  <si>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</si>
  <si>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</si>
  <si>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</si>
  <si>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</si>
  <si>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</si>
  <si>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</si>
  <si>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</si>
  <si>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</si>
  <si>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</si>
  <si>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</si>
  <si>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</si>
  <si>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</si>
  <si>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</si>
  <si>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</si>
  <si>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</si>
  <si>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</si>
  <si>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</si>
  <si>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</si>
  <si>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</si>
  <si>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</si>
  <si>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</si>
  <si>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</si>
  <si>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</si>
  <si>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</si>
  <si>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</si>
  <si>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</si>
  <si>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</si>
  <si>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</si>
  <si>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</si>
  <si>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</si>
  <si>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</si>
  <si>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</si>
  <si>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</si>
  <si>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</si>
  <si>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</si>
  <si>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</si>
  <si>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</si>
  <si>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</si>
  <si>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</si>
  <si>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</si>
  <si>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</si>
  <si>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</si>
  <si>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</si>
  <si>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</si>
  <si>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</si>
  <si>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</si>
  <si>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</si>
  <si>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</si>
  <si>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</si>
  <si>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</si>
  <si>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</si>
  <si>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</si>
  <si>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</si>
  <si>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</si>
  <si>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</si>
  <si>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</si>
  <si>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</si>
  <si>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</si>
  <si>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</si>
  <si>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</si>
  <si>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</si>
  <si>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</si>
  <si>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</si>
  <si>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</si>
  <si>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</si>
  <si>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</si>
  <si>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</si>
  <si>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</si>
  <si>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</si>
  <si>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</si>
  <si>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</si>
  <si>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</si>
  <si>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</si>
  <si>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</si>
  <si>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</si>
  <si>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</si>
  <si>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</si>
  <si>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</si>
  <si>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</si>
  <si>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</si>
  <si>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</si>
  <si>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</si>
  <si>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</si>
  <si>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</si>
  <si>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</si>
  <si>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</si>
  <si>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</si>
  <si>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</si>
  <si>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</si>
  <si>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</si>
  <si>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</si>
  <si>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</si>
  <si>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</si>
  <si>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</si>
  <si>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</si>
  <si>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</si>
  <si>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</si>
  <si>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</si>
  <si>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</si>
  <si>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</si>
  <si>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</si>
  <si>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</si>
  <si>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</si>
  <si>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</si>
  <si>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</si>
  <si>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</si>
  <si>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</si>
  <si>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</si>
  <si>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</si>
  <si>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</si>
  <si>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</si>
  <si>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</si>
  <si>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</si>
  <si>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</si>
  <si>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</si>
  <si>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</si>
  <si>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</si>
  <si>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</si>
  <si>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</si>
  <si>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</si>
  <si>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</si>
  <si>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</si>
  <si>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</si>
  <si>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</si>
  <si>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</si>
  <si>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</si>
  <si>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</si>
  <si>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</si>
  <si>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</si>
  <si>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</si>
  <si>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</si>
  <si>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</si>
  <si>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</si>
  <si>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</si>
  <si>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</si>
  <si>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</si>
  <si>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</si>
  <si>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</si>
  <si>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</si>
  <si>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</si>
  <si>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</si>
  <si>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</si>
  <si>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</si>
  <si>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</si>
  <si>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</si>
  <si>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</si>
  <si>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</si>
  <si>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</si>
  <si>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</si>
  <si>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</si>
  <si>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</si>
  <si>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</si>
  <si>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</si>
  <si>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</si>
  <si>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</si>
  <si>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</si>
  <si>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</si>
  <si>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</si>
  <si>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</si>
  <si>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</si>
  <si>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</si>
  <si>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</si>
  <si>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</si>
  <si>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</si>
  <si>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</si>
  <si>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</si>
  <si>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</si>
  <si>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</si>
  <si>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</si>
  <si>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</si>
  <si>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</si>
  <si>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</si>
  <si>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</si>
  <si>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</si>
  <si>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</si>
  <si>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</si>
  <si>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</si>
  <si>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</si>
  <si>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</si>
  <si>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</si>
  <si>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</si>
  <si>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</si>
  <si>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</si>
  <si>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</si>
  <si>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</si>
  <si>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</si>
  <si>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</si>
  <si>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</si>
  <si>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</si>
  <si>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</si>
  <si>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</si>
  <si>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</si>
  <si>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</si>
  <si>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</si>
  <si>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</si>
  <si>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</si>
  <si>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</si>
  <si>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</si>
  <si>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</si>
  <si>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</si>
  <si>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</si>
  <si>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</si>
  <si>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</si>
  <si>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</si>
  <si>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</si>
  <si>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</si>
  <si>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</si>
  <si>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</si>
  <si>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</si>
  <si>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</si>
  <si>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</si>
  <si>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</si>
  <si>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</si>
  <si>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</si>
  <si>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</si>
  <si>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</si>
  <si>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</si>
  <si>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</si>
  <si>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</si>
  <si>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</si>
  <si>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</si>
  <si>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</si>
  <si>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</si>
  <si>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</si>
  <si>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</si>
  <si>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</si>
  <si>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</si>
  <si>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</si>
  <si>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</si>
  <si>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</si>
  <si>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</si>
  <si>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</si>
  <si>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</si>
  <si>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</si>
  <si>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</si>
  <si>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</si>
  <si>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</si>
  <si>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</si>
  <si>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</si>
  <si>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</si>
  <si>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</si>
  <si>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</si>
  <si>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</si>
  <si>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</si>
  <si>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</si>
  <si>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</si>
  <si>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</si>
  <si>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</si>
  <si>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</si>
  <si>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</si>
  <si>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</si>
  <si>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</si>
  <si>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</si>
  <si>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</si>
  <si>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</si>
  <si>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</si>
  <si>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</si>
  <si>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</si>
  <si>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</si>
  <si>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</si>
  <si>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</si>
  <si>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</si>
  <si>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</si>
  <si>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</si>
  <si>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</si>
  <si>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</si>
  <si>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</si>
  <si>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</si>
  <si>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</si>
  <si>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</si>
  <si>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</si>
  <si>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</si>
  <si>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</si>
  <si>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</si>
  <si>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</si>
  <si>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</si>
  <si>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</si>
  <si>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</si>
  <si>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</si>
  <si>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</si>
  <si>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</si>
  <si>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</si>
  <si>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</si>
  <si>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</si>
  <si>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</si>
  <si>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</si>
  <si>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</si>
  <si>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</si>
  <si>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</si>
  <si>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</si>
  <si>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</si>
  <si>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</si>
  <si>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</si>
  <si>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</si>
  <si>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</si>
  <si>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</si>
  <si>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</si>
  <si>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</si>
  <si>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</si>
  <si>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</si>
  <si>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</si>
  <si>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</si>
  <si>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</si>
  <si>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</si>
  <si>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</si>
  <si>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</si>
  <si>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</si>
  <si>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</si>
  <si>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</si>
  <si>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</si>
  <si>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</si>
  <si>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</si>
  <si>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</si>
  <si>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</si>
  <si>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</si>
  <si>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</si>
  <si>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</si>
  <si>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</si>
  <si>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</si>
  <si>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</si>
  <si>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</si>
  <si>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</si>
  <si>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</si>
  <si>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</si>
  <si>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</si>
  <si>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</si>
  <si>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</si>
  <si>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</si>
  <si>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</si>
  <si>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</si>
  <si>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</si>
  <si>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</si>
  <si>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</si>
  <si>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</si>
  <si>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</si>
  <si>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</si>
  <si>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</si>
  <si>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</si>
  <si>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</si>
  <si>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</si>
  <si>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</si>
  <si>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</si>
  <si>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</si>
  <si>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</si>
  <si>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</si>
  <si>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</si>
  <si>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</si>
  <si>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</si>
  <si>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</si>
  <si>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</si>
  <si>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</si>
  <si>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</si>
  <si>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</si>
  <si>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</si>
  <si>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</si>
  <si>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</si>
  <si>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</si>
  <si>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</si>
  <si>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</si>
  <si>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</si>
  <si>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</si>
  <si>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</si>
  <si>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</si>
  <si>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</si>
  <si>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</si>
  <si>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</si>
  <si>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</si>
  <si>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</si>
  <si>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</si>
  <si>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</si>
  <si>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</si>
  <si>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</si>
  <si>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</si>
  <si>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</si>
  <si>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</si>
  <si>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</si>
  <si>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</si>
  <si>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</si>
  <si>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</si>
  <si>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</si>
  <si>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</si>
  <si>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</si>
  <si>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</si>
  <si>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</si>
  <si>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</si>
  <si>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</si>
  <si>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</si>
  <si>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</si>
  <si>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</si>
  <si>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</si>
  <si>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</si>
  <si>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</si>
  <si>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</si>
  <si>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</si>
  <si>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</si>
  <si>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</si>
  <si>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</si>
  <si>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</si>
  <si>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</si>
  <si>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</si>
  <si>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</si>
  <si>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</si>
  <si>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</si>
  <si>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</si>
  <si>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</si>
  <si>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</si>
  <si>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</si>
  <si>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</si>
  <si>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</si>
  <si>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</si>
  <si>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</si>
  <si>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</si>
  <si>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</si>
  <si>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</si>
  <si>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</si>
  <si>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</si>
  <si>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</si>
  <si>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</si>
  <si>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</si>
  <si>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</si>
  <si>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</si>
  <si>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</si>
  <si>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</si>
  <si>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</si>
  <si>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</si>
  <si>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</si>
  <si>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</si>
  <si>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</si>
  <si>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</si>
  <si>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</si>
  <si>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</si>
  <si>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</si>
  <si>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</si>
  <si>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</si>
  <si>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</si>
  <si>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</si>
  <si>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</si>
  <si>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</si>
  <si>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</si>
  <si>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</si>
  <si>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</si>
  <si>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</si>
  <si>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</si>
  <si>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</si>
  <si>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</si>
  <si>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</si>
  <si>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</si>
  <si>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</si>
  <si>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</si>
  <si>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</si>
  <si>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</si>
  <si>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</si>
  <si>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</si>
  <si>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</si>
  <si>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</si>
  <si>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</si>
  <si>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</si>
  <si>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</si>
  <si>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</si>
  <si>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</si>
  <si>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</si>
  <si>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</si>
  <si>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</si>
  <si>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</si>
  <si>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</si>
  <si>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</si>
  <si>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</si>
  <si>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</si>
  <si>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</si>
  <si>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</si>
  <si>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</si>
  <si>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</si>
  <si>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</si>
  <si>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</si>
  <si>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</si>
  <si>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</si>
  <si>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</si>
  <si>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</si>
  <si>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</si>
  <si>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</si>
  <si>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</si>
  <si>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5351201-8</t>
  </si>
  <si>
    <t>Umer Cash And Carry</t>
  </si>
  <si>
    <t xml:space="preserve">Shakoor </t>
  </si>
  <si>
    <t xml:space="preserve">Address: Punjab Society </t>
  </si>
  <si>
    <t>Umer Cash And Carry Induction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</si>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</sst>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165" fontId="18" fillId="0" borderId="48" xfId="0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Umer Cash And Carry</v>
      </c>
      <c r="T3" s="301">
        <f>+'1'!P35</f>
        <v>31049.716472542375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Cash And Carry Induction</v>
      </c>
      <c r="T4" s="301">
        <f>+'2'!P35</f>
        <v>2108.9924999999998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Cash And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Cash And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524.625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5623.98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21.593501694915254</v>
      </c>
      <c r="P7" s="310">
        <f>M7+N7+O7</f>
        <v>6438.7938406779649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Umer Cash And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524.625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5623.98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21.593501694915254</v>
      </c>
      <c r="P8" s="311">
        <f t="shared" ref="P8:P15" si="2">M8+N8+O8</f>
        <v>6438.7938406779649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Cash And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524.625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5623.98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21.593501694915254</v>
      </c>
      <c r="P9" s="311">
        <f t="shared" si="2"/>
        <v>6438.7938406779649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Umer Cash And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726.4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7787.0079999999989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29.898565423728812</v>
      </c>
      <c r="P10" s="311">
        <f t="shared" si="2"/>
        <v>8915.2116501694909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Umer Cash And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726.4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7787.0079999999989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29.898565423728812</v>
      </c>
      <c r="P11" s="311">
        <f t="shared" si="2"/>
        <v>8915.2116501694909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Umer Cash And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726.4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7787.0079999999989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29.898565423728812</v>
      </c>
      <c r="P12" s="311">
        <f t="shared" si="2"/>
        <v>8915.2116501694909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Umer Cash And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Umer Cash And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Umer Cash And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Umer Cash And Carry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3753.0750000000003</v>
      </c>
      <c r="K16" s="275">
        <f t="shared" si="3"/>
        <v>1050.8610000000001</v>
      </c>
      <c r="L16" s="276">
        <f t="shared" si="3"/>
        <v>0</v>
      </c>
      <c r="M16" s="232">
        <f t="shared" si="3"/>
        <v>40232.963999999993</v>
      </c>
      <c r="N16" s="233">
        <f>SUM(N7:N15)</f>
        <v>5674.576271186439</v>
      </c>
      <c r="O16" s="101">
        <f>SUM(O7:O15)</f>
        <v>154.47620135593218</v>
      </c>
      <c r="P16" s="113">
        <f>SUM(P7:P15)</f>
        <v>46062.016472542367</v>
      </c>
      <c r="Q16" s="128">
        <f>SUM(Q7:Q15)</f>
        <v>0</v>
      </c>
      <c r="R16" s="313">
        <v>14</v>
      </c>
      <c r="S16" s="315" t="str">
        <f>+'14'!A6:A6</f>
        <v>Umer Cash And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Cash And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Umer Cash And Carry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45036.899999999994</v>
      </c>
      <c r="R19" s="299">
        <v>17</v>
      </c>
      <c r="S19" s="300" t="str">
        <f>+'17'!A6:A6</f>
        <v>Umer Cash And Carry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3753.0750000000003</v>
      </c>
      <c r="R20" s="299">
        <v>18</v>
      </c>
      <c r="S20" s="300" t="str">
        <f>+'18'!A6:A6</f>
        <v>Umer Cash And Carry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1050.8610000000001</v>
      </c>
      <c r="R21" s="299">
        <v>19</v>
      </c>
      <c r="S21" s="300" t="str">
        <f>+'19'!A6:A6</f>
        <v>Umer Cash And Carry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40232.964</v>
      </c>
      <c r="R22" s="299">
        <v>20</v>
      </c>
      <c r="S22" s="300" t="str">
        <f>+'20'!A6:A6</f>
        <v>Umer Cash And Carry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>Umer Cash And Carry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45907.540271186437</v>
      </c>
      <c r="R24" s="299">
        <v>22</v>
      </c>
      <c r="S24" s="300" t="str">
        <f>+'22'!A6:A6</f>
        <v>Umer Cash And Carry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154.47620135593218</v>
      </c>
      <c r="R25" s="299">
        <v>23</v>
      </c>
      <c r="S25" s="300" t="str">
        <f>+'23'!A6:A6</f>
        <v>Umer Cash And Carry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46062.016472542367</v>
      </c>
      <c r="R26" s="299">
        <v>24</v>
      </c>
      <c r="S26" s="300" t="str">
        <f>+'24'!A6:A6</f>
        <v>Umer Cash And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Umer Cash And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Umer Cash And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Umer Cash And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Umer Cash And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Umer Cash And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Umer Cash And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33158.708972542372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524.625</v>
      </c>
      <c r="K18" s="128">
        <f t="shared" si="1"/>
        <v>146.89500000000001</v>
      </c>
      <c r="L18" s="119">
        <f t="shared" si="1"/>
        <v>0</v>
      </c>
      <c r="M18" s="230">
        <f t="shared" si="2"/>
        <v>3525.48</v>
      </c>
      <c r="N18" s="277">
        <f t="shared" si="3"/>
        <v>793.22033898305051</v>
      </c>
      <c r="O18" s="239">
        <f t="shared" si="4"/>
        <v>21.593501694915254</v>
      </c>
      <c r="P18" s="119">
        <f t="shared" si="5"/>
        <v>4340.2938406779658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726.4</v>
      </c>
      <c r="K19" s="128">
        <f t="shared" si="1"/>
        <v>203.39200000000002</v>
      </c>
      <c r="L19" s="119">
        <f t="shared" si="1"/>
        <v>0</v>
      </c>
      <c r="M19" s="230">
        <f t="shared" si="2"/>
        <v>4881.4079999999994</v>
      </c>
      <c r="N19" s="277">
        <f t="shared" si="3"/>
        <v>1098.3050847457628</v>
      </c>
      <c r="O19" s="239">
        <f t="shared" si="4"/>
        <v>29.898565423728812</v>
      </c>
      <c r="P19" s="119">
        <f t="shared" si="5"/>
        <v>6009.6116501694905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726.4</v>
      </c>
      <c r="K20" s="128">
        <f t="shared" si="1"/>
        <v>203.39200000000002</v>
      </c>
      <c r="L20" s="119">
        <f t="shared" si="1"/>
        <v>0</v>
      </c>
      <c r="M20" s="230">
        <f t="shared" si="2"/>
        <v>4881.4079999999994</v>
      </c>
      <c r="N20" s="277">
        <f t="shared" si="3"/>
        <v>1098.3050847457628</v>
      </c>
      <c r="O20" s="239">
        <f t="shared" si="4"/>
        <v>29.898565423728812</v>
      </c>
      <c r="P20" s="119">
        <f t="shared" si="5"/>
        <v>6009.6116501694905</v>
      </c>
      <c r="Q20" s="319"/>
      <c r="R20">
        <f>P20/21</f>
        <v>286.17198334140431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726.4</v>
      </c>
      <c r="K21" s="128">
        <f t="shared" si="1"/>
        <v>203.39200000000002</v>
      </c>
      <c r="L21" s="119">
        <f t="shared" si="1"/>
        <v>0</v>
      </c>
      <c r="M21" s="230">
        <f t="shared" si="2"/>
        <v>4881.4079999999994</v>
      </c>
      <c r="N21" s="277">
        <f t="shared" si="3"/>
        <v>1098.3050847457628</v>
      </c>
      <c r="O21" s="239">
        <f t="shared" si="4"/>
        <v>29.898565423728812</v>
      </c>
      <c r="P21" s="119">
        <f t="shared" si="5"/>
        <v>6009.6116501694905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3753.0750000000003</v>
      </c>
      <c r="K25" s="275">
        <f t="shared" si="10"/>
        <v>1050.8610000000001</v>
      </c>
      <c r="L25" s="276">
        <f t="shared" si="10"/>
        <v>0</v>
      </c>
      <c r="M25" s="232">
        <f t="shared" si="10"/>
        <v>25220.664000000001</v>
      </c>
      <c r="N25" s="233">
        <f>SUM(N16:N24)</f>
        <v>5674.576271186439</v>
      </c>
      <c r="O25" s="101">
        <f>SUM(O16:O24)</f>
        <v>154.47620135593218</v>
      </c>
      <c r="P25" s="234">
        <f>SUM(P16:P24)</f>
        <v>31049.716472542372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30024.600000000002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3753.0750000000003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1050.8610000000001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25220.664000000001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30895.240271186442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154.4762013559322</v>
      </c>
    </row>
    <row r="35" spans="2:16" ht="15.75" customHeight="1" thickBot="1" x14ac:dyDescent="0.4">
      <c r="N35" s="374" t="s">
        <v>88</v>
      </c>
      <c r="O35" s="375"/>
      <c r="P35" s="297">
        <f>+P33+P34</f>
        <v>31049.716472542375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/>
      <c r="K16" s="127"/>
      <c r="L16" s="118"/>
      <c r="M16" s="229"/>
      <c r="N16" s="248"/>
      <c r="O16" s="238"/>
      <c r="P16" s="118"/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/>
      <c r="J17" s="272"/>
      <c r="K17" s="128"/>
      <c r="L17" s="119"/>
      <c r="M17" s="230"/>
      <c r="N17" s="277"/>
      <c r="O17" s="239"/>
      <c r="P17" s="119"/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0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/>
      <c r="J18" s="272"/>
      <c r="K18" s="128"/>
      <c r="L18" s="119"/>
      <c r="M18" s="230"/>
      <c r="N18" s="277"/>
      <c r="O18" s="239"/>
      <c r="P18" s="119"/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0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/>
      <c r="J19" s="272"/>
      <c r="K19" s="128"/>
      <c r="L19" s="119"/>
      <c r="M19" s="230"/>
      <c r="N19" s="277"/>
      <c r="O19" s="239"/>
      <c r="P19" s="119"/>
      <c r="Q19" s="319"/>
      <c r="S19" s="416">
        <f>+S18</f>
        <v>0.125</v>
      </c>
      <c r="T19" s="270">
        <v>3.5000000000000003E-2</v>
      </c>
      <c r="U19" s="269"/>
      <c r="V19" s="142">
        <f t="shared" si="0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/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0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/>
      <c r="J21" s="272"/>
      <c r="K21" s="128"/>
      <c r="L21" s="119"/>
      <c r="M21" s="230"/>
      <c r="N21" s="277"/>
      <c r="O21" s="239"/>
      <c r="P21" s="119"/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0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/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0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/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0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/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0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1">SUM(G16:G24)</f>
        <v>0</v>
      </c>
      <c r="H25" s="113">
        <f t="shared" si="1"/>
        <v>240</v>
      </c>
      <c r="I25" s="114">
        <f t="shared" si="1"/>
        <v>2098.5</v>
      </c>
      <c r="J25" s="274">
        <f>SUM(J16:J24)</f>
        <v>0</v>
      </c>
      <c r="K25" s="275">
        <f t="shared" si="1"/>
        <v>0</v>
      </c>
      <c r="L25" s="276">
        <f t="shared" si="1"/>
        <v>0</v>
      </c>
      <c r="M25" s="232">
        <f t="shared" si="1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2098.5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2098.5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10.4925</v>
      </c>
    </row>
    <row r="35" spans="2:16" ht="15.75" customHeight="1" thickBot="1" x14ac:dyDescent="0.4">
      <c r="N35" s="374" t="s">
        <v>88</v>
      </c>
      <c r="O35" s="375"/>
      <c r="P35" s="297">
        <f>+P33+P34</f>
        <v>2108.9924999999998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Shakoor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0.125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416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416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416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416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416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416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2026-09-21T12:39:00Z</dcterms:modified>
</cp:coreProperties>
</file>