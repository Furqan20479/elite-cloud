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7E82337-E07A-40D9-AB2F-79FE3D2DAEE5}" xr6:coauthVersionLast="47" xr6:coauthVersionMax="47" xr10:uidLastSave="{00000000-0000-0000-0000-000000000000}"/>
  <bookViews>
    <workbookView xWindow="-110" yWindow="-110" windowWidth="19420" windowHeight="10420" tabRatio="594" firstSheet="3" activeTab="6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<sst xmlns="http://schemas.openxmlformats.org/spreadsheetml/2006/main" count="3977" uniqueCount="518">
  <si>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</si>
  <si>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</si>
  <si>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</si>
  <si>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</si>
  <si>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</si>
  <si>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</si>
  <si>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</si>
  <si>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</si>
  <si>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</si>
  <si>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</si>
  <si>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</si>
  <si>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</si>
  <si>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</si>
  <si>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</si>
  <si>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</si>
  <si>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</si>
  <si>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</si>
  <si>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</si>
  <si>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</si>
  <si>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</si>
  <si>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</si>
  <si>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</si>
  <si>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</si>
  <si>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</si>
  <si>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</si>
  <si>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</si>
  <si>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</si>
  <si>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</si>
  <si>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</si>
  <si>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</si>
  <si>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</si>
  <si>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</si>
  <si>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</si>
  <si>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</si>
  <si>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</si>
  <si>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</si>
  <si>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</si>
  <si>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</si>
  <si>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</si>
  <si>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</si>
  <si>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</si>
  <si>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</si>
  <si>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</si>
  <si>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</si>
  <si>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</si>
  <si>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</si>
  <si>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</si>
  <si>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</si>
  <si>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</si>
  <si>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</si>
  <si>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</si>
  <si>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</si>
  <si>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</si>
  <si>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</si>
  <si>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</si>
  <si>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</si>
  <si>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</si>
  <si>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</si>
  <si>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</si>
  <si>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</si>
  <si>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</si>
  <si>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</si>
  <si>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</si>
  <si>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</si>
  <si>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</si>
  <si>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</si>
  <si>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</si>
  <si>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</si>
  <si>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</si>
  <si>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</si>
  <si>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</si>
  <si>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</si>
  <si>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</si>
  <si>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</si>
  <si>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</si>
  <si>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</si>
  <si>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</si>
  <si>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</si>
  <si>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</si>
  <si>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</si>
  <si>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</si>
  <si>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</si>
  <si>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</si>
  <si>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</si>
  <si>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</si>
  <si>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</si>
  <si>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</si>
  <si>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</si>
  <si>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</si>
  <si>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</si>
  <si>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</si>
  <si>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</si>
  <si>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</si>
  <si>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</si>
  <si>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</si>
  <si>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</si>
  <si>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</si>
  <si>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</si>
  <si>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</si>
  <si>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</si>
  <si>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</si>
  <si>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</si>
  <si>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</si>
  <si>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</si>
  <si>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</si>
  <si>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</si>
  <si>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</si>
  <si>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</si>
  <si>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</si>
  <si>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</si>
  <si>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</si>
  <si>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</si>
  <si>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</si>
  <si>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</si>
  <si>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</si>
  <si>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</si>
  <si>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</si>
  <si>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</si>
  <si>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</si>
  <si>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</si>
  <si>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</si>
  <si>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</si>
  <si>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</si>
  <si>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</si>
  <si>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</si>
  <si>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</si>
  <si>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</si>
  <si>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</si>
  <si>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</si>
  <si>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</si>
  <si>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</si>
  <si>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</si>
  <si>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</si>
  <si>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</si>
  <si>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</si>
  <si>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</si>
  <si>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</si>
  <si>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</si>
  <si>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</si>
  <si>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</si>
  <si>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</si>
  <si>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</si>
  <si>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</si>
  <si>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</si>
  <si>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</si>
  <si>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</si>
  <si>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</si>
  <si>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</si>
  <si>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</si>
  <si>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</si>
  <si>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</si>
  <si>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</si>
  <si>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</si>
  <si>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</si>
  <si>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</si>
  <si>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</si>
  <si>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</si>
  <si>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</si>
  <si>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</si>
  <si>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</si>
  <si>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</si>
  <si>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</si>
  <si>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</si>
  <si>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</si>
  <si>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</si>
  <si>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</si>
  <si>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</si>
  <si>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</si>
  <si>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</si>
  <si>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</si>
  <si>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</si>
  <si>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</si>
  <si>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</si>
  <si>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</si>
  <si>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</si>
  <si>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</si>
  <si>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</si>
  <si>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</si>
  <si>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</si>
  <si>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</si>
  <si>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</si>
  <si>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</si>
  <si>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</si>
  <si>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</si>
  <si>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</si>
  <si>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</si>
  <si>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</si>
  <si>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</si>
  <si>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</si>
  <si>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</si>
  <si>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</si>
  <si>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</si>
  <si>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</si>
  <si>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</si>
  <si>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</si>
  <si>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</si>
  <si>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</si>
  <si>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</si>
  <si>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</si>
  <si>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</si>
  <si>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</si>
  <si>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</si>
  <si>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</si>
  <si>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</si>
  <si>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</si>
  <si>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</si>
  <si>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</si>
  <si>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</si>
  <si>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</si>
  <si>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</si>
  <si>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</si>
  <si>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</si>
  <si>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</si>
  <si>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</si>
  <si>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</si>
  <si>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</si>
  <si>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</si>
  <si>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</si>
  <si>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</si>
  <si>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</si>
  <si>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</si>
  <si>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</si>
  <si>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</si>
  <si>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</si>
  <si>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</si>
  <si>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</si>
  <si>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</si>
  <si>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</si>
  <si>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</si>
  <si>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</si>
  <si>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</si>
  <si>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</si>
  <si>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</si>
  <si>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</si>
  <si>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</si>
  <si>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</si>
  <si>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</si>
  <si>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</si>
  <si>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</si>
  <si>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</si>
  <si>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</si>
  <si>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</si>
  <si>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</si>
  <si>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</si>
  <si>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</si>
  <si>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</si>
  <si>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</si>
  <si>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</si>
  <si>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</si>
  <si>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</si>
  <si>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</si>
  <si>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</si>
  <si>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</si>
  <si>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</si>
  <si>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</si>
  <si>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</si>
  <si>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</si>
  <si>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</si>
  <si>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</si>
  <si>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</si>
  <si>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</si>
  <si>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</si>
  <si>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</si>
  <si>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</si>
  <si>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</si>
  <si>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</si>
  <si>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</si>
  <si>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</si>
  <si>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</si>
  <si>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</si>
  <si>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</si>
  <si>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</si>
  <si>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</si>
  <si>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</si>
  <si>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</si>
  <si>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</si>
  <si>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</si>
  <si>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</si>
  <si>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</si>
  <si>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</si>
  <si>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</si>
  <si>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</si>
  <si>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</si>
  <si>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</si>
  <si>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</si>
  <si>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</si>
  <si>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</si>
  <si>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</si>
  <si>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</si>
  <si>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</si>
  <si>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</si>
  <si>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</si>
  <si>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</si>
  <si>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</si>
  <si>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</si>
  <si>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</si>
  <si>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</si>
  <si>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</si>
  <si>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</si>
  <si>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</si>
  <si>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</si>
  <si>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</si>
  <si>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</si>
  <si>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</si>
  <si>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</si>
  <si>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</si>
  <si>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</si>
  <si>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</si>
  <si>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</si>
  <si>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</si>
  <si>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</si>
  <si>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</si>
  <si>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</si>
  <si>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</si>
  <si>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</si>
  <si>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</si>
  <si>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</si>
  <si>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</si>
  <si>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</si>
  <si>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</si>
  <si>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</si>
  <si>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</si>
  <si>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</si>
  <si>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</si>
  <si>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</si>
  <si>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</si>
  <si>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</si>
  <si>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</si>
  <si>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</si>
  <si>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</si>
  <si>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</si>
  <si>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</si>
  <si>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</si>
  <si>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</si>
  <si>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</si>
  <si>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</si>
  <si>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</si>
  <si>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</si>
  <si>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</si>
  <si>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</si>
  <si>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</si>
  <si>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</si>
  <si>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</si>
  <si>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</si>
  <si>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</si>
  <si>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</si>
  <si>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</si>
  <si>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</si>
  <si>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</si>
  <si>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</si>
  <si>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</si>
  <si>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</si>
  <si>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</si>
  <si>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</si>
  <si>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</si>
  <si>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</si>
  <si>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</si>
  <si>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</si>
  <si>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</si>
  <si>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</si>
  <si>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</si>
  <si>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</si>
  <si>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</si>
  <si>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</si>
  <si>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</si>
  <si>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</si>
  <si>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</si>
  <si>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</si>
  <si>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</si>
  <si>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</si>
  <si>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</si>
  <si>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</si>
  <si>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</si>
  <si>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</si>
  <si>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</si>
  <si>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</si>
  <si>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</si>
  <si>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</si>
  <si>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</si>
  <si>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</si>
  <si>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</si>
  <si>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</si>
  <si>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</si>
  <si>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</si>
  <si>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</si>
  <si>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</si>
  <si>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</si>
  <si>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</si>
  <si>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</si>
  <si>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</si>
  <si>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</si>
  <si>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</si>
  <si>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</si>
  <si>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</si>
  <si>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</si>
  <si>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</si>
  <si>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</si>
  <si>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</si>
  <si>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</si>
  <si>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</si>
  <si>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</si>
  <si>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</si>
  <si>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</si>
  <si>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</si>
  <si>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</si>
  <si>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</si>
  <si>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</si>
  <si>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</si>
  <si>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</si>
  <si>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</si>
  <si>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</si>
  <si>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</si>
  <si>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</si>
  <si>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</si>
  <si>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</si>
  <si>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</si>
  <si>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</si>
  <si>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</si>
  <si>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</si>
  <si>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</si>
  <si>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</si>
  <si>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</si>
  <si>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</si>
  <si>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</si>
  <si>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</si>
  <si>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</si>
  <si>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</si>
  <si>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</si>
  <si>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</si>
  <si>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</si>
  <si>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</si>
  <si>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</si>
  <si>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</si>
  <si>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</si>
  <si>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</si>
  <si>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</si>
  <si>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</si>
  <si>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</si>
  <si>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</si>
  <si>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</si>
  <si>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</si>
  <si>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</si>
  <si>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</si>
  <si>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</si>
  <si>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</si>
  <si>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</si>
  <si>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</si>
  <si>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</si>
  <si>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</si>
  <si>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</si>
  <si>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</si>
  <si>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</si>
  <si>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</si>
  <si>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</si>
  <si>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</si>
  <si>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</si>
  <si>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</si>
  <si>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</si>
  <si>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</si>
  <si>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</si>
  <si>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</si>
  <si>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</si>
  <si>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</si>
  <si>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</si>
  <si>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</si>
  <si>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</si>
  <si>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</si>
  <si>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</si>
  <si>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</si>
  <si>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</si>
  <si>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</si>
  <si>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</si>
  <si>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</si>
  <si>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</si>
  <si>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</si>
  <si>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</si>
  <si>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</si>
  <si>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</si>
  <si>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</si>
  <si>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</si>
  <si>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</si>
  <si>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</si>
  <si>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</si>
  <si>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</si>
  <si>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</si>
  <si>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</si>
  <si>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</si>
  <si>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</si>
  <si>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</si>
  <si>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</si>
  <si>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</si>
  <si>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</si>
  <si>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</si>
  <si>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</si>
  <si>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</si>
  <si>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</si>
  <si>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</si>
  <si>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</si>
  <si>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</si>
  <si>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</si>
  <si>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</si>
  <si>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</si>
  <si>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</si>
  <si>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</si>
  <si>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</si>
  <si>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</si>
  <si>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</si>
  <si>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</si>
  <si>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</si>
  <si>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</si>
  <si>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</si>
  <si>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</si>
  <si>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Sana Cash &amp; Carry </t>
  </si>
  <si>
    <t>Address: Punjab Society</t>
  </si>
  <si>
    <t>NTN  #: 040250-2</t>
  </si>
  <si>
    <t>Invoice No # : 5461</t>
  </si>
  <si>
    <t xml:space="preserve">Address: Canal Avenue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</si>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</sst>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/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46286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 xml:space="preserve">Sana Cash &amp; Carry </v>
      </c>
      <c r="T3" s="301">
        <f>+'1'!P35</f>
        <v>15902.042273771185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Sana Cash &amp; Carry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Sana Cash &amp; Carry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Sana Cash &amp; Carry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Sana Cash &amp; Carry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Sana Cash &amp; Carry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1815.2024999999999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11.059063347457625</v>
      </c>
      <c r="P9" s="311">
        <f t="shared" si="2"/>
        <v>2222.8717328389826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Sana Cash &amp; Carry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Sana Cash &amp; Carry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Sana Cash &amp; Carry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2513.3440000000001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15.312482711864407</v>
      </c>
      <c r="P12" s="311">
        <f t="shared" si="2"/>
        <v>3077.8090250847458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Sana Cash &amp; Carry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Sana Cash &amp; Carry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Sana Cash &amp; Carry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Sana Cash &amp; Carry 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1501.23</v>
      </c>
      <c r="K16" s="275">
        <f t="shared" si="3"/>
        <v>525.43050000000005</v>
      </c>
      <c r="L16" s="276">
        <f t="shared" si="3"/>
        <v>0</v>
      </c>
      <c r="M16" s="232">
        <f t="shared" si="3"/>
        <v>12985.639500000001</v>
      </c>
      <c r="N16" s="233">
        <f>SUM(N7:N15)</f>
        <v>2837.2881355932195</v>
      </c>
      <c r="O16" s="101">
        <f>SUM(O7:O15)</f>
        <v>79.1146381779661</v>
      </c>
      <c r="P16" s="113">
        <f>SUM(P7:P15)</f>
        <v>15902.042273771183</v>
      </c>
      <c r="Q16" s="128">
        <f>SUM(Q7:Q15)</f>
        <v>0</v>
      </c>
      <c r="R16" s="314">
        <v>14</v>
      </c>
      <c r="S16" s="300" t="str">
        <f>+'14'!A6:A6</f>
        <v xml:space="preserve">Sana Cash &amp; Carry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Sana Cash &amp; Carry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Sana Cash &amp; Carry 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15012.300000000001</v>
      </c>
      <c r="R19" s="299">
        <v>17</v>
      </c>
      <c r="S19" s="300" t="str">
        <f>+'17'!A6:A6</f>
        <v xml:space="preserve">Sana Cash &amp; Carry 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1501.23</v>
      </c>
      <c r="R20" s="299">
        <v>18</v>
      </c>
      <c r="S20" s="300" t="str">
        <f>+'18'!A6:A6</f>
        <v xml:space="preserve">Sana Cash &amp; Carry 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525.43050000000005</v>
      </c>
      <c r="R21" s="299">
        <v>19</v>
      </c>
      <c r="S21" s="300" t="str">
        <f>+'19'!A6:A6</f>
        <v xml:space="preserve">Sana Cash &amp; Carry 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12985.639500000001</v>
      </c>
      <c r="R22" s="299">
        <v>20</v>
      </c>
      <c r="S22" s="300" t="str">
        <f>+'20'!A6:A6</f>
        <v xml:space="preserve">Sana Cash &amp; Carry 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 xml:space="preserve">Sana Cash &amp; Carry 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15822.92763559322</v>
      </c>
      <c r="R24" s="299">
        <v>22</v>
      </c>
      <c r="S24" s="300" t="str">
        <f>+'22'!A6:A6</f>
        <v xml:space="preserve">Sana Cash &amp; Carry 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79.1146381779661</v>
      </c>
      <c r="R25" s="299">
        <v>23</v>
      </c>
      <c r="S25" s="300" t="str">
        <f>+'23'!A6:A6</f>
        <v xml:space="preserve">Sana Cash &amp; Carry 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15902.042273771185</v>
      </c>
      <c r="R26" s="299">
        <v>24</v>
      </c>
      <c r="S26" s="300" t="str">
        <f>+'24'!A6:A6</f>
        <v xml:space="preserve">Sana Cash &amp; Carry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 xml:space="preserve">Sana Cash &amp; Carry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Sana Cash &amp; Carry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Sana Cash &amp; Carry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Sana Cash &amp; Carry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Sana Cash &amp; Carry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Sana Cash &amp; Carry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15902.042273771185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 t="s">
        <v>517</v>
      </c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46286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46285</v>
      </c>
      <c r="O5" s="392"/>
      <c r="P5" s="392"/>
      <c r="R5" s="85"/>
      <c r="S5" s="266"/>
    </row>
    <row r="6" spans="1:22 16383:16384" ht="17.2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310">
        <f>M16+N16+O16</f>
        <v>2222.8717328389826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311">
        <f t="shared" ref="P17:P24" si="5">M17+N17+O17</f>
        <v>2222.8717328389826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311">
        <f t="shared" si="5"/>
        <v>2222.8717328389826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311">
        <f t="shared" si="5"/>
        <v>3077.8090250847458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311">
        <f t="shared" si="5"/>
        <v>3077.8090250847458</v>
      </c>
      <c r="Q20" s="156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311">
        <f t="shared" si="5"/>
        <v>3077.8090250847458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1501.23</v>
      </c>
      <c r="K25" s="275">
        <f t="shared" si="10"/>
        <v>525.43050000000005</v>
      </c>
      <c r="L25" s="276">
        <f t="shared" si="10"/>
        <v>0</v>
      </c>
      <c r="M25" s="232">
        <f t="shared" si="10"/>
        <v>12985.639500000001</v>
      </c>
      <c r="N25" s="233">
        <f>SUM(N16:N24)</f>
        <v>2837.2881355932195</v>
      </c>
      <c r="O25" s="101">
        <f>SUM(O16:O24)</f>
        <v>79.1146381779661</v>
      </c>
      <c r="P25" s="113">
        <f>SUM(P16:P24)</f>
        <v>15902.042273771183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15012.300000000001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1501.23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525.43050000000005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12985.639500000001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15822.92763559322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79.1146381779661</v>
      </c>
    </row>
    <row r="35" spans="2:16" ht="15.75" customHeight="1" thickBot="1" x14ac:dyDescent="0.4">
      <c r="N35" s="372" t="s">
        <v>88</v>
      </c>
      <c r="O35" s="373"/>
      <c r="P35" s="297">
        <f>+P33+P34</f>
        <v>15902.042273771185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46287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46286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2026-09-21T05:36:29Z</dcterms:modified>
</cp:coreProperties>
</file>