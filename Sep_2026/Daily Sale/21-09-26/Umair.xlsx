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882756D-30DB-4BC4-B7F9-EF2E4DD7B47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<sst xmlns="http://schemas.openxmlformats.org/spreadsheetml/2006/main" count="3948" uniqueCount="526">
  <si>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</si>
  <si>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</si>
  <si>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</si>
  <si>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</si>
  <si>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</si>
  <si>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</si>
  <si>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</si>
  <si>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</si>
  <si>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</si>
  <si>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</si>
  <si>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</si>
  <si>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</si>
  <si>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</si>
  <si>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</si>
  <si>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</si>
  <si>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</si>
  <si>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</si>
  <si>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</si>
  <si>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</si>
  <si>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</si>
  <si>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</si>
  <si>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</si>
  <si>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</si>
  <si>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</si>
  <si>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</si>
  <si>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</si>
  <si>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</si>
  <si>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</si>
  <si>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</si>
  <si>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</si>
  <si>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</si>
  <si>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</si>
  <si>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</si>
  <si>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</si>
  <si>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</si>
  <si>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</si>
  <si>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</si>
  <si>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</si>
  <si>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</si>
  <si>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</si>
  <si>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</si>
  <si>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</si>
  <si>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</si>
  <si>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</si>
  <si>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</si>
  <si>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</si>
  <si>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</si>
  <si>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</si>
  <si>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</si>
  <si>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</si>
  <si>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</si>
  <si>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</si>
  <si>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</si>
  <si>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</si>
  <si>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</si>
  <si>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</si>
  <si>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</si>
  <si>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</si>
  <si>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</si>
  <si>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</si>
  <si>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</si>
  <si>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</si>
  <si>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</si>
  <si>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</si>
  <si>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</si>
  <si>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</si>
  <si>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</si>
  <si>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</si>
  <si>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</si>
  <si>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</si>
  <si>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</si>
  <si>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</si>
  <si>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</si>
  <si>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</si>
  <si>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</si>
  <si>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</si>
  <si>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</si>
  <si>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</si>
  <si>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</si>
  <si>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</si>
  <si>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</si>
  <si>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</si>
  <si>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</si>
  <si>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</si>
  <si>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</si>
  <si>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</si>
  <si>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</si>
  <si>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</si>
  <si>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</si>
  <si>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</si>
  <si>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</si>
  <si>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</si>
  <si>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</si>
  <si>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</si>
  <si>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</si>
  <si>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</si>
  <si>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</si>
  <si>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</si>
  <si>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</si>
  <si>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</si>
  <si>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</si>
  <si>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</si>
  <si>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</si>
  <si>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</si>
  <si>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</si>
  <si>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</si>
  <si>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</si>
  <si>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</si>
  <si>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</si>
  <si>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</si>
  <si>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</si>
  <si>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</si>
  <si>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</si>
  <si>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</si>
  <si>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</si>
  <si>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</si>
  <si>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</si>
  <si>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</si>
  <si>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</si>
  <si>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</si>
  <si>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</si>
  <si>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</si>
  <si>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</si>
  <si>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</si>
  <si>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</si>
  <si>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</si>
  <si>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</si>
  <si>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</si>
  <si>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</si>
  <si>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</si>
  <si>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</si>
  <si>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</si>
  <si>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</si>
  <si>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</si>
  <si>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</si>
  <si>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</si>
  <si>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</si>
  <si>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</si>
  <si>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</si>
  <si>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</si>
  <si>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</si>
  <si>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</si>
  <si>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</si>
  <si>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</si>
  <si>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</si>
  <si>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</si>
  <si>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</si>
  <si>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</si>
  <si>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</si>
  <si>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</si>
  <si>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</si>
  <si>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</si>
  <si>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</si>
  <si>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</si>
  <si>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</si>
  <si>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</si>
  <si>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</si>
  <si>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</si>
  <si>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</si>
  <si>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</si>
  <si>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</si>
  <si>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</si>
  <si>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</si>
  <si>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</si>
  <si>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</si>
  <si>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</si>
  <si>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</si>
  <si>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</si>
  <si>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</si>
  <si>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</si>
  <si>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</si>
  <si>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</si>
  <si>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</si>
  <si>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</si>
  <si>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</si>
  <si>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</si>
  <si>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</si>
  <si>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</si>
  <si>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</si>
  <si>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</si>
  <si>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</si>
  <si>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</si>
  <si>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</si>
  <si>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</si>
  <si>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</si>
  <si>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</si>
  <si>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</si>
  <si>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</si>
  <si>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</si>
  <si>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</si>
  <si>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</si>
  <si>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</si>
  <si>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</si>
  <si>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</si>
  <si>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</si>
  <si>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</si>
  <si>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</si>
  <si>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</si>
  <si>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</si>
  <si>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</si>
  <si>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</si>
  <si>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</si>
  <si>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</si>
  <si>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</si>
  <si>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</si>
  <si>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</si>
  <si>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</si>
  <si>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</si>
  <si>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</si>
  <si>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</si>
  <si>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</si>
  <si>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</si>
  <si>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</si>
  <si>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</si>
  <si>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</si>
  <si>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</si>
  <si>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</si>
  <si>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</si>
  <si>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</si>
  <si>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</si>
  <si>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</si>
  <si>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</si>
  <si>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</si>
  <si>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</si>
  <si>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</si>
  <si>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</si>
  <si>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</si>
  <si>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</si>
  <si>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</si>
  <si>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</si>
  <si>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</si>
  <si>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</si>
  <si>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</si>
  <si>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</si>
  <si>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</si>
  <si>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</si>
  <si>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</si>
  <si>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</si>
  <si>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</si>
  <si>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</si>
  <si>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</si>
  <si>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</si>
  <si>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</si>
  <si>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</si>
  <si>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</si>
  <si>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</si>
  <si>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</si>
  <si>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</si>
  <si>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</si>
  <si>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</si>
  <si>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</si>
  <si>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</si>
  <si>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</si>
  <si>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</si>
  <si>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</si>
  <si>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</si>
  <si>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</si>
  <si>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</si>
  <si>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</si>
  <si>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</si>
  <si>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</si>
  <si>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</si>
  <si>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</si>
  <si>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</si>
  <si>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</si>
  <si>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</si>
  <si>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</si>
  <si>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</si>
  <si>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</si>
  <si>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</si>
  <si>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</si>
  <si>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</si>
  <si>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</si>
  <si>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</si>
  <si>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</si>
  <si>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</si>
  <si>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</si>
  <si>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</si>
  <si>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</si>
  <si>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</si>
  <si>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</si>
  <si>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</si>
  <si>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</si>
  <si>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</si>
  <si>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</si>
  <si>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</si>
  <si>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</si>
  <si>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</si>
  <si>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</si>
  <si>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</si>
  <si>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</si>
  <si>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</si>
  <si>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</si>
  <si>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</si>
  <si>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</si>
  <si>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</si>
  <si>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</si>
  <si>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</si>
  <si>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</si>
  <si>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</si>
  <si>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</si>
  <si>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</si>
  <si>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</si>
  <si>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</si>
  <si>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</si>
  <si>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</si>
  <si>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</si>
  <si>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</si>
  <si>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</si>
  <si>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</si>
  <si>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</si>
  <si>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</si>
  <si>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</si>
  <si>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</si>
  <si>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</si>
  <si>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</si>
  <si>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</si>
  <si>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</si>
  <si>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</si>
  <si>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</si>
  <si>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</si>
  <si>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</si>
  <si>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</si>
  <si>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</si>
  <si>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</si>
  <si>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</si>
  <si>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</si>
  <si>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</si>
  <si>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</si>
  <si>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</si>
  <si>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</si>
  <si>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</si>
  <si>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</si>
  <si>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</si>
  <si>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</si>
  <si>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</si>
  <si>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</si>
  <si>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</si>
  <si>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</si>
  <si>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</si>
  <si>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</si>
  <si>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</si>
  <si>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</si>
  <si>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</si>
  <si>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</si>
  <si>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</si>
  <si>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</si>
  <si>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</si>
  <si>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</si>
  <si>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</si>
  <si>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</si>
  <si>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</si>
  <si>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</si>
  <si>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</si>
  <si>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</si>
  <si>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</si>
  <si>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</si>
  <si>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</si>
  <si>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</si>
  <si>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</si>
  <si>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</si>
  <si>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</si>
  <si>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</si>
  <si>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</si>
  <si>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</si>
  <si>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</si>
  <si>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</si>
  <si>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</si>
  <si>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</si>
  <si>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</si>
  <si>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</si>
  <si>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</si>
  <si>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</si>
  <si>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</si>
  <si>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</si>
  <si>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</si>
  <si>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</si>
  <si>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</si>
  <si>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</si>
  <si>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</si>
  <si>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</si>
  <si>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</si>
  <si>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</si>
  <si>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</si>
  <si>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</si>
  <si>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</si>
  <si>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</si>
  <si>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</si>
  <si>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</si>
  <si>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</si>
  <si>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</si>
  <si>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</si>
  <si>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</si>
  <si>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</si>
  <si>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</si>
  <si>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</si>
  <si>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</si>
  <si>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</si>
  <si>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</si>
  <si>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</si>
  <si>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</si>
  <si>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</si>
  <si>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</si>
  <si>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</si>
  <si>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</si>
  <si>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</si>
  <si>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</si>
  <si>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</si>
  <si>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</si>
  <si>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</si>
  <si>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</si>
  <si>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</si>
  <si>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</si>
  <si>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</si>
  <si>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</si>
  <si>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</si>
  <si>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</si>
  <si>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</si>
  <si>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</si>
  <si>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</si>
  <si>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</si>
  <si>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</si>
  <si>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</si>
  <si>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</si>
  <si>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</si>
  <si>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</si>
  <si>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</si>
  <si>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</si>
  <si>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</si>
  <si>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</si>
  <si>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</si>
  <si>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</si>
  <si>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</si>
  <si>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</si>
  <si>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</si>
  <si>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</si>
  <si>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</si>
  <si>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</si>
  <si>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</si>
  <si>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</si>
  <si>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</si>
  <si>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</si>
  <si>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</si>
  <si>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</si>
  <si>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</si>
  <si>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</si>
  <si>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</si>
  <si>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</si>
  <si>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</si>
  <si>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</si>
  <si>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</si>
  <si>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</si>
  <si>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</si>
  <si>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</si>
  <si>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</si>
  <si>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</si>
  <si>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</si>
  <si>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</si>
  <si>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</si>
  <si>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</si>
  <si>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</si>
  <si>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</si>
  <si>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</si>
  <si>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</si>
  <si>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</si>
  <si>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</si>
  <si>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</si>
  <si>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</si>
  <si>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</si>
  <si>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</si>
  <si>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</si>
  <si>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</si>
  <si>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</si>
  <si>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</si>
  <si>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</si>
  <si>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</si>
  <si>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</si>
  <si>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</si>
  <si>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</si>
  <si>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</si>
  <si>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</si>
  <si>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</si>
  <si>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</si>
  <si>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</si>
  <si>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</si>
  <si>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</si>
  <si>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</si>
  <si>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</si>
  <si>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</si>
  <si>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</si>
  <si>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</si>
  <si>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</si>
  <si>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</si>
  <si>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</si>
  <si>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</si>
  <si>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</si>
  <si>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</si>
  <si>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</si>
  <si>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</si>
  <si>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</si>
  <si>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</si>
  <si>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</si>
  <si>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</si>
  <si>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</si>
  <si>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</si>
  <si>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</si>
  <si>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</si>
  <si>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</si>
  <si>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</si>
  <si>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</si>
  <si>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</si>
  <si>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</si>
  <si>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</si>
  <si>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</si>
  <si>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Qanchi Bazar</t>
  </si>
  <si>
    <t>Khan Store</t>
  </si>
  <si>
    <t>Noman GS</t>
  </si>
  <si>
    <t>Imran Kareyana Store</t>
  </si>
  <si>
    <t>Address: Shokat Town</t>
  </si>
  <si>
    <t>Dua Book Store</t>
  </si>
  <si>
    <t xml:space="preserve">Address: Shoker Town </t>
  </si>
  <si>
    <t>Ahmad GS</t>
  </si>
  <si>
    <t>Punjab Store</t>
  </si>
  <si>
    <t xml:space="preserve">Address: Punjab Society </t>
  </si>
  <si>
    <t xml:space="preserve">HK Maart </t>
  </si>
  <si>
    <t>Marhaba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</si>
</sst>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Khan Store</v>
      </c>
      <c r="T3" s="301">
        <f>+'1'!P35</f>
        <v>705.64760664406776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Noman GS</v>
      </c>
      <c r="T4" s="301">
        <f>+'2'!P35</f>
        <v>679.51547485169476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Imran Kareyana Store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Dua Book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</v>
      </c>
      <c r="I7" s="235">
        <f>(G7*D7)*F7+H7*F7</f>
        <v>209.85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16.788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7.3447500000000003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185.71724999999998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39.661016949152526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1.1268913347457625</v>
      </c>
      <c r="P7" s="310">
        <f>M7+N7+O7</f>
        <v>226.50515828389825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Ahmad GS</v>
      </c>
      <c r="T7" s="301">
        <f>+'5'!P35</f>
        <v>679.51547485169476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</v>
      </c>
      <c r="I8" s="236">
        <f t="shared" ref="I8:I14" si="0">(G8*D8)*F8+H8*F8</f>
        <v>209.85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16.788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7.3447500000000003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185.71724999999998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39.661016949152526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1.1268913347457625</v>
      </c>
      <c r="P8" s="311">
        <f t="shared" ref="P8:P15" si="2">M8+N8+O8</f>
        <v>226.50515828389825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Punjab Store</v>
      </c>
      <c r="T8" s="301">
        <f>+'6'!P35</f>
        <v>9408.6347552542375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</v>
      </c>
      <c r="I9" s="236">
        <f t="shared" si="0"/>
        <v>839.4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67.152000000000001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29.379000000000001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742.86899999999991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158.6440677966101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4.5075653389830501</v>
      </c>
      <c r="P9" s="311">
        <f t="shared" si="2"/>
        <v>906.02063313559302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HK Maart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115</v>
      </c>
      <c r="I10" s="236">
        <f t="shared" si="0"/>
        <v>8353.6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668.28800000000001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292.37600000000003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7392.9360000000006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1578.8135593220341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44.858747796610174</v>
      </c>
      <c r="P10" s="311">
        <f t="shared" si="2"/>
        <v>9016.608307118644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Marhaba Store</v>
      </c>
      <c r="T10" s="301">
        <f>+'8'!P35</f>
        <v>1568.1057925423729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65</v>
      </c>
      <c r="I11" s="236">
        <f t="shared" si="0"/>
        <v>4721.6000000000004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377.72800000000001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165.25600000000003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4178.616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892.37288135593224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25.354944406779662</v>
      </c>
      <c r="P11" s="311">
        <f t="shared" si="2"/>
        <v>5096.3438257627113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61</v>
      </c>
      <c r="I12" s="236">
        <f t="shared" si="0"/>
        <v>4431.04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354.48320000000001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155.0864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3921.4704000000002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837.45762711864415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23.794640135593223</v>
      </c>
      <c r="P12" s="311">
        <f t="shared" si="2"/>
        <v>4782.7226672542374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6.625</v>
      </c>
      <c r="H16" s="113">
        <f t="shared" ref="H16:M16" si="3">SUM(H7:H15)</f>
        <v>265</v>
      </c>
      <c r="I16" s="114">
        <f t="shared" si="3"/>
        <v>18765.34</v>
      </c>
      <c r="J16" s="274">
        <f>SUM(J7:J15)</f>
        <v>1501.2272000000003</v>
      </c>
      <c r="K16" s="275">
        <f t="shared" si="3"/>
        <v>656.78690000000006</v>
      </c>
      <c r="L16" s="276">
        <f t="shared" si="3"/>
        <v>0</v>
      </c>
      <c r="M16" s="232">
        <f t="shared" si="3"/>
        <v>16607.3259</v>
      </c>
      <c r="N16" s="233">
        <f>SUM(N7:N15)</f>
        <v>3546.6101694915255</v>
      </c>
      <c r="O16" s="101">
        <f>SUM(O7:O15)</f>
        <v>100.76968034745764</v>
      </c>
      <c r="P16" s="113">
        <f>SUM(P7:P15)</f>
        <v>20254.70574983898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18765.34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1501.2272000000003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656.78690000000006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16607.3259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3546.6101694915255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20153.936069491527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100.76968034745764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20254.705749838984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20254.705749838984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B39" sqref="B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7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7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7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9</v>
      </c>
      <c r="I25" s="114">
        <f t="shared" ref="I25:M25" si="10">SUM(I16:I24)</f>
        <v>653.76</v>
      </c>
      <c r="J25" s="274">
        <f>SUM(J16:J24)</f>
        <v>52.30080000000001</v>
      </c>
      <c r="K25" s="275">
        <f t="shared" si="10"/>
        <v>22.881600000000002</v>
      </c>
      <c r="L25" s="276">
        <f t="shared" si="10"/>
        <v>0</v>
      </c>
      <c r="M25" s="232">
        <f t="shared" si="10"/>
        <v>578.57760000000007</v>
      </c>
      <c r="N25" s="233">
        <f>SUM(N16:N24)</f>
        <v>123.55932203389831</v>
      </c>
      <c r="O25" s="101">
        <f>SUM(O16:O24)</f>
        <v>3.5106846101694917</v>
      </c>
      <c r="P25" s="234">
        <f>SUM(P16:P24)</f>
        <v>705.64760664406776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653.76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52.30080000000001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22.881600000000002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578.57759999999996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702.13692203389826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74" t="s">
        <v>88</v>
      </c>
      <c r="O35" s="375"/>
      <c r="P35" s="297">
        <f>+P33+P34</f>
        <v>705.64760664406776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B39" sqref="B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50.364000000000004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B39" sqref="B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B39" sqref="B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2026-09-21T11:22:41Z</dcterms:modified>
</cp:coreProperties>
</file>