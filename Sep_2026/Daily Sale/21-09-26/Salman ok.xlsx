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C2895F3-5BEC-476F-B68D-EEA26E209775}" xr6:coauthVersionLast="47" xr6:coauthVersionMax="47" xr10:uidLastSave="{00000000-0000-0000-0000-000000000000}"/>
  <bookViews>
    <workbookView xWindow="-110" yWindow="-110" windowWidth="19420" windowHeight="10420" tabRatio="948" firstSheet="3" activeTab="1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9" l="1"/>
  <c r="N5" i="69" s="1"/>
  <c r="N4" i="65"/>
  <c r="N5" i="65" s="1"/>
  <c r="N4" i="60"/>
  <c r="N4" i="52"/>
  <c r="N4" i="44"/>
  <c r="N5" i="44" s="1"/>
  <c r="N4" i="72"/>
  <c r="N5" i="72" s="1"/>
  <c r="N4" i="71"/>
  <c r="N5" i="71" s="1"/>
  <c r="N4" i="54"/>
  <c r="N5" i="54" s="1"/>
  <c r="N4" i="66"/>
  <c r="N5" i="66" s="1"/>
  <c r="N4" i="49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21" i="50" l="1"/>
  <c r="M12" i="62"/>
  <c r="P30" i="70"/>
  <c r="P30" i="51"/>
  <c r="P31" i="51" s="1"/>
  <c r="P33" i="51" s="1"/>
  <c r="P34" i="51" s="1"/>
  <c r="P35" i="51" s="1"/>
  <c r="T12" i="62" s="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<sst xmlns="http://schemas.openxmlformats.org/spreadsheetml/2006/main" count="3948" uniqueCount="525">
  <si>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</si>
  <si>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</si>
  <si>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</si>
  <si>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</si>
  <si>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</si>
  <si>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</si>
  <si>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</si>
  <si>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</si>
  <si>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</si>
  <si>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</si>
  <si>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</si>
  <si>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</si>
  <si>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</si>
  <si>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</si>
  <si>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</si>
  <si>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</si>
  <si>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</si>
  <si>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</si>
  <si>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</si>
  <si>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</si>
  <si>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</si>
  <si>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</si>
  <si>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</si>
  <si>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</si>
  <si>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</si>
  <si>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</si>
  <si>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</si>
  <si>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</si>
  <si>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</si>
  <si>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</si>
  <si>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</si>
  <si>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</si>
  <si>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</si>
  <si>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</si>
  <si>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</si>
  <si>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</si>
  <si>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</si>
  <si>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</si>
  <si>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</si>
  <si>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</si>
  <si>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</si>
  <si>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</si>
  <si>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</si>
  <si>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</si>
  <si>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</si>
  <si>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</si>
  <si>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</si>
  <si>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</si>
  <si>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</si>
  <si>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</si>
  <si>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</si>
  <si>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</si>
  <si>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</si>
  <si>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</si>
  <si>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</si>
  <si>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</si>
  <si>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</si>
  <si>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</si>
  <si>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</si>
  <si>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</si>
  <si>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</si>
  <si>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</si>
  <si>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</si>
  <si>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</si>
  <si>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</si>
  <si>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</si>
  <si>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</si>
  <si>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</si>
  <si>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</si>
  <si>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</si>
  <si>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</si>
  <si>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</si>
  <si>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</si>
  <si>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</si>
  <si>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</si>
  <si>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</si>
  <si>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</si>
  <si>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</si>
  <si>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</si>
  <si>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</si>
  <si>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</si>
  <si>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</si>
  <si>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</si>
  <si>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</si>
  <si>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</si>
  <si>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</si>
  <si>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</si>
  <si>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</si>
  <si>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</si>
  <si>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</si>
  <si>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</si>
  <si>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</si>
  <si>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</si>
  <si>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</si>
  <si>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</si>
  <si>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</si>
  <si>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</si>
  <si>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</si>
  <si>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</si>
  <si>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</si>
  <si>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</si>
  <si>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</si>
  <si>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</si>
  <si>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</si>
  <si>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</si>
  <si>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</si>
  <si>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</si>
  <si>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</si>
  <si>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</si>
  <si>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</si>
  <si>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</si>
  <si>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</si>
  <si>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</si>
  <si>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</si>
  <si>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</si>
  <si>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</si>
  <si>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</si>
  <si>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</si>
  <si>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</si>
  <si>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</si>
  <si>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</si>
  <si>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</si>
  <si>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</si>
  <si>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</si>
  <si>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</si>
  <si>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</si>
  <si>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</si>
  <si>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</si>
  <si>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</si>
  <si>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</si>
  <si>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</si>
  <si>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</si>
  <si>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</si>
  <si>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</si>
  <si>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</si>
  <si>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</si>
  <si>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</si>
  <si>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</si>
  <si>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</si>
  <si>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</si>
  <si>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</si>
  <si>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</si>
  <si>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</si>
  <si>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</si>
  <si>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</si>
  <si>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</si>
  <si>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</si>
  <si>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</si>
  <si>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</si>
  <si>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</si>
  <si>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</si>
  <si>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</si>
  <si>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</si>
  <si>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</si>
  <si>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</si>
  <si>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</si>
  <si>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</si>
  <si>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</si>
  <si>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</si>
  <si>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</si>
  <si>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</si>
  <si>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</si>
  <si>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</si>
  <si>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</si>
  <si>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</si>
  <si>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</si>
  <si>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</si>
  <si>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</si>
  <si>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</si>
  <si>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</si>
  <si>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</si>
  <si>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</si>
  <si>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</si>
  <si>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</si>
  <si>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</si>
  <si>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</si>
  <si>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</si>
  <si>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</si>
  <si>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</si>
  <si>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</si>
  <si>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</si>
  <si>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</si>
  <si>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</si>
  <si>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</si>
  <si>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</si>
  <si>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</si>
  <si>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</si>
  <si>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</si>
  <si>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</si>
  <si>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</si>
  <si>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</si>
  <si>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</si>
  <si>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</si>
  <si>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</si>
  <si>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</si>
  <si>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</si>
  <si>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</si>
  <si>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</si>
  <si>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</si>
  <si>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</si>
  <si>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</si>
  <si>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</si>
  <si>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</si>
  <si>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</si>
  <si>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</si>
  <si>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</si>
  <si>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</si>
  <si>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</si>
  <si>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</si>
  <si>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</si>
  <si>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</si>
  <si>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</si>
  <si>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</si>
  <si>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</si>
  <si>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</si>
  <si>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</si>
  <si>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</si>
  <si>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</si>
  <si>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</si>
  <si>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</si>
  <si>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</si>
  <si>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</si>
  <si>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</si>
  <si>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</si>
  <si>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</si>
  <si>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</si>
  <si>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</si>
  <si>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</si>
  <si>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</si>
  <si>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</si>
  <si>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</si>
  <si>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</si>
  <si>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</si>
  <si>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</si>
  <si>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</si>
  <si>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</si>
  <si>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</si>
  <si>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</si>
  <si>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</si>
  <si>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</si>
  <si>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</si>
  <si>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</si>
  <si>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</si>
  <si>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</si>
  <si>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</si>
  <si>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</si>
  <si>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</si>
  <si>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</si>
  <si>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</si>
  <si>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</si>
  <si>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</si>
  <si>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</si>
  <si>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</si>
  <si>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</si>
  <si>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</si>
  <si>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</si>
  <si>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</si>
  <si>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</si>
  <si>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</si>
  <si>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</si>
  <si>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</si>
  <si>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</si>
  <si>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</si>
  <si>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</si>
  <si>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</si>
  <si>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</si>
  <si>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</si>
  <si>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</si>
  <si>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</si>
  <si>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</si>
  <si>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</si>
  <si>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</si>
  <si>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</si>
  <si>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</si>
  <si>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</si>
  <si>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</si>
  <si>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</si>
  <si>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</si>
  <si>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</si>
  <si>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</si>
  <si>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</si>
  <si>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</si>
  <si>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</si>
  <si>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</si>
  <si>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</si>
  <si>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</si>
  <si>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</si>
  <si>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</si>
  <si>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</si>
  <si>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</si>
  <si>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</si>
  <si>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</si>
  <si>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</si>
  <si>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</si>
  <si>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</si>
  <si>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</si>
  <si>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</si>
  <si>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</si>
  <si>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</si>
  <si>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</si>
  <si>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</si>
  <si>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</si>
  <si>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</si>
  <si>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</si>
  <si>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</si>
  <si>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</si>
  <si>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</si>
  <si>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</si>
  <si>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</si>
  <si>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</si>
  <si>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</si>
  <si>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</si>
  <si>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</si>
  <si>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</si>
  <si>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</si>
  <si>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</si>
  <si>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</si>
  <si>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</si>
  <si>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</si>
  <si>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</si>
  <si>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</si>
  <si>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</si>
  <si>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</si>
  <si>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</si>
  <si>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</si>
  <si>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</si>
  <si>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</si>
  <si>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</si>
  <si>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</si>
  <si>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</si>
  <si>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</si>
  <si>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</si>
  <si>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</si>
  <si>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</si>
  <si>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</si>
  <si>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</si>
  <si>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</si>
  <si>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</si>
  <si>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</si>
  <si>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</si>
  <si>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</si>
  <si>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</si>
  <si>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</si>
  <si>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</si>
  <si>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</si>
  <si>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</si>
  <si>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</si>
  <si>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</si>
  <si>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</si>
  <si>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</si>
  <si>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</si>
  <si>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</si>
  <si>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</si>
  <si>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</si>
  <si>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</si>
  <si>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</si>
  <si>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</si>
  <si>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</si>
  <si>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</si>
  <si>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</si>
  <si>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</si>
  <si>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</si>
  <si>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</si>
  <si>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</si>
  <si>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</si>
  <si>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</si>
  <si>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</si>
  <si>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</si>
  <si>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</si>
  <si>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</si>
  <si>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</si>
  <si>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</si>
  <si>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</si>
  <si>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</si>
  <si>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</si>
  <si>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</si>
  <si>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</si>
  <si>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</si>
  <si>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</si>
  <si>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</si>
  <si>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</si>
  <si>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</si>
  <si>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</si>
  <si>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</si>
  <si>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</si>
  <si>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</si>
  <si>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</si>
  <si>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</si>
  <si>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</si>
  <si>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</si>
  <si>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</si>
  <si>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</si>
  <si>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</si>
  <si>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</si>
  <si>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</si>
  <si>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</si>
  <si>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</si>
  <si>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</si>
  <si>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</si>
  <si>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</si>
  <si>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</si>
  <si>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</si>
  <si>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</si>
  <si>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</si>
  <si>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</si>
  <si>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</si>
  <si>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</si>
  <si>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</si>
  <si>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</si>
  <si>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</si>
  <si>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</si>
  <si>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</si>
  <si>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</si>
  <si>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</si>
  <si>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</si>
  <si>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</si>
  <si>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</si>
  <si>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</si>
  <si>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</si>
  <si>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</si>
  <si>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</si>
  <si>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</si>
  <si>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</si>
  <si>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</si>
  <si>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</si>
  <si>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</si>
  <si>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</si>
  <si>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</si>
  <si>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</si>
  <si>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</si>
  <si>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</si>
  <si>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</si>
  <si>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</si>
  <si>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</si>
  <si>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</si>
  <si>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</si>
  <si>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</si>
  <si>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</si>
  <si>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</si>
  <si>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</si>
  <si>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</si>
  <si>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</si>
  <si>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</si>
  <si>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</si>
  <si>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</si>
  <si>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</si>
  <si>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</si>
  <si>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</si>
  <si>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</si>
  <si>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</si>
  <si>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</si>
  <si>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</si>
  <si>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</si>
  <si>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</si>
  <si>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</si>
  <si>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</si>
  <si>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</si>
  <si>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</si>
  <si>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</si>
  <si>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</si>
  <si>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</si>
  <si>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</si>
  <si>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</si>
  <si>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</si>
  <si>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</si>
  <si>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</si>
  <si>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</si>
  <si>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</si>
  <si>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</si>
  <si>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</si>
  <si>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</si>
  <si>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</si>
  <si>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</si>
  <si>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</si>
  <si>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</si>
  <si>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</si>
  <si>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</si>
  <si>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</si>
  <si>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</si>
  <si>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</si>
  <si>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</si>
  <si>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</si>
  <si>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</si>
  <si>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</si>
  <si>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</si>
  <si>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</si>
  <si>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</si>
  <si>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</si>
  <si>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</si>
  <si>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</si>
  <si>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</si>
  <si>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</si>
  <si>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</si>
  <si>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</si>
  <si>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</si>
  <si>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</si>
  <si>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</si>
  <si>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</si>
  <si>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</si>
  <si>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</si>
  <si>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</si>
  <si>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</si>
  <si>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</si>
  <si>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</si>
  <si>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</si>
  <si>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</si>
  <si>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</si>
  <si>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</si>
  <si>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</si>
  <si>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</si>
  <si>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</si>
  <si>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</si>
  <si>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</si>
  <si>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</si>
  <si>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 xml:space="preserve">Salman </t>
  </si>
  <si>
    <t>Hafiz Ali Store</t>
  </si>
  <si>
    <t>Wahab Store</t>
  </si>
  <si>
    <t>Dilshad Store</t>
  </si>
  <si>
    <t>Waleed Store</t>
  </si>
  <si>
    <t>Qazi Store</t>
  </si>
  <si>
    <t>Haris Ali Store</t>
  </si>
  <si>
    <t>Bashir Store</t>
  </si>
  <si>
    <t>Riaz Store</t>
  </si>
  <si>
    <t>Al Madian Store</t>
  </si>
  <si>
    <t xml:space="preserve">Food Rite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</si>
</sst>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4" sqref="S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46286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Hafiz Ali Store</v>
      </c>
      <c r="T3" s="301">
        <f>+'1'!P35</f>
        <v>392.02644813559323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Wahab Store</v>
      </c>
      <c r="T4" s="301">
        <f>+'2'!P35</f>
        <v>392.02644813559323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Dilshad Store</v>
      </c>
      <c r="T5" s="301">
        <f>+'3'!P35</f>
        <v>392.02644813559323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Waleed Store</v>
      </c>
      <c r="T6" s="301">
        <f>+'4'!P35</f>
        <v>392.02644813559323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</v>
      </c>
      <c r="I7" s="235">
        <f>(G7*D7)*F7+H7*F7</f>
        <v>629.54999999999995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50.363999999999997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22.03425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557.15174999999999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118.98305084745758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3.3806740042372878</v>
      </c>
      <c r="P7" s="310">
        <f>M7+N7+O7</f>
        <v>679.51547485169488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Qazi Store</v>
      </c>
      <c r="T7" s="301">
        <f>+'5'!P35</f>
        <v>392.02644813559323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15</v>
      </c>
      <c r="I8" s="236">
        <f t="shared" ref="I8:I14" si="0">(G8*D8)*F8+H8*F8</f>
        <v>786.9375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62.954999999999998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27.542812500000004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696.43968749999999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148.72881355932196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4.22584250529661</v>
      </c>
      <c r="P8" s="311">
        <f t="shared" ref="P8:P15" si="2">M8+N8+O8</f>
        <v>849.39434356461845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Haris Ali Store</v>
      </c>
      <c r="T8" s="301">
        <f>+'6'!P35</f>
        <v>392.02644813559323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13</v>
      </c>
      <c r="I9" s="236">
        <f t="shared" si="0"/>
        <v>682.01249999999993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54.560999999999993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23.870437500000001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603.58106249999992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128.89830508474572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3.6623968379237284</v>
      </c>
      <c r="P9" s="311">
        <f t="shared" si="2"/>
        <v>736.14176442266944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Bashir Store</v>
      </c>
      <c r="T9" s="301">
        <f>+'7'!P35</f>
        <v>392.02644813559323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70</v>
      </c>
      <c r="I10" s="236">
        <f t="shared" si="0"/>
        <v>5084.8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493.952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177.96800000000002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4412.88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961.01694915254234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26.869484745762712</v>
      </c>
      <c r="P10" s="311">
        <f t="shared" si="2"/>
        <v>5400.766433898305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Riaz Store</v>
      </c>
      <c r="T10" s="301">
        <f>+'8'!P35</f>
        <v>392.02644813559323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68</v>
      </c>
      <c r="I11" s="236">
        <f t="shared" si="0"/>
        <v>4939.5200000000004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482.32960000000003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172.88320000000002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4284.3072000000002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933.5593220338983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26.089332610169492</v>
      </c>
      <c r="P11" s="311">
        <f t="shared" si="2"/>
        <v>5243.9558546440685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2</v>
      </c>
      <c r="R11" s="313">
        <v>9</v>
      </c>
      <c r="S11" s="300" t="str">
        <f>+'9'!A6:A6</f>
        <v>Al Madian Store</v>
      </c>
      <c r="T11" s="301">
        <f>+'9'!P35</f>
        <v>9145.8232352542364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60</v>
      </c>
      <c r="I12" s="236">
        <f t="shared" si="0"/>
        <v>4358.3999999999996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435.84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152.54400000000001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3770.0159999999996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823.72881355932213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22.968724067796611</v>
      </c>
      <c r="P12" s="311">
        <f t="shared" si="2"/>
        <v>4616.713537627119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 xml:space="preserve">Food Rite Mart </v>
      </c>
      <c r="T12" s="301">
        <f>+'10'!P35</f>
        <v>5244.452588669491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5.95</v>
      </c>
      <c r="H16" s="113">
        <f t="shared" ref="H16:M16" si="3">SUM(H7:H15)</f>
        <v>238</v>
      </c>
      <c r="I16" s="114">
        <f t="shared" si="3"/>
        <v>16481.22</v>
      </c>
      <c r="J16" s="274">
        <f>SUM(J7:J15)</f>
        <v>1580.0015999999998</v>
      </c>
      <c r="K16" s="275">
        <f t="shared" si="3"/>
        <v>576.84270000000004</v>
      </c>
      <c r="L16" s="276">
        <f t="shared" si="3"/>
        <v>0</v>
      </c>
      <c r="M16" s="232">
        <f t="shared" si="3"/>
        <v>14324.375700000001</v>
      </c>
      <c r="N16" s="233">
        <f>SUM(N7:N15)</f>
        <v>3114.9152542372881</v>
      </c>
      <c r="O16" s="101">
        <f>SUM(O7:O15)</f>
        <v>87.196454771186438</v>
      </c>
      <c r="P16" s="113">
        <f>SUM(P7:P15)</f>
        <v>17526.487409008474</v>
      </c>
      <c r="Q16" s="128">
        <f>SUM(Q7:Q15)</f>
        <v>2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16481.22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1580.0015999999998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576.84270000000004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14324.375700000002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3114.9152542372881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17439.290954237291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87.196454771186438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17526.487409008478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17526.487409008474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5"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46285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7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5</v>
      </c>
      <c r="I25" s="114">
        <f t="shared" ref="I25:M25" si="10">SUM(I16:I24)</f>
        <v>363.2</v>
      </c>
      <c r="J25" s="274">
        <f>SUM(J16:J24)</f>
        <v>29.056000000000001</v>
      </c>
      <c r="K25" s="275">
        <f t="shared" si="10"/>
        <v>12.712000000000002</v>
      </c>
      <c r="L25" s="276">
        <f t="shared" si="10"/>
        <v>0</v>
      </c>
      <c r="M25" s="232">
        <f t="shared" si="10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F27" sqref="F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46285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F27" sqref="F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46285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activeCell="F27" sqref="F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46285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activeCell="F27" sqref="F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46285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F27" sqref="F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46285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activeCell="F27" sqref="F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46285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workbookViewId="0">
      <selection activeCell="F27" sqref="F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46285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activeCell="F27" sqref="F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46285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319.61599999999999</v>
      </c>
      <c r="K19" s="128">
        <f t="shared" si="1"/>
        <v>101.69600000000001</v>
      </c>
      <c r="L19" s="119">
        <f t="shared" si="1"/>
        <v>0</v>
      </c>
      <c r="M19" s="230">
        <f t="shared" si="2"/>
        <v>2484.288</v>
      </c>
      <c r="N19" s="277">
        <f t="shared" si="3"/>
        <v>549.15254237288138</v>
      </c>
      <c r="O19" s="239">
        <f t="shared" si="4"/>
        <v>15.167202711864407</v>
      </c>
      <c r="P19" s="119">
        <f t="shared" si="5"/>
        <v>3048.6077450847456</v>
      </c>
      <c r="Q19" s="319"/>
      <c r="S19" s="269">
        <f>+S18</f>
        <v>0.11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319.61599999999999</v>
      </c>
      <c r="K20" s="128">
        <f t="shared" si="1"/>
        <v>101.69600000000001</v>
      </c>
      <c r="L20" s="119">
        <f t="shared" si="1"/>
        <v>0</v>
      </c>
      <c r="M20" s="230">
        <f t="shared" si="2"/>
        <v>2484.288</v>
      </c>
      <c r="N20" s="277">
        <f t="shared" si="3"/>
        <v>549.15254237288138</v>
      </c>
      <c r="O20" s="239">
        <f t="shared" si="4"/>
        <v>15.167202711864407</v>
      </c>
      <c r="P20" s="119">
        <f t="shared" si="5"/>
        <v>3048.6077450847456</v>
      </c>
      <c r="Q20" s="319"/>
      <c r="S20" s="269">
        <f>+S19</f>
        <v>0.11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319.61599999999999</v>
      </c>
      <c r="K21" s="128">
        <f t="shared" si="1"/>
        <v>101.69600000000001</v>
      </c>
      <c r="L21" s="119">
        <f t="shared" si="1"/>
        <v>0</v>
      </c>
      <c r="M21" s="230">
        <f t="shared" si="2"/>
        <v>2484.288</v>
      </c>
      <c r="N21" s="277">
        <f t="shared" si="3"/>
        <v>549.15254237288138</v>
      </c>
      <c r="O21" s="239">
        <f t="shared" si="4"/>
        <v>15.167202711864407</v>
      </c>
      <c r="P21" s="119">
        <f t="shared" si="5"/>
        <v>3048.6077450847456</v>
      </c>
      <c r="Q21" s="319"/>
      <c r="S21" s="269">
        <f>+S20</f>
        <v>0.11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958.84799999999996</v>
      </c>
      <c r="K25" s="275">
        <f t="shared" si="7"/>
        <v>305.08800000000002</v>
      </c>
      <c r="L25" s="276">
        <f t="shared" si="7"/>
        <v>0</v>
      </c>
      <c r="M25" s="232">
        <f t="shared" si="7"/>
        <v>7452.8639999999996</v>
      </c>
      <c r="N25" s="233">
        <f>SUM(N16:N24)</f>
        <v>1647.4576271186443</v>
      </c>
      <c r="O25" s="101">
        <f>SUM(O16:O24)</f>
        <v>45.501608135593223</v>
      </c>
      <c r="P25" s="234">
        <f>SUM(P16:P24)</f>
        <v>9145.8232352542364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8716.7999999999993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958.84799999999996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305.08800000000002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7452.8639999999996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9100.3216271186429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45.501608135593216</v>
      </c>
    </row>
    <row r="35" spans="2:16" ht="15.75" customHeight="1" thickBot="1" x14ac:dyDescent="0.4">
      <c r="N35" s="374" t="s">
        <v>88</v>
      </c>
      <c r="O35" s="375"/>
      <c r="P35" s="297">
        <f>+P33+P34</f>
        <v>9145.8232352542364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3" workbookViewId="0">
      <selection activeCell="G14" sqref="G14:H1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46285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15</v>
      </c>
      <c r="I17" s="236">
        <f t="shared" ref="I17:I23" si="0">(G17*D17)*F17+H17*F17</f>
        <v>786.9375</v>
      </c>
      <c r="J17" s="272">
        <f t="shared" ref="J17:L24" si="1">$I17*S17</f>
        <v>62.954999999999998</v>
      </c>
      <c r="K17" s="128">
        <f>$I17*T17</f>
        <v>27.542812500000004</v>
      </c>
      <c r="L17" s="119">
        <f>$I17*U17</f>
        <v>0</v>
      </c>
      <c r="M17" s="230">
        <f t="shared" ref="M17:M24" si="2">I17-SUM(J17:L17)</f>
        <v>696.43968749999999</v>
      </c>
      <c r="N17" s="277">
        <f t="shared" ref="N17:N24" si="3">+(G17*D17+H17)*V17</f>
        <v>148.72881355932196</v>
      </c>
      <c r="O17" s="239">
        <f t="shared" ref="O17:O24" si="4">(N17+M17)*$O$15</f>
        <v>4.22584250529661</v>
      </c>
      <c r="P17" s="119">
        <f t="shared" ref="P17:P24" si="5">M17+N17+O17</f>
        <v>849.39434356461845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13</v>
      </c>
      <c r="I18" s="236">
        <f t="shared" si="0"/>
        <v>682.01249999999993</v>
      </c>
      <c r="J18" s="272">
        <f t="shared" si="1"/>
        <v>54.560999999999993</v>
      </c>
      <c r="K18" s="128">
        <f t="shared" si="1"/>
        <v>23.870437500000001</v>
      </c>
      <c r="L18" s="119">
        <f t="shared" si="1"/>
        <v>0</v>
      </c>
      <c r="M18" s="230">
        <f t="shared" si="2"/>
        <v>603.58106249999992</v>
      </c>
      <c r="N18" s="277">
        <f t="shared" si="3"/>
        <v>128.89830508474572</v>
      </c>
      <c r="O18" s="239">
        <f t="shared" si="4"/>
        <v>3.6623968379237284</v>
      </c>
      <c r="P18" s="119">
        <f t="shared" si="5"/>
        <v>736.14176442266944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18</v>
      </c>
      <c r="I20" s="236">
        <f t="shared" si="0"/>
        <v>1307.52</v>
      </c>
      <c r="J20" s="272">
        <f t="shared" si="1"/>
        <v>104.6016</v>
      </c>
      <c r="K20" s="128">
        <f t="shared" si="1"/>
        <v>45.763200000000005</v>
      </c>
      <c r="L20" s="119">
        <f t="shared" si="1"/>
        <v>0</v>
      </c>
      <c r="M20" s="230">
        <f t="shared" si="2"/>
        <v>1157.1551999999999</v>
      </c>
      <c r="N20" s="277">
        <f t="shared" si="3"/>
        <v>247.11864406779662</v>
      </c>
      <c r="O20" s="239">
        <f t="shared" si="4"/>
        <v>7.0213692203389826</v>
      </c>
      <c r="P20" s="119">
        <f t="shared" si="5"/>
        <v>1411.2952132881355</v>
      </c>
      <c r="Q20" s="319">
        <v>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78</v>
      </c>
      <c r="I25" s="114">
        <f t="shared" si="7"/>
        <v>4858.82</v>
      </c>
      <c r="J25" s="274">
        <f>SUM(J16:J24)</f>
        <v>388.7056</v>
      </c>
      <c r="K25" s="275">
        <f t="shared" si="7"/>
        <v>170.05870000000002</v>
      </c>
      <c r="L25" s="276">
        <f t="shared" si="7"/>
        <v>0</v>
      </c>
      <c r="M25" s="232">
        <f t="shared" si="7"/>
        <v>4300.0556999999999</v>
      </c>
      <c r="N25" s="233">
        <f>SUM(N16:N24)</f>
        <v>918.30508474576254</v>
      </c>
      <c r="O25" s="101">
        <f>SUM(O16:O24)</f>
        <v>26.091803923728811</v>
      </c>
      <c r="P25" s="234">
        <f>SUM(P16:P24)</f>
        <v>5244.452588669491</v>
      </c>
      <c r="Q25" s="239">
        <f>SUM(Q16:Q24)</f>
        <v>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4858.82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388.7056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170.05870000000002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4300.0556999999999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918.30508474576254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5218.3607847457624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26.091803923728811</v>
      </c>
    </row>
    <row r="35" spans="2:16" ht="15.75" customHeight="1" thickBot="1" x14ac:dyDescent="0.4">
      <c r="N35" s="374" t="s">
        <v>88</v>
      </c>
      <c r="O35" s="375"/>
      <c r="P35" s="297">
        <f>+P33+P34</f>
        <v>5244.452588669491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abSelected="1" workbookViewId="0">
      <selection activeCell="G6" sqref="G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46285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46295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2026-09-30T08:34:14Z</dcterms:modified>
</cp:coreProperties>
</file>