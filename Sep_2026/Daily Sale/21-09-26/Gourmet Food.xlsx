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9B96DE5-CFD8-4E06-A535-A144E138D8CE}" xr6:coauthVersionLast="47" xr6:coauthVersionMax="47" xr10:uidLastSave="{00000000-0000-0000-0000-000000000000}"/>
  <bookViews>
    <workbookView xWindow="-110" yWindow="-110" windowWidth="19420" windowHeight="10420" tabRatio="87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1" i="72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1" i="7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1" i="70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1" i="69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1" i="68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1" i="67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C11" i="66" s="1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1" i="66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1" i="65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1" i="64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24" i="66" l="1"/>
  <c r="N24" i="70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C11" i="63" s="1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1" i="63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1" i="6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C11" i="60" s="1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1" i="60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1" i="59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1" i="58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1" i="57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1" i="56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1" i="55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1" i="54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1" i="53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1" i="52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C11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1" i="5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1" i="50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1" i="49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1" i="48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1" i="47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1" i="46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1" i="45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1" i="44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1" i="43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48" l="1"/>
  <c r="N16" i="63"/>
  <c r="N16" i="44"/>
  <c r="N16" i="53"/>
  <c r="N24" i="50"/>
  <c r="N16" i="59"/>
  <c r="N24" i="48"/>
  <c r="N16" i="56"/>
  <c r="N16" i="5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J39" i="41"/>
  <c r="L39" i="41" s="1"/>
  <c r="K39" i="41" s="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1" i="11"/>
  <c r="T17" i="11"/>
  <c r="T18" i="11" s="1"/>
  <c r="T23" i="11"/>
  <c r="T24" i="11" s="1"/>
  <c r="U23" i="11"/>
  <c r="U24" i="11" s="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O13" i="41" s="1"/>
  <c r="P13" i="41" s="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O9" i="41" s="1"/>
  <c r="P9" i="41" s="1"/>
  <c r="L11" i="41"/>
  <c r="M12" i="41"/>
  <c r="N13" i="41"/>
  <c r="L16" i="41"/>
  <c r="M17" i="41"/>
  <c r="N18" i="41"/>
  <c r="L20" i="41"/>
  <c r="M21" i="41"/>
  <c r="N22" i="41"/>
  <c r="L24" i="41"/>
  <c r="M25" i="41"/>
  <c r="N26" i="41"/>
  <c r="O26" i="41" s="1"/>
  <c r="P26" i="41" s="1"/>
  <c r="M30" i="41"/>
  <c r="N31" i="41"/>
  <c r="M34" i="41"/>
  <c r="O34" i="41" s="1"/>
  <c r="P34" i="41" s="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47" i="41"/>
  <c r="P47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19" i="11" l="1"/>
  <c r="N10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K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K24" i="50"/>
  <c r="L24" i="50"/>
  <c r="L24" i="60"/>
  <c r="K24" i="60"/>
  <c r="J24" i="60"/>
  <c r="K24" i="66"/>
  <c r="J24" i="66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 s="1"/>
  <c r="O24" i="56" s="1"/>
  <c r="P24" i="56" s="1"/>
  <c r="L24" i="43"/>
  <c r="K24" i="43"/>
  <c r="J24" i="43"/>
  <c r="M24" i="43" s="1"/>
  <c r="O24" i="43" s="1"/>
  <c r="P24" i="43" s="1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L22" i="16" s="1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4" i="48" l="1"/>
  <c r="M24" i="72"/>
  <c r="M24" i="66"/>
  <c r="O24" i="66" s="1"/>
  <c r="P24" i="66" s="1"/>
  <c r="M24" i="71"/>
  <c r="O24" i="71" s="1"/>
  <c r="M24" i="63"/>
  <c r="O24" i="63" s="1"/>
  <c r="P24" i="63" s="1"/>
  <c r="M23" i="69"/>
  <c r="M18" i="48"/>
  <c r="O18" i="48" s="1"/>
  <c r="P18" i="48" s="1"/>
  <c r="J15" i="62"/>
  <c r="M24" i="47"/>
  <c r="O24" i="47" s="1"/>
  <c r="P24" i="47" s="1"/>
  <c r="L17" i="16"/>
  <c r="L23" i="16"/>
  <c r="M24" i="65"/>
  <c r="O24" i="65" s="1"/>
  <c r="P24" i="65" s="1"/>
  <c r="M24" i="50"/>
  <c r="O24" i="50" s="1"/>
  <c r="P24" i="50" s="1"/>
  <c r="L21" i="16"/>
  <c r="L20" i="16"/>
  <c r="M20" i="16" s="1"/>
  <c r="N20" i="16" s="1"/>
  <c r="O20" i="16" s="1"/>
  <c r="M24" i="58"/>
  <c r="M24" i="45"/>
  <c r="O24" i="45" s="1"/>
  <c r="P24" i="45" s="1"/>
  <c r="M22" i="70"/>
  <c r="M23" i="48"/>
  <c r="M20" i="57"/>
  <c r="O20" i="57" s="1"/>
  <c r="P20" i="57" s="1"/>
  <c r="M24" i="53"/>
  <c r="O24" i="53" s="1"/>
  <c r="P24" i="53" s="1"/>
  <c r="M24" i="44"/>
  <c r="O24" i="44" s="1"/>
  <c r="P24" i="44" s="1"/>
  <c r="K15" i="62"/>
  <c r="M16" i="72"/>
  <c r="O16" i="72" s="1"/>
  <c r="P16" i="72" s="1"/>
  <c r="M23" i="66"/>
  <c r="O23" i="66" s="1"/>
  <c r="P23" i="66" s="1"/>
  <c r="M23" i="54"/>
  <c r="O23" i="54" s="1"/>
  <c r="P23" i="54" s="1"/>
  <c r="M23" i="49"/>
  <c r="O23" i="49" s="1"/>
  <c r="P23" i="49" s="1"/>
  <c r="M22" i="67"/>
  <c r="O22" i="67" s="1"/>
  <c r="P22" i="67" s="1"/>
  <c r="J25" i="61"/>
  <c r="P29" i="61" s="1"/>
  <c r="M16" i="43"/>
  <c r="M20" i="46"/>
  <c r="O20" i="46" s="1"/>
  <c r="P20" i="46" s="1"/>
  <c r="M18" i="67"/>
  <c r="O18" i="67" s="1"/>
  <c r="P18" i="67" s="1"/>
  <c r="M23" i="61"/>
  <c r="O23" i="61" s="1"/>
  <c r="P23" i="61" s="1"/>
  <c r="M23" i="52"/>
  <c r="O23" i="52" s="1"/>
  <c r="P23" i="52" s="1"/>
  <c r="M17" i="44"/>
  <c r="O17" i="44" s="1"/>
  <c r="P17" i="44" s="1"/>
  <c r="M23" i="53"/>
  <c r="O23" i="53" s="1"/>
  <c r="P23" i="53" s="1"/>
  <c r="M21" i="68"/>
  <c r="O21" i="68" s="1"/>
  <c r="P21" i="68" s="1"/>
  <c r="M20" i="48"/>
  <c r="O20" i="48" s="1"/>
  <c r="P20" i="48" s="1"/>
  <c r="M21" i="47"/>
  <c r="O21" i="47" s="1"/>
  <c r="P21" i="47" s="1"/>
  <c r="M22" i="64"/>
  <c r="O22" i="64" s="1"/>
  <c r="P22" i="64" s="1"/>
  <c r="M20" i="47"/>
  <c r="O20" i="47" s="1"/>
  <c r="P20" i="47" s="1"/>
  <c r="M22" i="52"/>
  <c r="O22" i="52" s="1"/>
  <c r="P22" i="52" s="1"/>
  <c r="M20" i="50"/>
  <c r="O20" i="50" s="1"/>
  <c r="P20" i="50" s="1"/>
  <c r="J7" i="62"/>
  <c r="M17" i="72"/>
  <c r="O17" i="72" s="1"/>
  <c r="P17" i="72" s="1"/>
  <c r="M16" i="64"/>
  <c r="M20" i="61"/>
  <c r="O20" i="61" s="1"/>
  <c r="P20" i="61" s="1"/>
  <c r="M22" i="43"/>
  <c r="O22" i="43" s="1"/>
  <c r="P22" i="43" s="1"/>
  <c r="M23" i="56"/>
  <c r="O23" i="56" s="1"/>
  <c r="P23" i="56" s="1"/>
  <c r="M16" i="65"/>
  <c r="M22" i="63"/>
  <c r="O22" i="63" s="1"/>
  <c r="P22" i="63" s="1"/>
  <c r="M23" i="51"/>
  <c r="O23" i="51" s="1"/>
  <c r="P23" i="51" s="1"/>
  <c r="K12" i="62"/>
  <c r="M18" i="53"/>
  <c r="O18" i="53" s="1"/>
  <c r="P18" i="53" s="1"/>
  <c r="M17" i="61"/>
  <c r="O17" i="61" s="1"/>
  <c r="P17" i="61" s="1"/>
  <c r="M23" i="60"/>
  <c r="O23" i="60" s="1"/>
  <c r="P23" i="60" s="1"/>
  <c r="M20" i="71"/>
  <c r="O20" i="71" s="1"/>
  <c r="P20" i="71" s="1"/>
  <c r="M20" i="43"/>
  <c r="O20" i="43" s="1"/>
  <c r="P20" i="43" s="1"/>
  <c r="M23" i="58"/>
  <c r="O23" i="58" s="1"/>
  <c r="P23" i="58" s="1"/>
  <c r="M16" i="60"/>
  <c r="O16" i="60" s="1"/>
  <c r="P16" i="60" s="1"/>
  <c r="M16" i="58"/>
  <c r="O16" i="58" s="1"/>
  <c r="P16" i="58" s="1"/>
  <c r="M16" i="59"/>
  <c r="M23" i="72"/>
  <c r="O23" i="72" s="1"/>
  <c r="P23" i="72" s="1"/>
  <c r="M23" i="64"/>
  <c r="O23" i="64" s="1"/>
  <c r="P23" i="64" s="1"/>
  <c r="M23" i="59"/>
  <c r="O23" i="59" s="1"/>
  <c r="P23" i="59" s="1"/>
  <c r="M23" i="44"/>
  <c r="O23" i="44" s="1"/>
  <c r="P23" i="44" s="1"/>
  <c r="M16" i="66"/>
  <c r="M16" i="44"/>
  <c r="O16" i="44" s="1"/>
  <c r="M20" i="70"/>
  <c r="O20" i="70" s="1"/>
  <c r="P20" i="70" s="1"/>
  <c r="M23" i="65"/>
  <c r="M21" i="51"/>
  <c r="O21" i="51" s="1"/>
  <c r="P21" i="51" s="1"/>
  <c r="M16" i="48"/>
  <c r="O16" i="48" s="1"/>
  <c r="P16" i="48" s="1"/>
  <c r="M21" i="43"/>
  <c r="O21" i="43" s="1"/>
  <c r="P21" i="43" s="1"/>
  <c r="M17" i="56"/>
  <c r="O17" i="56" s="1"/>
  <c r="P17" i="56" s="1"/>
  <c r="M20" i="53"/>
  <c r="O20" i="53" s="1"/>
  <c r="P20" i="53" s="1"/>
  <c r="M21" i="52"/>
  <c r="O21" i="52" s="1"/>
  <c r="P21" i="52" s="1"/>
  <c r="M21" i="69"/>
  <c r="O21" i="69" s="1"/>
  <c r="P21" i="69" s="1"/>
  <c r="M16" i="52"/>
  <c r="O16" i="52" s="1"/>
  <c r="P16" i="52" s="1"/>
  <c r="M21" i="44"/>
  <c r="O21" i="44" s="1"/>
  <c r="P21" i="44" s="1"/>
  <c r="M17" i="60"/>
  <c r="O17" i="60" s="1"/>
  <c r="P17" i="60" s="1"/>
  <c r="M21" i="53"/>
  <c r="O21" i="53" s="1"/>
  <c r="P21" i="53" s="1"/>
  <c r="M17" i="45"/>
  <c r="O17" i="45" s="1"/>
  <c r="P17" i="45" s="1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9"/>
  <c r="P23" i="69" s="1"/>
  <c r="O24" i="48"/>
  <c r="P24" i="48" s="1"/>
  <c r="O22" i="51"/>
  <c r="P22" i="51" s="1"/>
  <c r="O16" i="64"/>
  <c r="P16" i="64" s="1"/>
  <c r="O16" i="59"/>
  <c r="P16" i="59" s="1"/>
  <c r="O23" i="65"/>
  <c r="P23" i="65" s="1"/>
  <c r="M16" i="70"/>
  <c r="K7" i="62"/>
  <c r="M16" i="47"/>
  <c r="K25" i="47"/>
  <c r="L7" i="62"/>
  <c r="J12" i="62"/>
  <c r="L24" i="16"/>
  <c r="M24" i="16" s="1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16" i="65"/>
  <c r="L25" i="65"/>
  <c r="J25" i="44"/>
  <c r="P29" i="44" s="1"/>
  <c r="L25" i="57"/>
  <c r="K25" i="52"/>
  <c r="J25" i="54"/>
  <c r="P29" i="54" s="1"/>
  <c r="O22" i="70"/>
  <c r="P22" i="70" s="1"/>
  <c r="K11" i="62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3" i="16"/>
  <c r="N23" i="16" s="1"/>
  <c r="M22" i="16"/>
  <c r="N22" i="16" s="1"/>
  <c r="O22" i="16"/>
  <c r="M21" i="11"/>
  <c r="O21" i="11" s="1"/>
  <c r="J25" i="16"/>
  <c r="O30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24" i="71" l="1"/>
  <c r="N24" i="16"/>
  <c r="O24" i="16" s="1"/>
  <c r="P21" i="50"/>
  <c r="M12" i="62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M25" i="56"/>
  <c r="O16" i="56"/>
  <c r="O25" i="56" s="1"/>
  <c r="M25" i="55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4" l="1"/>
  <c r="O18" i="16"/>
  <c r="O25" i="55"/>
  <c r="O15" i="62"/>
  <c r="P15" i="62" s="1"/>
  <c r="O25" i="64"/>
  <c r="P23" i="55"/>
  <c r="P25" i="55" s="1"/>
  <c r="P12" i="62"/>
  <c r="O25" i="48"/>
  <c r="O25" i="52"/>
  <c r="P16" i="70"/>
  <c r="P25" i="70" s="1"/>
  <c r="P16" i="53"/>
  <c r="P25" i="53" s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O17" i="5" l="1"/>
  <c r="P17" i="5" s="1"/>
  <c r="M14" i="62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Q5" i="5" l="1"/>
  <c r="P21" i="62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<sst xmlns="http://schemas.openxmlformats.org/spreadsheetml/2006/main" count="3949" uniqueCount="550">
  <si>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</si>
  <si>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</si>
  <si>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</si>
  <si>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</si>
  <si>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</si>
  <si>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</si>
  <si>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</si>
  <si>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</si>
  <si>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</si>
  <si>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</si>
  <si>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</si>
  <si>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</si>
  <si>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</si>
  <si>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</si>
  <si>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</si>
  <si>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</si>
  <si>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</si>
  <si>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</si>
  <si>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</si>
  <si>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</si>
  <si>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</si>
  <si>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</si>
  <si>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</si>
  <si>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</si>
  <si>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</si>
  <si>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</si>
  <si>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</si>
  <si>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</si>
  <si>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</si>
  <si>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</si>
  <si>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</si>
  <si>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</si>
  <si>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</si>
  <si>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</si>
  <si>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</si>
  <si>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</si>
  <si>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</si>
  <si>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</si>
  <si>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</si>
  <si>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</si>
  <si>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</si>
  <si>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</si>
  <si>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</si>
  <si>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</si>
  <si>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</si>
  <si>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</si>
  <si>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</si>
  <si>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</si>
  <si>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</si>
  <si>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</si>
  <si>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</si>
  <si>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</si>
  <si>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</si>
  <si>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</si>
  <si>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</si>
  <si>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</si>
  <si>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</si>
  <si>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</si>
  <si>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</si>
  <si>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</si>
  <si>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</si>
  <si>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</si>
  <si>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</si>
  <si>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</si>
  <si>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</si>
  <si>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</si>
  <si>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</si>
  <si>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</si>
  <si>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</si>
  <si>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</si>
  <si>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</si>
  <si>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</si>
  <si>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</si>
  <si>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</si>
  <si>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</si>
  <si>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</si>
  <si>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</si>
  <si>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</si>
  <si>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</si>
  <si>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</si>
  <si>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</si>
  <si>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</si>
  <si>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</si>
  <si>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</si>
  <si>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</si>
  <si>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</si>
  <si>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</si>
  <si>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</si>
  <si>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</si>
  <si>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</si>
  <si>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</si>
  <si>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</si>
  <si>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</si>
  <si>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</si>
  <si>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</si>
  <si>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</si>
  <si>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</si>
  <si>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</si>
  <si>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</si>
  <si>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</si>
  <si>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</si>
  <si>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</si>
  <si>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</si>
  <si>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</si>
  <si>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</si>
  <si>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</si>
  <si>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</si>
  <si>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</si>
  <si>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</si>
  <si>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</si>
  <si>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</si>
  <si>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</si>
  <si>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</si>
  <si>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</si>
  <si>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</si>
  <si>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</si>
  <si>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</si>
  <si>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</si>
  <si>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</si>
  <si>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</si>
  <si>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</si>
  <si>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</si>
  <si>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</si>
  <si>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</si>
  <si>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</si>
  <si>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</si>
  <si>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</si>
  <si>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</si>
  <si>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</si>
  <si>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</si>
  <si>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</si>
  <si>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</si>
  <si>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</si>
  <si>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</si>
  <si>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</si>
  <si>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</si>
  <si>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</si>
  <si>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</si>
  <si>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</si>
  <si>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</si>
  <si>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</si>
  <si>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</si>
  <si>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</si>
  <si>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</si>
  <si>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</si>
  <si>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</si>
  <si>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</si>
  <si>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</si>
  <si>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</si>
  <si>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</si>
  <si>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</si>
  <si>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</si>
  <si>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</si>
  <si>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</si>
  <si>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</si>
  <si>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</si>
  <si>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</si>
  <si>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</si>
  <si>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</si>
  <si>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</si>
  <si>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</si>
  <si>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</si>
  <si>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</si>
  <si>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</si>
  <si>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</si>
  <si>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</si>
  <si>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</si>
  <si>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</si>
  <si>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</si>
  <si>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</si>
  <si>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</si>
  <si>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</si>
  <si>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</si>
  <si>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</si>
  <si>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</si>
  <si>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</si>
  <si>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</si>
  <si>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</si>
  <si>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</si>
  <si>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</si>
  <si>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</si>
  <si>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</si>
  <si>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</si>
  <si>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</si>
  <si>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</si>
  <si>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</si>
  <si>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</si>
  <si>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</si>
  <si>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</si>
  <si>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</si>
  <si>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</si>
  <si>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</si>
  <si>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</si>
  <si>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</si>
  <si>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</si>
  <si>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</si>
  <si>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</si>
  <si>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</si>
  <si>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</si>
  <si>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</si>
  <si>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</si>
  <si>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</si>
  <si>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</si>
  <si>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</si>
  <si>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</si>
  <si>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</si>
  <si>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</si>
  <si>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</si>
  <si>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</si>
  <si>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</si>
  <si>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</si>
  <si>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</si>
  <si>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</si>
  <si>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</si>
  <si>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</si>
  <si>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</si>
  <si>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</si>
  <si>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</si>
  <si>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</si>
  <si>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</si>
  <si>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</si>
  <si>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</si>
  <si>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</si>
  <si>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</si>
  <si>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</si>
  <si>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</si>
  <si>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</si>
  <si>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</si>
  <si>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</si>
  <si>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</si>
  <si>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</si>
  <si>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</si>
  <si>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</si>
  <si>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</si>
  <si>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</si>
  <si>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</si>
  <si>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</si>
  <si>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</si>
  <si>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</si>
  <si>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</si>
  <si>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</si>
  <si>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</si>
  <si>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</si>
  <si>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</si>
  <si>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</si>
  <si>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</si>
  <si>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</si>
  <si>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</si>
  <si>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</si>
  <si>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</si>
  <si>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</si>
  <si>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</si>
  <si>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</si>
  <si>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</si>
  <si>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</si>
  <si>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</si>
  <si>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</si>
  <si>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</si>
  <si>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</si>
  <si>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</si>
  <si>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</si>
  <si>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</si>
  <si>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</si>
  <si>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</si>
  <si>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</si>
  <si>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</si>
  <si>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</si>
  <si>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</si>
  <si>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</si>
  <si>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</si>
  <si>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</si>
  <si>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</si>
  <si>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</si>
  <si>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</si>
  <si>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</si>
  <si>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</si>
  <si>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</si>
  <si>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</si>
  <si>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</si>
  <si>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</si>
  <si>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</si>
  <si>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</si>
  <si>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</si>
  <si>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</si>
  <si>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</si>
  <si>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</si>
  <si>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</si>
  <si>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</si>
  <si>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</si>
  <si>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</si>
  <si>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</si>
  <si>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</si>
  <si>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</si>
  <si>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</si>
  <si>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</si>
  <si>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</si>
  <si>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</si>
  <si>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</si>
  <si>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</si>
  <si>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</si>
  <si>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</si>
  <si>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</si>
  <si>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</si>
  <si>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</si>
  <si>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</si>
  <si>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</si>
  <si>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</si>
  <si>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</si>
  <si>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</si>
  <si>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</si>
  <si>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</si>
  <si>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</si>
  <si>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</si>
  <si>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</si>
  <si>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</si>
  <si>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</si>
  <si>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</si>
  <si>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</si>
  <si>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</si>
  <si>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</si>
  <si>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</si>
  <si>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</si>
  <si>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</si>
  <si>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</si>
  <si>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</si>
  <si>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</si>
  <si>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</si>
  <si>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</si>
  <si>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</si>
  <si>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</si>
  <si>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</si>
  <si>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</si>
  <si>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</si>
  <si>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</si>
  <si>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</si>
  <si>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</si>
  <si>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</si>
  <si>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</si>
  <si>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</si>
  <si>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</si>
  <si>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</si>
  <si>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</si>
  <si>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</si>
  <si>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</si>
  <si>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</si>
  <si>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</si>
  <si>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</si>
  <si>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</si>
  <si>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</si>
  <si>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</si>
  <si>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</si>
  <si>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</si>
  <si>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</si>
  <si>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</si>
  <si>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</si>
  <si>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</si>
  <si>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</si>
  <si>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</si>
  <si>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</si>
  <si>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</si>
  <si>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</si>
  <si>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</si>
  <si>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</si>
  <si>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</si>
  <si>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</si>
  <si>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</si>
  <si>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</si>
  <si>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</si>
  <si>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</si>
  <si>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</si>
  <si>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</si>
  <si>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</si>
  <si>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</si>
  <si>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</si>
  <si>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</si>
  <si>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</si>
  <si>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</si>
  <si>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</si>
  <si>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</si>
  <si>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</si>
  <si>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</si>
  <si>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</si>
  <si>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</si>
  <si>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</si>
  <si>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</si>
  <si>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</si>
  <si>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</si>
  <si>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</si>
  <si>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</si>
  <si>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</si>
  <si>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</si>
  <si>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</si>
  <si>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</si>
  <si>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</si>
  <si>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</si>
  <si>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</si>
  <si>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</si>
  <si>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</si>
  <si>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</si>
  <si>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</si>
  <si>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</si>
  <si>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</si>
  <si>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</si>
  <si>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</si>
  <si>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</si>
  <si>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</si>
  <si>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</si>
  <si>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</si>
  <si>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</si>
  <si>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</si>
  <si>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</si>
  <si>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</si>
  <si>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</si>
  <si>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</si>
  <si>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</si>
  <si>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</si>
  <si>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</si>
  <si>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</si>
  <si>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</si>
  <si>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</si>
  <si>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</si>
  <si>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</si>
  <si>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</si>
  <si>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</si>
  <si>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</si>
  <si>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</si>
  <si>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</si>
  <si>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</si>
  <si>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</si>
  <si>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</si>
  <si>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</si>
  <si>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</si>
  <si>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</si>
  <si>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</si>
  <si>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</si>
  <si>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</si>
  <si>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</si>
  <si>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</si>
  <si>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</si>
  <si>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</si>
  <si>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</si>
  <si>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</si>
  <si>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</si>
  <si>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</si>
  <si>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</si>
  <si>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</si>
  <si>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</si>
  <si>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</si>
  <si>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</si>
  <si>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</si>
  <si>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</si>
  <si>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</si>
  <si>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</si>
  <si>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</si>
  <si>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</si>
  <si>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</si>
  <si>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</si>
  <si>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</si>
  <si>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</si>
  <si>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</si>
  <si>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</si>
  <si>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</si>
  <si>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</si>
  <si>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</si>
  <si>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</si>
  <si>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</si>
  <si>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</si>
  <si>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</si>
  <si>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</si>
  <si>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</si>
  <si>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</si>
  <si>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</si>
  <si>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</si>
  <si>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</si>
  <si>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</si>
  <si>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</si>
  <si>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</si>
  <si>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</si>
  <si>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</si>
  <si>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</si>
  <si>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</si>
  <si>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</si>
  <si>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</si>
  <si>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</si>
  <si>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</si>
  <si>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</si>
  <si>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</si>
  <si>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</si>
  <si>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</si>
  <si>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</si>
  <si>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</si>
  <si>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</si>
  <si>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</si>
  <si>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</si>
  <si>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</si>
  <si>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</si>
  <si>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</si>
  <si>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</si>
  <si>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</si>
  <si>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</si>
  <si>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</si>
  <si>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</si>
  <si>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</si>
  <si>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</si>
  <si>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</si>
  <si>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</si>
  <si>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</si>
  <si>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</si>
  <si>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</si>
  <si>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</si>
  <si>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</si>
  <si>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</si>
  <si>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NTN:// 3218709-2</t>
  </si>
  <si>
    <t>Gourmet Food</t>
  </si>
  <si>
    <t>Invoice No # :10012</t>
  </si>
  <si>
    <t>Gourmet Food Multan Road Fwara Chowk</t>
  </si>
  <si>
    <t xml:space="preserve">Gourmet Food Faisal Town </t>
  </si>
  <si>
    <t xml:space="preserve">Gourmet Food 18G Iqbal Town </t>
  </si>
  <si>
    <t>Gourmet Food Samnabad Lhr</t>
  </si>
  <si>
    <t>Gourmet Food Ghalib Market</t>
  </si>
  <si>
    <t>Gourmet Food Nisbat Road</t>
  </si>
  <si>
    <t>Gourmet Food Islam Pura</t>
  </si>
  <si>
    <t xml:space="preserve">Gourmet Food Jinnah Hospital </t>
  </si>
  <si>
    <t xml:space="preserve">Gourmet Food Shama Cenima </t>
  </si>
  <si>
    <t xml:space="preserve">Gourmet Food Muslim Town Ayubia </t>
  </si>
  <si>
    <t xml:space="preserve">Gourmet Food C Block Model Town </t>
  </si>
  <si>
    <t xml:space="preserve">Gourmet Food Liyaqat Chowk </t>
  </si>
  <si>
    <t>Gourmet Food Krishan Nagar</t>
  </si>
  <si>
    <t>Gourmet Food Poonch Road</t>
  </si>
  <si>
    <t xml:space="preserve">Gourmet Food Nadeem Shaheed </t>
  </si>
  <si>
    <t xml:space="preserve">Gourmet Food Gulshan Ravi </t>
  </si>
  <si>
    <t xml:space="preserve">Gourmet Food Riwind City </t>
  </si>
  <si>
    <t xml:space="preserve">Gourmet Food Link Road Model Town </t>
  </si>
  <si>
    <t>Gourmet Food Batapur</t>
  </si>
  <si>
    <t xml:space="preserve">Gourmet Food Jauray Pull </t>
  </si>
  <si>
    <t xml:space="preserve">Gourmet Food Bhatta Chowk </t>
  </si>
  <si>
    <t xml:space="preserve">Gourmet Food EME Society </t>
  </si>
  <si>
    <t xml:space="preserve">Gourmet Food  DHA XX- Block </t>
  </si>
  <si>
    <t>Gourmet Food Riwind Road Thokar</t>
  </si>
  <si>
    <t xml:space="preserve">Shakoor Husain </t>
  </si>
  <si>
    <t xml:space="preserve"> </t>
  </si>
  <si>
    <t>Gourmet Food Walton</t>
  </si>
  <si>
    <t>Gourmet Food Shadipura</t>
  </si>
  <si>
    <t>Invoice No # :100124</t>
  </si>
  <si>
    <t>Gourmet Food KOT Khawaja Saeed</t>
  </si>
  <si>
    <t>Gourmet Food Baghbanpura</t>
  </si>
  <si>
    <t>Invoice No # :100132</t>
  </si>
  <si>
    <t>Gourmet Food Zarar Shaheed Road</t>
  </si>
  <si>
    <t>Gourmet Food Muredky</t>
  </si>
  <si>
    <t>Invoice No # :10124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</si>
</sst>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  <font>
      <b/>
      <sz val="12"/>
      <color theme="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H16" sqref="A16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.36328125" bestFit="1" customWidth="1"/>
    <col min="8" max="8" width="5.453125" customWidth="1"/>
    <col min="9" max="9" width="11.6328125" bestFit="1" customWidth="1"/>
    <col min="10" max="10" width="6.6328125" bestFit="1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39.1796875" bestFit="1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513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f ca="1">TODAY()</f>
        <v>46286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18" t="str">
        <f>+'1'!A6:A6</f>
        <v>Gourmet Food Muredky</v>
      </c>
      <c r="T3" s="300">
        <f>+'1'!P35</f>
        <v>76115.555031355936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18" t="str">
        <f>+'2'!A6:A6</f>
        <v>Gourmet Food Shadipura</v>
      </c>
      <c r="T4" s="300">
        <f>+'2'!P35</f>
        <v>0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18" t="str">
        <f>+'3'!A6:A6</f>
        <v>Gourmet Food KOT Khawaja Saeed</v>
      </c>
      <c r="T5" s="300">
        <f>+'3'!P35</f>
        <v>0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18" t="str">
        <f>+'4'!A6:A6</f>
        <v>Gourmet Food Baghbanpura</v>
      </c>
      <c r="T6" s="300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5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8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160</v>
      </c>
      <c r="I7" s="235">
        <f>(G7*D7)*F7+H7*F7</f>
        <v>8394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1510.9199999999998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6883.08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1586.440677966101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42.347603389830503</v>
      </c>
      <c r="P7" s="309">
        <f>M7+N7+O7</f>
        <v>8511.8682813559299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18" t="str">
        <f>+'5'!A6:A6</f>
        <v>Gourmet Food Zarar Shaheed Road</v>
      </c>
      <c r="T7" s="300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6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8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120</v>
      </c>
      <c r="I8" s="236">
        <f t="shared" ref="I8:I14" si="0">(G8*D8)*F8+H8*F8</f>
        <v>6295.5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1133.19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5162.3099999999995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1189.8305084745757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31.760702542372876</v>
      </c>
      <c r="P8" s="310">
        <f t="shared" ref="P8:P15" si="2">M8+N8+O8</f>
        <v>6383.9012110169479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18" t="str">
        <f>+'6'!A6:A6</f>
        <v>Gourmet Food Multan Road Fwara Chowk</v>
      </c>
      <c r="T8" s="300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6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8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320</v>
      </c>
      <c r="I9" s="236">
        <f t="shared" si="0"/>
        <v>16788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3021.8399999999997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13766.16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3172.881355932202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84.695206779661007</v>
      </c>
      <c r="P9" s="310">
        <f t="shared" si="2"/>
        <v>17023.73656271186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18" t="str">
        <f>+'7'!A6:A6</f>
        <v xml:space="preserve">Gourmet Food Faisal Town </v>
      </c>
      <c r="T9" s="300">
        <f>+'7'!P35</f>
        <v>0</v>
      </c>
    </row>
    <row r="10" spans="1:20 16377:16378" ht="21.75" customHeight="1" x14ac:dyDescent="0.35">
      <c r="A10" s="82" t="s">
        <v>459</v>
      </c>
      <c r="B10" s="306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8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160</v>
      </c>
      <c r="I10" s="236">
        <f t="shared" si="0"/>
        <v>11622.4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2092.0319999999997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9530.3680000000004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2196.6101694915255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58.634890847457626</v>
      </c>
      <c r="P10" s="310">
        <f t="shared" si="2"/>
        <v>11785.613060338983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18" t="str">
        <f>+'8'!A6:A6</f>
        <v xml:space="preserve">Gourmet Food 18G Iqbal Town </v>
      </c>
      <c r="T10" s="300">
        <f>+'8'!P35</f>
        <v>0</v>
      </c>
    </row>
    <row r="11" spans="1:20 16377:16378" ht="21.75" customHeight="1" x14ac:dyDescent="0.35">
      <c r="A11" s="82" t="s">
        <v>461</v>
      </c>
      <c r="B11" s="306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8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120</v>
      </c>
      <c r="I11" s="236">
        <f t="shared" si="0"/>
        <v>8716.7999999999993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1569.0239999999999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7147.7759999999998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1647.4576271186443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43.97616813559322</v>
      </c>
      <c r="P11" s="310">
        <f t="shared" si="2"/>
        <v>8839.2097952542372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18" t="str">
        <f>+'9'!A6:A6</f>
        <v>Gourmet Food Samnabad Lhr</v>
      </c>
      <c r="T11" s="300">
        <f>+'9'!P35</f>
        <v>0</v>
      </c>
    </row>
    <row r="12" spans="1:20 16377:16378" ht="21.75" customHeight="1" x14ac:dyDescent="0.35">
      <c r="A12" s="82" t="s">
        <v>463</v>
      </c>
      <c r="B12" s="306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8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320</v>
      </c>
      <c r="I12" s="236">
        <f t="shared" si="0"/>
        <v>23244.799999999999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4184.0639999999994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19060.736000000001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4393.2203389830511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117.26978169491525</v>
      </c>
      <c r="P12" s="310">
        <f t="shared" si="2"/>
        <v>23571.226120677966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18" t="str">
        <f>+'10'!A6:A6</f>
        <v>Gourmet Food Ghalib Market</v>
      </c>
      <c r="T12" s="300">
        <f>+'10'!P35</f>
        <v>0</v>
      </c>
    </row>
    <row r="13" spans="1:20 16377:16378" ht="21.75" customHeight="1" x14ac:dyDescent="0.35">
      <c r="A13" s="82" t="s">
        <v>465</v>
      </c>
      <c r="B13" s="306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8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0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18" t="str">
        <f>+'11'!A6:A6</f>
        <v>Gourmet Food Nisbat Road</v>
      </c>
      <c r="T13" s="300">
        <f>+'11'!P35</f>
        <v>0</v>
      </c>
    </row>
    <row r="14" spans="1:20 16377:16378" ht="21.75" customHeight="1" x14ac:dyDescent="0.35">
      <c r="A14" s="82" t="s">
        <v>467</v>
      </c>
      <c r="B14" s="306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8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0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18" t="str">
        <f>+'12'!A6:A6</f>
        <v>Gourmet Food Islam Pura</v>
      </c>
      <c r="T14" s="300">
        <f>+'12'!P35</f>
        <v>0</v>
      </c>
    </row>
    <row r="15" spans="1:20 16377:16378" ht="21.75" customHeight="1" thickBot="1" x14ac:dyDescent="0.4">
      <c r="A15" s="80" t="s">
        <v>469</v>
      </c>
      <c r="B15" s="307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8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1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18" t="str">
        <f>+'13'!A6:A6</f>
        <v xml:space="preserve">Gourmet Food Jinnah Hospital </v>
      </c>
      <c r="T15" s="300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274">
        <f>H16/40</f>
        <v>30</v>
      </c>
      <c r="H16" s="113">
        <f t="shared" ref="H16:M16" si="3">SUM(H7:H15)</f>
        <v>1200</v>
      </c>
      <c r="I16" s="114">
        <f t="shared" si="3"/>
        <v>75061.5</v>
      </c>
      <c r="J16" s="274">
        <f>SUM(J7:J15)</f>
        <v>13511.069999999996</v>
      </c>
      <c r="K16" s="275">
        <f t="shared" si="3"/>
        <v>0</v>
      </c>
      <c r="L16" s="276">
        <f t="shared" si="3"/>
        <v>0</v>
      </c>
      <c r="M16" s="232">
        <f t="shared" si="3"/>
        <v>61550.429999999993</v>
      </c>
      <c r="N16" s="233">
        <f>SUM(N7:N15)</f>
        <v>14186.440677966097</v>
      </c>
      <c r="O16" s="101">
        <f>SUM(O7:O15)</f>
        <v>378.68435338983051</v>
      </c>
      <c r="P16" s="113">
        <f>SUM(P7:P15)</f>
        <v>76115.555031355922</v>
      </c>
      <c r="Q16" s="128">
        <f>SUM(Q7:Q15)</f>
        <v>0</v>
      </c>
      <c r="R16" s="313">
        <v>14</v>
      </c>
      <c r="S16" s="318" t="str">
        <f>+'14'!A6:A6</f>
        <v xml:space="preserve">Gourmet Food Shama Cenima </v>
      </c>
      <c r="T16" s="300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18" t="str">
        <f>+'15'!A6:A6</f>
        <v xml:space="preserve">Gourmet Food Muslim Town Ayubia </v>
      </c>
      <c r="T17" s="300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19" t="str">
        <f>+'16'!A6:A6</f>
        <v>Gourmet Food Walton</v>
      </c>
      <c r="T18" s="300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75061.5</v>
      </c>
      <c r="R19" s="299">
        <v>17</v>
      </c>
      <c r="S19" s="318" t="str">
        <f>+'17'!A6:A6</f>
        <v xml:space="preserve">Gourmet Food C Block Model Town </v>
      </c>
      <c r="T19" s="300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13511.069999999996</v>
      </c>
      <c r="R20" s="299">
        <v>18</v>
      </c>
      <c r="S20" s="318" t="str">
        <f>+'18'!A6:A6</f>
        <v xml:space="preserve">Gourmet Food Liyaqat Chowk </v>
      </c>
      <c r="T20" s="300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0</v>
      </c>
      <c r="R21" s="299">
        <v>19</v>
      </c>
      <c r="S21" s="318" t="str">
        <f>+'19'!A6:A6</f>
        <v>Gourmet Food Krishan Nagar</v>
      </c>
      <c r="T21" s="300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61550.430000000008</v>
      </c>
      <c r="R22" s="299">
        <v>20</v>
      </c>
      <c r="S22" s="318" t="str">
        <f>+'20'!A6:A6</f>
        <v>Gourmet Food Poonch Road</v>
      </c>
      <c r="T22" s="300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14186.440677966097</v>
      </c>
      <c r="R23" s="299">
        <v>21</v>
      </c>
      <c r="S23" s="318" t="str">
        <f>+'21'!A6:A6</f>
        <v xml:space="preserve">Gourmet Food Nadeem Shaheed </v>
      </c>
      <c r="T23" s="300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75736.870677966101</v>
      </c>
      <c r="R24" s="299">
        <v>22</v>
      </c>
      <c r="S24" s="318" t="str">
        <f>+'22'!A6:A6</f>
        <v xml:space="preserve">Gourmet Food Gulshan Ravi </v>
      </c>
      <c r="T24" s="300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378.68435338983051</v>
      </c>
      <c r="R25" s="299">
        <v>23</v>
      </c>
      <c r="S25" s="318" t="str">
        <f>+'23'!A6:A6</f>
        <v xml:space="preserve">Gourmet Food Riwind City </v>
      </c>
      <c r="T25" s="300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76115.555031355936</v>
      </c>
      <c r="R26" s="299">
        <v>24</v>
      </c>
      <c r="S26" s="318" t="str">
        <f>+'24'!A6:A6</f>
        <v xml:space="preserve">Gourmet Food Link Road Model Town </v>
      </c>
      <c r="T26" s="300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18" t="str">
        <f>+'25'!A6:A6</f>
        <v>Gourmet Food Batapur</v>
      </c>
      <c r="T27" s="300">
        <f>+'25'!P35</f>
        <v>0</v>
      </c>
    </row>
    <row r="28" spans="1:20" ht="21.75" customHeight="1" x14ac:dyDescent="0.35">
      <c r="R28" s="299">
        <v>26</v>
      </c>
      <c r="S28" s="318" t="str">
        <f>+'26'!A6:A6</f>
        <v xml:space="preserve">Gourmet Food Jauray Pull </v>
      </c>
      <c r="T28" s="300">
        <f>+'26'!P35</f>
        <v>0</v>
      </c>
    </row>
    <row r="29" spans="1:20" ht="21.75" customHeight="1" x14ac:dyDescent="0.35">
      <c r="L29">
        <v>0</v>
      </c>
      <c r="R29" s="299">
        <v>27</v>
      </c>
      <c r="S29" s="318" t="str">
        <f>+'27'!A6:A6</f>
        <v xml:space="preserve">Gourmet Food Bhatta Chowk </v>
      </c>
      <c r="T29" s="300">
        <f>+'27'!P35</f>
        <v>0</v>
      </c>
    </row>
    <row r="30" spans="1:20" ht="21.75" customHeight="1" x14ac:dyDescent="0.35">
      <c r="R30" s="299">
        <v>28</v>
      </c>
      <c r="S30" s="318" t="str">
        <f>+'28'!A6:A6</f>
        <v xml:space="preserve">Gourmet Food EME Society </v>
      </c>
      <c r="T30" s="300">
        <f>+'28'!P35</f>
        <v>0</v>
      </c>
    </row>
    <row r="31" spans="1:20" ht="21.75" customHeight="1" x14ac:dyDescent="0.35">
      <c r="R31" s="299">
        <v>29</v>
      </c>
      <c r="S31" s="318" t="str">
        <f>+'29'!A6:A6</f>
        <v xml:space="preserve">Gourmet Food  DHA XX- Block </v>
      </c>
      <c r="T31" s="300">
        <f>+'29'!P35</f>
        <v>0</v>
      </c>
    </row>
    <row r="32" spans="1:20" ht="21.75" customHeight="1" x14ac:dyDescent="0.35">
      <c r="R32" s="299">
        <v>30</v>
      </c>
      <c r="S32" s="318" t="str">
        <f>+'30'!A6:A6</f>
        <v>Gourmet Food Riwind Road Thokar</v>
      </c>
      <c r="T32" s="300">
        <f>+'30'!P35</f>
        <v>0</v>
      </c>
    </row>
    <row r="33" spans="2:20" ht="21.75" customHeight="1" thickBot="1" x14ac:dyDescent="0.6">
      <c r="R33" s="302"/>
      <c r="S33" s="301" t="s">
        <v>496</v>
      </c>
      <c r="T33" s="303">
        <f>SUM(T3:T32)</f>
        <v>76115.555031355936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9" zoomScaleNormal="100" workbookViewId="0">
      <selection activeCell="H25" sqref="H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549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46287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46286</v>
      </c>
      <c r="O5" s="393"/>
      <c r="P5" s="393"/>
      <c r="R5" s="85"/>
      <c r="S5" s="266"/>
    </row>
    <row r="6" spans="1:22 16383:16384" ht="17.25" customHeight="1" x14ac:dyDescent="0.4">
      <c r="A6" s="399" t="s">
        <v>548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160</v>
      </c>
      <c r="I16" s="235">
        <f>(G16*D16)*F16+H16*F16</f>
        <v>8394</v>
      </c>
      <c r="J16" s="271">
        <f>$I16*S16</f>
        <v>1510.9199999999998</v>
      </c>
      <c r="K16" s="127">
        <f>$I16*T16</f>
        <v>0</v>
      </c>
      <c r="L16" s="118">
        <f>$I16*U16</f>
        <v>0</v>
      </c>
      <c r="M16" s="229">
        <f>I16-SUM(J16:L16)</f>
        <v>6883.08</v>
      </c>
      <c r="N16" s="248">
        <f>+(G16*D16+H16)*V16</f>
        <v>1586.440677966101</v>
      </c>
      <c r="O16" s="238">
        <f>(N16+M16)*$O$15</f>
        <v>42.347603389830503</v>
      </c>
      <c r="P16" s="309">
        <f>M16+N16+O16</f>
        <v>8511.8682813559299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120</v>
      </c>
      <c r="I17" s="236">
        <f t="shared" ref="I17:I23" si="0">(G17*D17)*F17+H17*F17</f>
        <v>6295.5</v>
      </c>
      <c r="J17" s="272">
        <f t="shared" ref="J17:L24" si="1">$I17*S17</f>
        <v>1133.19</v>
      </c>
      <c r="K17" s="128">
        <f>$I17*T17</f>
        <v>0</v>
      </c>
      <c r="L17" s="119">
        <f>$I17*U17</f>
        <v>0</v>
      </c>
      <c r="M17" s="230">
        <f t="shared" ref="M17:M24" si="2">I17-SUM(J17:L17)</f>
        <v>5162.3099999999995</v>
      </c>
      <c r="N17" s="277">
        <f t="shared" ref="N17:N24" si="3">+(G17*D17+H17)*V17</f>
        <v>1189.8305084745757</v>
      </c>
      <c r="O17" s="239">
        <f t="shared" ref="O17:O24" si="4">(N17+M17)*$O$15</f>
        <v>31.760702542372876</v>
      </c>
      <c r="P17" s="310">
        <f t="shared" ref="P17:P24" si="5">M17+N17+O17</f>
        <v>6383.9012110169479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320</v>
      </c>
      <c r="I18" s="236">
        <f t="shared" ref="I18:I21" si="7">(G18*D18)*F18+H18*F18</f>
        <v>16788</v>
      </c>
      <c r="J18" s="272">
        <f t="shared" si="1"/>
        <v>3021.8399999999997</v>
      </c>
      <c r="K18" s="128">
        <f t="shared" si="1"/>
        <v>0</v>
      </c>
      <c r="L18" s="119">
        <f t="shared" si="1"/>
        <v>0</v>
      </c>
      <c r="M18" s="230">
        <f t="shared" si="2"/>
        <v>13766.16</v>
      </c>
      <c r="N18" s="277">
        <f t="shared" si="3"/>
        <v>3172.881355932202</v>
      </c>
      <c r="O18" s="239">
        <f t="shared" si="4"/>
        <v>84.695206779661007</v>
      </c>
      <c r="P18" s="310">
        <f t="shared" si="5"/>
        <v>17023.73656271186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160</v>
      </c>
      <c r="I19" s="236">
        <f t="shared" si="7"/>
        <v>11622.4</v>
      </c>
      <c r="J19" s="272">
        <f t="shared" si="1"/>
        <v>2092.0319999999997</v>
      </c>
      <c r="K19" s="128">
        <f t="shared" si="1"/>
        <v>0</v>
      </c>
      <c r="L19" s="119">
        <f t="shared" si="1"/>
        <v>0</v>
      </c>
      <c r="M19" s="230">
        <f t="shared" si="2"/>
        <v>9530.3680000000004</v>
      </c>
      <c r="N19" s="277">
        <f t="shared" si="3"/>
        <v>2196.6101694915255</v>
      </c>
      <c r="O19" s="239">
        <f t="shared" si="4"/>
        <v>58.634890847457626</v>
      </c>
      <c r="P19" s="310">
        <f t="shared" si="5"/>
        <v>11785.613060338983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120</v>
      </c>
      <c r="I20" s="236">
        <f t="shared" si="7"/>
        <v>8716.7999999999993</v>
      </c>
      <c r="J20" s="272">
        <f t="shared" si="1"/>
        <v>1569.0239999999999</v>
      </c>
      <c r="K20" s="128">
        <f t="shared" si="1"/>
        <v>0</v>
      </c>
      <c r="L20" s="119">
        <f t="shared" si="1"/>
        <v>0</v>
      </c>
      <c r="M20" s="230">
        <f t="shared" si="2"/>
        <v>7147.7759999999998</v>
      </c>
      <c r="N20" s="277">
        <f t="shared" si="3"/>
        <v>1647.4576271186443</v>
      </c>
      <c r="O20" s="239">
        <f t="shared" si="4"/>
        <v>43.97616813559322</v>
      </c>
      <c r="P20" s="310">
        <f t="shared" si="5"/>
        <v>8839.2097952542372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320</v>
      </c>
      <c r="I21" s="236">
        <f t="shared" si="7"/>
        <v>23244.799999999999</v>
      </c>
      <c r="J21" s="272">
        <f t="shared" si="1"/>
        <v>4184.0639999999994</v>
      </c>
      <c r="K21" s="128">
        <f t="shared" si="1"/>
        <v>0</v>
      </c>
      <c r="L21" s="119">
        <f t="shared" si="1"/>
        <v>0</v>
      </c>
      <c r="M21" s="230">
        <f t="shared" si="2"/>
        <v>19060.736000000001</v>
      </c>
      <c r="N21" s="277">
        <f t="shared" si="3"/>
        <v>4393.2203389830511</v>
      </c>
      <c r="O21" s="239">
        <f t="shared" si="4"/>
        <v>117.26978169491525</v>
      </c>
      <c r="P21" s="310">
        <f t="shared" si="5"/>
        <v>23571.226120677966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1200</v>
      </c>
      <c r="I25" s="114">
        <f t="shared" ref="I25:M25" si="10">SUM(I16:I24)</f>
        <v>75061.5</v>
      </c>
      <c r="J25" s="274">
        <f>SUM(J16:J24)</f>
        <v>13511.069999999996</v>
      </c>
      <c r="K25" s="275">
        <f t="shared" si="10"/>
        <v>0</v>
      </c>
      <c r="L25" s="276">
        <f t="shared" si="10"/>
        <v>0</v>
      </c>
      <c r="M25" s="232">
        <f t="shared" si="10"/>
        <v>61550.429999999993</v>
      </c>
      <c r="N25" s="233">
        <f>SUM(N16:N24)</f>
        <v>14186.440677966097</v>
      </c>
      <c r="O25" s="101">
        <f>SUM(O16:O24)</f>
        <v>378.68435338983051</v>
      </c>
      <c r="P25" s="113">
        <f>SUM(P16:P24)</f>
        <v>76115.555031355922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75061.5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13511.069999999996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61550.430000000008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14186.440677966097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75736.870677966101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378.68435338983051</v>
      </c>
    </row>
    <row r="35" spans="2:16" ht="15.75" customHeight="1" thickBot="1" x14ac:dyDescent="0.4">
      <c r="N35" s="373" t="s">
        <v>88</v>
      </c>
      <c r="O35" s="374"/>
      <c r="P35" s="297">
        <f>+P33+P34</f>
        <v>76115.555031355936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5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  <c r="F2" t="s">
        <v>540</v>
      </c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46276</v>
      </c>
      <c r="O5" s="393"/>
      <c r="P5" s="393"/>
      <c r="R5" s="85"/>
      <c r="S5" s="266"/>
    </row>
    <row r="6" spans="1:22 16383:16384" ht="15" customHeight="1" x14ac:dyDescent="0.4">
      <c r="A6" s="399" t="s">
        <v>542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8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46280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46279</v>
      </c>
      <c r="O5" s="393"/>
      <c r="P5" s="393"/>
      <c r="R5" s="85"/>
      <c r="S5" s="266"/>
    </row>
    <row r="6" spans="1:22 16383:16384" ht="18.75" customHeight="1" x14ac:dyDescent="0.4">
      <c r="A6" s="399" t="s">
        <v>544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546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46276</v>
      </c>
      <c r="O5" s="393"/>
      <c r="P5" s="393"/>
      <c r="R5" s="85"/>
      <c r="S5" s="266"/>
    </row>
    <row r="6" spans="1:22 16383:16384" ht="15" customHeight="1" x14ac:dyDescent="0.4">
      <c r="A6" s="399" t="s">
        <v>545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zoomScaleNormal="100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46276</v>
      </c>
      <c r="O5" s="393"/>
      <c r="P5" s="393"/>
      <c r="R5" s="85"/>
      <c r="S5" s="266"/>
    </row>
    <row r="6" spans="1:22 16383:16384" ht="15" customHeight="1" x14ac:dyDescent="0.4">
      <c r="A6" s="399" t="s">
        <v>547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10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46276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8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46276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zoomScale="110" zoomScaleNormal="110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4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9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4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4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9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10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16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541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  <c r="S30" s="215"/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8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4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5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10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6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8.75" customHeight="1" x14ac:dyDescent="0.4">
      <c r="A6" s="399" t="s">
        <v>528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5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5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opLeftCell="A8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531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opLeftCell="A8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532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opLeftCell="A6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533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topLeftCell="A4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534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topLeftCell="A2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535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topLeftCell="A2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536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topLeftCell="A4"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537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Q12" sqref="Q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538</v>
      </c>
      <c r="B6" s="399"/>
      <c r="C6" s="399"/>
      <c r="F6" s="85"/>
      <c r="G6" s="86"/>
      <c r="K6" s="394" t="s">
        <v>69</v>
      </c>
      <c r="L6" s="394"/>
      <c r="M6" s="394"/>
      <c r="N6" s="396" t="s">
        <v>539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46287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46286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2026-09-21T12:39:35Z</dcterms:modified>
</cp:coreProperties>
</file>