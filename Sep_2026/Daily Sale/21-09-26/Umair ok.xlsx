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0DB5CC4-5077-449D-A782-5AE7FF4F71C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45"/>
  <c r="N4" i="53"/>
  <c r="N4" i="57"/>
  <c r="N4" i="70"/>
  <c r="N5" i="70" s="1"/>
  <c r="N4" i="46"/>
  <c r="N4" i="50"/>
  <c r="N4" i="63"/>
  <c r="N4" i="67"/>
  <c r="N5" i="67" s="1"/>
  <c r="N4" i="51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9" l="1"/>
  <c r="N4" i="58"/>
  <c r="N4" i="61"/>
  <c r="N4" i="68"/>
  <c r="N5" i="68" s="1"/>
  <c r="N4" i="65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21" i="44"/>
  <c r="O21" i="44" s="1"/>
  <c r="P21" i="44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<sst xmlns="http://schemas.openxmlformats.org/spreadsheetml/2006/main" count="3948" uniqueCount="521">
  <si>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</si>
  <si>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</si>
  <si>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</si>
  <si>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</si>
  <si>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</si>
  <si>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</si>
  <si>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</si>
  <si>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</si>
  <si>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</si>
  <si>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</si>
  <si>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</si>
  <si>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</si>
  <si>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</si>
  <si>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</si>
  <si>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</si>
  <si>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</si>
  <si>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</si>
  <si>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</si>
  <si>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</si>
  <si>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</si>
  <si>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</si>
  <si>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</si>
  <si>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</si>
  <si>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</si>
  <si>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</si>
  <si>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</si>
  <si>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</si>
  <si>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</si>
  <si>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</si>
  <si>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</si>
  <si>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</si>
  <si>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</si>
  <si>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</si>
  <si>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</si>
  <si>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</si>
  <si>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</si>
  <si>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</si>
  <si>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</si>
  <si>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</si>
  <si>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</si>
  <si>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</si>
  <si>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</si>
  <si>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</si>
  <si>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</si>
  <si>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</si>
  <si>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</si>
  <si>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</si>
  <si>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</si>
  <si>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</si>
  <si>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</si>
  <si>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</si>
  <si>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</si>
  <si>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</si>
  <si>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</si>
  <si>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</si>
  <si>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</si>
  <si>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</si>
  <si>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</si>
  <si>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</si>
  <si>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</si>
  <si>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</si>
  <si>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</si>
  <si>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</si>
  <si>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</si>
  <si>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</si>
  <si>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</si>
  <si>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</si>
  <si>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</si>
  <si>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</si>
  <si>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</si>
  <si>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</si>
  <si>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</si>
  <si>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</si>
  <si>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</si>
  <si>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</si>
  <si>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</si>
  <si>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</si>
  <si>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</si>
  <si>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</si>
  <si>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</si>
  <si>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</si>
  <si>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</si>
  <si>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</si>
  <si>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</si>
  <si>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</si>
  <si>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</si>
  <si>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</si>
  <si>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</si>
  <si>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</si>
  <si>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</si>
  <si>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</si>
  <si>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</si>
  <si>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</si>
  <si>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</si>
  <si>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</si>
  <si>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</si>
  <si>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</si>
  <si>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</si>
  <si>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</si>
  <si>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</si>
  <si>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</si>
  <si>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</si>
  <si>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</si>
  <si>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</si>
  <si>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</si>
  <si>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</si>
  <si>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</si>
  <si>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</si>
  <si>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</si>
  <si>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</si>
  <si>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</si>
  <si>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</si>
  <si>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</si>
  <si>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</si>
  <si>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</si>
  <si>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</si>
  <si>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</si>
  <si>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</si>
  <si>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</si>
  <si>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</si>
  <si>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</si>
  <si>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</si>
  <si>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</si>
  <si>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</si>
  <si>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</si>
  <si>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</si>
  <si>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</si>
  <si>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</si>
  <si>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</si>
  <si>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</si>
  <si>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</si>
  <si>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</si>
  <si>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</si>
  <si>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</si>
  <si>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</si>
  <si>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</si>
  <si>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</si>
  <si>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</si>
  <si>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</si>
  <si>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</si>
  <si>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</si>
  <si>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</si>
  <si>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</si>
  <si>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</si>
  <si>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</si>
  <si>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</si>
  <si>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</si>
  <si>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</si>
  <si>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</si>
  <si>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</si>
  <si>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</si>
  <si>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</si>
  <si>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</si>
  <si>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</si>
  <si>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</si>
  <si>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</si>
  <si>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</si>
  <si>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</si>
  <si>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</si>
  <si>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</si>
  <si>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</si>
  <si>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</si>
  <si>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</si>
  <si>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</si>
  <si>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</si>
  <si>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</si>
  <si>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</si>
  <si>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</si>
  <si>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</si>
  <si>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</si>
  <si>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</si>
  <si>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</si>
  <si>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</si>
  <si>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</si>
  <si>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</si>
  <si>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</si>
  <si>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</si>
  <si>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</si>
  <si>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</si>
  <si>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</si>
  <si>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</si>
  <si>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</si>
  <si>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</si>
  <si>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</si>
  <si>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</si>
  <si>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</si>
  <si>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</si>
  <si>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</si>
  <si>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</si>
  <si>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</si>
  <si>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</si>
  <si>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</si>
  <si>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</si>
  <si>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</si>
  <si>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</si>
  <si>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</si>
  <si>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</si>
  <si>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</si>
  <si>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</si>
  <si>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</si>
  <si>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</si>
  <si>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</si>
  <si>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</si>
  <si>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</si>
  <si>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</si>
  <si>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</si>
  <si>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</si>
  <si>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</si>
  <si>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</si>
  <si>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</si>
  <si>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</si>
  <si>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</si>
  <si>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</si>
  <si>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</si>
  <si>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</si>
  <si>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</si>
  <si>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</si>
  <si>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</si>
  <si>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</si>
  <si>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</si>
  <si>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</si>
  <si>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</si>
  <si>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</si>
  <si>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</si>
  <si>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</si>
  <si>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</si>
  <si>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</si>
  <si>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</si>
  <si>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</si>
  <si>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</si>
  <si>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</si>
  <si>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</si>
  <si>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</si>
  <si>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</si>
  <si>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</si>
  <si>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</si>
  <si>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</si>
  <si>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</si>
  <si>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</si>
  <si>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</si>
  <si>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</si>
  <si>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</si>
  <si>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</si>
  <si>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</si>
  <si>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</si>
  <si>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</si>
  <si>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</si>
  <si>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</si>
  <si>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</si>
  <si>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</si>
  <si>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</si>
  <si>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</si>
  <si>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</si>
  <si>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</si>
  <si>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</si>
  <si>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</si>
  <si>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</si>
  <si>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</si>
  <si>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</si>
  <si>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</si>
  <si>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</si>
  <si>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</si>
  <si>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</si>
  <si>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</si>
  <si>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</si>
  <si>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</si>
  <si>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</si>
  <si>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</si>
  <si>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</si>
  <si>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</si>
  <si>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</si>
  <si>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</si>
  <si>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</si>
  <si>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</si>
  <si>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</si>
  <si>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</si>
  <si>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</si>
  <si>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</si>
  <si>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</si>
  <si>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</si>
  <si>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</si>
  <si>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</si>
  <si>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</si>
  <si>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</si>
  <si>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</si>
  <si>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</si>
  <si>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</si>
  <si>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</si>
  <si>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</si>
  <si>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</si>
  <si>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</si>
  <si>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</si>
  <si>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</si>
  <si>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</si>
  <si>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</si>
  <si>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</si>
  <si>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</si>
  <si>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</si>
  <si>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</si>
  <si>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</si>
  <si>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</si>
  <si>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</si>
  <si>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</si>
  <si>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</si>
  <si>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</si>
  <si>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</si>
  <si>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</si>
  <si>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</si>
  <si>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</si>
  <si>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</si>
  <si>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</si>
  <si>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</si>
  <si>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</si>
  <si>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</si>
  <si>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</si>
  <si>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</si>
  <si>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</si>
  <si>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</si>
  <si>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</si>
  <si>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</si>
  <si>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</si>
  <si>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</si>
  <si>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</si>
  <si>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</si>
  <si>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</si>
  <si>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</si>
  <si>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</si>
  <si>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</si>
  <si>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</si>
  <si>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</si>
  <si>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</si>
  <si>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</si>
  <si>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</si>
  <si>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</si>
  <si>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</si>
  <si>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</si>
  <si>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</si>
  <si>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</si>
  <si>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</si>
  <si>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</si>
  <si>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</si>
  <si>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</si>
  <si>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</si>
  <si>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</si>
  <si>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</si>
  <si>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</si>
  <si>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</si>
  <si>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</si>
  <si>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</si>
  <si>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</si>
  <si>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</si>
  <si>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</si>
  <si>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</si>
  <si>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</si>
  <si>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</si>
  <si>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</si>
  <si>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</si>
  <si>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</si>
  <si>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</si>
  <si>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</si>
  <si>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</si>
  <si>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</si>
  <si>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</si>
  <si>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</si>
  <si>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</si>
  <si>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</si>
  <si>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</si>
  <si>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</si>
  <si>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</si>
  <si>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</si>
  <si>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</si>
  <si>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</si>
  <si>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</si>
  <si>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</si>
  <si>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</si>
  <si>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</si>
  <si>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</si>
  <si>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</si>
  <si>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</si>
  <si>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</si>
  <si>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</si>
  <si>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</si>
  <si>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</si>
  <si>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</si>
  <si>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</si>
  <si>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</si>
  <si>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</si>
  <si>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</si>
  <si>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</si>
  <si>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</si>
  <si>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</si>
  <si>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</si>
  <si>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</si>
  <si>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</si>
  <si>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</si>
  <si>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</si>
  <si>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</si>
  <si>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</si>
  <si>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</si>
  <si>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</si>
  <si>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</si>
  <si>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</si>
  <si>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</si>
  <si>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</si>
  <si>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</si>
  <si>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</si>
  <si>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</si>
  <si>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</si>
  <si>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</si>
  <si>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</si>
  <si>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</si>
  <si>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</si>
  <si>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</si>
  <si>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</si>
  <si>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</si>
  <si>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</si>
  <si>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</si>
  <si>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</si>
  <si>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</si>
  <si>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</si>
  <si>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</si>
  <si>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</si>
  <si>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</si>
  <si>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</si>
  <si>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</si>
  <si>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</si>
  <si>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</si>
  <si>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</si>
  <si>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</si>
  <si>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</si>
  <si>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</si>
  <si>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</si>
  <si>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</si>
  <si>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</si>
  <si>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</si>
  <si>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</si>
  <si>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</si>
  <si>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</si>
  <si>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</si>
  <si>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</si>
  <si>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</si>
  <si>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</si>
  <si>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</si>
  <si>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</si>
  <si>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</si>
  <si>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</si>
  <si>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</si>
  <si>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</si>
  <si>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</si>
  <si>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</si>
  <si>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</si>
  <si>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</si>
  <si>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</si>
  <si>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</si>
  <si>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</si>
  <si>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</si>
  <si>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</si>
  <si>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</si>
  <si>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</si>
  <si>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</si>
  <si>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</si>
  <si>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</si>
  <si>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</si>
  <si>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</si>
  <si>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</si>
  <si>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</si>
  <si>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</si>
  <si>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</si>
  <si>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</si>
  <si>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</si>
  <si>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</si>
  <si>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</si>
  <si>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</si>
  <si>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</si>
  <si>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</si>
  <si>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</si>
  <si>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</si>
  <si>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</si>
  <si>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</si>
  <si>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</si>
  <si>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</si>
  <si>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</si>
  <si>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</si>
  <si>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</si>
  <si>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</si>
  <si>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</si>
  <si>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</si>
  <si>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</si>
  <si>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</si>
  <si>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</si>
  <si>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</si>
  <si>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</si>
  <si>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</si>
  <si>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</si>
  <si>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</si>
  <si>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</si>
  <si>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</si>
  <si>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</si>
  <si>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</si>
  <si>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</si>
  <si>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</si>
  <si>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</si>
  <si>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</si>
  <si>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</si>
  <si>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</si>
  <si>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</si>
  <si>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</si>
  <si>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</si>
  <si>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</si>
  <si>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</si>
  <si>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</si>
  <si>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</si>
  <si>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</si>
  <si>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</si>
  <si>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 xml:space="preserve">Alhamd Bakery </t>
  </si>
  <si>
    <t>Address: Nashter Bazar</t>
  </si>
  <si>
    <t>Khubaib Store</t>
  </si>
  <si>
    <t xml:space="preserve">Chanda Bakery </t>
  </si>
  <si>
    <t>Haji Serdar Store</t>
  </si>
  <si>
    <t xml:space="preserve">SB Mart </t>
  </si>
  <si>
    <t xml:space="preserve">SS Bakers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</si>
</sst>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3" workbookViewId="0">
      <selection activeCell="F30" sqref="F3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46286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Alhamd Bakery </v>
      </c>
      <c r="T3" s="301">
        <f>+'1'!P35</f>
        <v>3136.2115850847458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Khubaib Store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Chanda Bakery </v>
      </c>
      <c r="T5" s="301">
        <f>+'3'!P35</f>
        <v>3136.2115850847463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Haji Serdar Store</v>
      </c>
      <c r="T6" s="301">
        <f>+'4'!P35</f>
        <v>3136.2115850847458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SB Mart </v>
      </c>
      <c r="T7" s="301">
        <f>+'5'!P35</f>
        <v>1411.2952132881355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SS Bakers </v>
      </c>
      <c r="T8" s="301">
        <f>+'6'!P35</f>
        <v>3136.2115850847458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104</v>
      </c>
      <c r="I10" s="236">
        <f t="shared" si="0"/>
        <v>7554.56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604.36479999999995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264.40960000000001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6685.7856000000002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1427.7966101694915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40.567911050847449</v>
      </c>
      <c r="P10" s="311">
        <f t="shared" si="2"/>
        <v>8154.1501212203393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50</v>
      </c>
      <c r="I11" s="236">
        <f t="shared" si="0"/>
        <v>3632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290.56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127.12000000000002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3214.32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686.44067796610182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19.503803389830512</v>
      </c>
      <c r="P11" s="311">
        <f t="shared" si="2"/>
        <v>3920.2644813559323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64</v>
      </c>
      <c r="I12" s="236">
        <f t="shared" si="0"/>
        <v>4648.96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371.91680000000002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162.71360000000001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4114.3296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878.64406779661033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24.964868338983056</v>
      </c>
      <c r="P12" s="311">
        <f t="shared" si="2"/>
        <v>5017.9385361355935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5.45</v>
      </c>
      <c r="H16" s="113">
        <f t="shared" ref="H16:M16" si="3">SUM(H7:H15)</f>
        <v>218</v>
      </c>
      <c r="I16" s="114">
        <f t="shared" si="3"/>
        <v>15835.52</v>
      </c>
      <c r="J16" s="274">
        <f>SUM(J7:J15)</f>
        <v>1266.8416</v>
      </c>
      <c r="K16" s="275">
        <f t="shared" si="3"/>
        <v>554.2432</v>
      </c>
      <c r="L16" s="276">
        <f t="shared" si="3"/>
        <v>0</v>
      </c>
      <c r="M16" s="232">
        <f t="shared" si="3"/>
        <v>14014.4352</v>
      </c>
      <c r="N16" s="233">
        <f>SUM(N7:N15)</f>
        <v>2992.8813559322034</v>
      </c>
      <c r="O16" s="101">
        <f>SUM(O7:O15)</f>
        <v>85.036582779661018</v>
      </c>
      <c r="P16" s="113">
        <f>SUM(P7:P15)</f>
        <v>17092.353138711864</v>
      </c>
      <c r="Q16" s="128">
        <f>SUM(Q7:Q15)</f>
        <v>20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15835.52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1266.8416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554.2432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14014.4352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2992.8813559322034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17007.316555932204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85.036582779661018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17092.353138711864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17092.353138711864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F7" sqref="F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7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7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13</v>
      </c>
      <c r="I21" s="236">
        <f t="shared" si="7"/>
        <v>944.32</v>
      </c>
      <c r="J21" s="272">
        <f t="shared" si="1"/>
        <v>75.545600000000007</v>
      </c>
      <c r="K21" s="128">
        <f t="shared" si="1"/>
        <v>33.051200000000001</v>
      </c>
      <c r="L21" s="119">
        <f t="shared" si="1"/>
        <v>0</v>
      </c>
      <c r="M21" s="230">
        <f t="shared" si="2"/>
        <v>835.72320000000002</v>
      </c>
      <c r="N21" s="277">
        <f t="shared" si="3"/>
        <v>178.47457627118644</v>
      </c>
      <c r="O21" s="239">
        <f t="shared" si="4"/>
        <v>5.070988881355933</v>
      </c>
      <c r="P21" s="119">
        <f t="shared" si="5"/>
        <v>1019.2687651525424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</v>
      </c>
      <c r="J25" s="274">
        <f>SUM(J16:J24)</f>
        <v>232.44800000000001</v>
      </c>
      <c r="K25" s="275">
        <f t="shared" si="10"/>
        <v>101.696</v>
      </c>
      <c r="L25" s="276">
        <f t="shared" si="10"/>
        <v>0</v>
      </c>
      <c r="M25" s="232">
        <f t="shared" si="10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Q18" sqref="Q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>
        <v>10</v>
      </c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F7" sqref="F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28</v>
      </c>
      <c r="I19" s="236">
        <f t="shared" si="0"/>
        <v>2033.92</v>
      </c>
      <c r="J19" s="272">
        <f t="shared" si="1"/>
        <v>162.71360000000001</v>
      </c>
      <c r="K19" s="128">
        <f t="shared" si="1"/>
        <v>71.187200000000004</v>
      </c>
      <c r="L19" s="119">
        <f t="shared" si="1"/>
        <v>0</v>
      </c>
      <c r="M19" s="230">
        <f t="shared" si="2"/>
        <v>1800.0192000000002</v>
      </c>
      <c r="N19" s="277">
        <f t="shared" si="3"/>
        <v>384.40677966101697</v>
      </c>
      <c r="O19" s="239">
        <f t="shared" si="4"/>
        <v>10.922129898305085</v>
      </c>
      <c r="P19" s="119">
        <f t="shared" si="5"/>
        <v>2195.3481095593224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2571.4560000000006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3136.2115850847463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F7" sqref="F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0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232.44800000000004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F7" sqref="F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18</v>
      </c>
      <c r="I25" s="114">
        <f t="shared" si="7"/>
        <v>1307.52</v>
      </c>
      <c r="J25" s="274">
        <f>SUM(J16:J24)</f>
        <v>104.60160000000002</v>
      </c>
      <c r="K25" s="275">
        <f t="shared" si="7"/>
        <v>45.763200000000005</v>
      </c>
      <c r="L25" s="276">
        <f t="shared" si="7"/>
        <v>0</v>
      </c>
      <c r="M25" s="232">
        <f t="shared" si="7"/>
        <v>1157.1552000000001</v>
      </c>
      <c r="N25" s="233">
        <f>SUM(N16:N24)</f>
        <v>247.11864406779662</v>
      </c>
      <c r="O25" s="101">
        <f>SUM(O16:O24)</f>
        <v>7.0213692203389835</v>
      </c>
      <c r="P25" s="234">
        <f>SUM(P16:P24)</f>
        <v>1411.2952132881355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1307.52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104.60160000000002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45.763200000000005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1157.1551999999999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247.11864406779662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1404.2738440677965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7.0213692203389826</v>
      </c>
    </row>
    <row r="35" spans="2:16" ht="15.75" customHeight="1" thickBot="1" x14ac:dyDescent="0.4">
      <c r="N35" s="374" t="s">
        <v>88</v>
      </c>
      <c r="O35" s="375"/>
      <c r="P35" s="297">
        <f>+P33+P34</f>
        <v>1411.2952132881355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F7" sqref="F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46287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46286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2026-09-21T10:58:11Z</dcterms:modified>
</cp:coreProperties>
</file>