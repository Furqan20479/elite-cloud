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CE58E9C3-F7B3-4100-9C4D-25F3DFCF8660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5" l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60" l="1"/>
  <c r="O17" i="60" s="1"/>
  <c r="P17" i="60" s="1"/>
  <c r="M21" i="53"/>
  <c r="O21" i="53" s="1"/>
  <c r="P21" i="53" s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24" i="58"/>
  <c r="P24" i="58" s="1"/>
  <c r="O23" i="64"/>
  <c r="P23" i="64" s="1"/>
  <c r="O24" i="71"/>
  <c r="P24" i="71"/>
  <c r="O23" i="59"/>
  <c r="P23" i="59"/>
  <c r="O23" i="69"/>
  <c r="P23" i="69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<sst xmlns="http://schemas.openxmlformats.org/spreadsheetml/2006/main" count="3918" uniqueCount="517">
  <si>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</si>
  <si>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</si>
  <si>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</si>
  <si>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</si>
  <si>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</si>
  <si>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</si>
  <si>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</si>
  <si>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</si>
  <si>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</si>
  <si>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</si>
  <si>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</si>
  <si>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</si>
  <si>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</si>
  <si>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</si>
  <si>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</si>
  <si>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</si>
  <si>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</si>
  <si>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</si>
  <si>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</si>
  <si>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</si>
  <si>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</si>
  <si>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</si>
  <si>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</si>
  <si>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</si>
  <si>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</si>
  <si>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</si>
  <si>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</si>
  <si>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</si>
  <si>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</si>
  <si>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</si>
  <si>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</si>
  <si>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</si>
  <si>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</si>
  <si>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</si>
  <si>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</si>
  <si>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</si>
  <si>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</si>
  <si>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</si>
  <si>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</si>
  <si>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</si>
  <si>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</si>
  <si>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</si>
  <si>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</si>
  <si>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</si>
  <si>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</si>
  <si>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</si>
  <si>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</si>
  <si>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</si>
  <si>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</si>
  <si>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</si>
  <si>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</si>
  <si>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</si>
  <si>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</si>
  <si>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</si>
  <si>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</si>
  <si>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</si>
  <si>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</si>
  <si>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</si>
  <si>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</si>
  <si>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</si>
  <si>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</si>
  <si>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</si>
  <si>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</si>
  <si>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</si>
  <si>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</si>
  <si>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</si>
  <si>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</si>
  <si>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</si>
  <si>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</si>
  <si>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</si>
  <si>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</si>
  <si>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</si>
  <si>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</si>
  <si>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</si>
  <si>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</si>
  <si>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</si>
  <si>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</si>
  <si>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</si>
  <si>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</si>
  <si>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</si>
  <si>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</si>
  <si>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</si>
  <si>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</si>
  <si>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</si>
  <si>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</si>
  <si>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</si>
  <si>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</si>
  <si>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</si>
  <si>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</si>
  <si>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</si>
  <si>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</si>
  <si>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</si>
  <si>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</si>
  <si>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</si>
  <si>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</si>
  <si>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</si>
  <si>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</si>
  <si>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</si>
  <si>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</si>
  <si>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</si>
  <si>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</si>
  <si>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</si>
  <si>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</si>
  <si>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</si>
  <si>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</si>
  <si>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</si>
  <si>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</si>
  <si>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</si>
  <si>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</si>
  <si>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</si>
  <si>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</si>
  <si>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</si>
  <si>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</si>
  <si>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</si>
  <si>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</si>
  <si>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</si>
  <si>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</si>
  <si>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</si>
  <si>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</si>
  <si>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</si>
  <si>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</si>
  <si>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</si>
  <si>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</si>
  <si>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</si>
  <si>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</si>
  <si>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</si>
  <si>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</si>
  <si>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</si>
  <si>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</si>
  <si>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</si>
  <si>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</si>
  <si>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</si>
  <si>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</si>
  <si>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</si>
  <si>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</si>
  <si>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</si>
  <si>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</si>
  <si>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</si>
  <si>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</si>
  <si>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</si>
  <si>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</si>
  <si>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</si>
  <si>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</si>
  <si>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</si>
  <si>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</si>
  <si>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</si>
  <si>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</si>
  <si>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</si>
  <si>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</si>
  <si>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</si>
  <si>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</si>
  <si>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</si>
  <si>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</si>
  <si>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</si>
  <si>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</si>
  <si>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</si>
  <si>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</si>
  <si>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</si>
  <si>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</si>
  <si>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</si>
  <si>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</si>
  <si>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</si>
  <si>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</si>
  <si>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</si>
  <si>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</si>
  <si>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</si>
  <si>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</si>
  <si>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</si>
  <si>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</si>
  <si>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</si>
  <si>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</si>
  <si>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</si>
  <si>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</si>
  <si>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</si>
  <si>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</si>
  <si>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</si>
  <si>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</si>
  <si>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</si>
  <si>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</si>
  <si>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</si>
  <si>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</si>
  <si>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</si>
  <si>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</si>
  <si>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</si>
  <si>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</si>
  <si>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</si>
  <si>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</si>
  <si>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</si>
  <si>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</si>
  <si>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</si>
  <si>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</si>
  <si>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</si>
  <si>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</si>
  <si>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</si>
  <si>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</si>
  <si>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</si>
  <si>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</si>
  <si>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</si>
  <si>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</si>
  <si>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</si>
  <si>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</si>
  <si>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</si>
  <si>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</si>
  <si>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</si>
  <si>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</si>
  <si>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</si>
  <si>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</si>
  <si>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</si>
  <si>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</si>
  <si>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</si>
  <si>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</si>
  <si>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</si>
  <si>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</si>
  <si>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</si>
  <si>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</si>
  <si>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</si>
  <si>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</si>
  <si>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</si>
  <si>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</si>
  <si>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</si>
  <si>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</si>
  <si>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</si>
  <si>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</si>
  <si>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</si>
  <si>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</si>
  <si>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</si>
  <si>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</si>
  <si>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</si>
  <si>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</si>
  <si>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</si>
  <si>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</si>
  <si>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</si>
  <si>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</si>
  <si>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</si>
  <si>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</si>
  <si>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</si>
  <si>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</si>
  <si>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</si>
  <si>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</si>
  <si>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</si>
  <si>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</si>
  <si>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</si>
  <si>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</si>
  <si>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</si>
  <si>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</si>
  <si>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</si>
  <si>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</si>
  <si>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</si>
  <si>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</si>
  <si>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</si>
  <si>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</si>
  <si>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</si>
  <si>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</si>
  <si>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</si>
  <si>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</si>
  <si>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</si>
  <si>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</si>
  <si>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</si>
  <si>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</si>
  <si>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</si>
  <si>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</si>
  <si>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</si>
  <si>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</si>
  <si>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</si>
  <si>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</si>
  <si>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</si>
  <si>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</si>
  <si>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</si>
  <si>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</si>
  <si>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</si>
  <si>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</si>
  <si>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</si>
  <si>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</si>
  <si>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</si>
  <si>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</si>
  <si>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</si>
  <si>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</si>
  <si>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</si>
  <si>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</si>
  <si>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</si>
  <si>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</si>
  <si>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</si>
  <si>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</si>
  <si>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</si>
  <si>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</si>
  <si>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</si>
  <si>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</si>
  <si>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</si>
  <si>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</si>
  <si>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</si>
  <si>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</si>
  <si>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</si>
  <si>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</si>
  <si>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</si>
  <si>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</si>
  <si>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</si>
  <si>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</si>
  <si>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</si>
  <si>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</si>
  <si>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</si>
  <si>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</si>
  <si>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</si>
  <si>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</si>
  <si>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</si>
  <si>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</si>
  <si>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</si>
  <si>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</si>
  <si>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</si>
  <si>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</si>
  <si>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</si>
  <si>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</si>
  <si>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</si>
  <si>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</si>
  <si>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</si>
  <si>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</si>
  <si>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</si>
  <si>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</si>
  <si>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</si>
  <si>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</si>
  <si>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</si>
  <si>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</si>
  <si>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</si>
  <si>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</si>
  <si>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</si>
  <si>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</si>
  <si>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</si>
  <si>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</si>
  <si>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</si>
  <si>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</si>
  <si>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</si>
  <si>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</si>
  <si>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</si>
  <si>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</si>
  <si>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</si>
  <si>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</si>
  <si>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</si>
  <si>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</si>
  <si>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</si>
  <si>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</si>
  <si>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</si>
  <si>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</si>
  <si>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</si>
  <si>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</si>
  <si>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</si>
  <si>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</si>
  <si>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</si>
  <si>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</si>
  <si>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</si>
  <si>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</si>
  <si>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</si>
  <si>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</si>
  <si>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</si>
  <si>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</si>
  <si>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</si>
  <si>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</si>
  <si>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</si>
  <si>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</si>
  <si>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</si>
  <si>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</si>
  <si>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</si>
  <si>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</si>
  <si>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</si>
  <si>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</si>
  <si>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</si>
  <si>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</si>
  <si>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</si>
  <si>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</si>
  <si>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</si>
  <si>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</si>
  <si>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</si>
  <si>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</si>
  <si>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</si>
  <si>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</si>
  <si>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</si>
  <si>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</si>
  <si>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</si>
  <si>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</si>
  <si>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</si>
  <si>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</si>
  <si>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</si>
  <si>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</si>
  <si>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</si>
  <si>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</si>
  <si>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</si>
  <si>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</si>
  <si>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</si>
  <si>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</si>
  <si>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</si>
  <si>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</si>
  <si>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</si>
  <si>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</si>
  <si>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</si>
  <si>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</si>
  <si>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</si>
  <si>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</si>
  <si>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</si>
  <si>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</si>
  <si>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</si>
  <si>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</si>
  <si>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</si>
  <si>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</si>
  <si>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</si>
  <si>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</si>
  <si>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</si>
  <si>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</si>
  <si>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</si>
  <si>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</si>
  <si>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</si>
  <si>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</si>
  <si>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</si>
  <si>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</si>
  <si>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</si>
  <si>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</si>
  <si>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</si>
  <si>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</si>
  <si>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</si>
  <si>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</si>
  <si>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</si>
  <si>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</si>
  <si>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</si>
  <si>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</si>
  <si>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</si>
  <si>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</si>
  <si>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</si>
  <si>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</si>
  <si>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</si>
  <si>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</si>
  <si>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</si>
  <si>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</si>
  <si>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</si>
  <si>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</si>
  <si>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</si>
  <si>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</si>
  <si>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</si>
  <si>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</si>
  <si>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</si>
  <si>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</si>
  <si>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</si>
  <si>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</si>
  <si>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</si>
  <si>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</si>
  <si>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</si>
  <si>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</si>
  <si>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</si>
  <si>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</si>
  <si>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</si>
  <si>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</si>
  <si>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</si>
  <si>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</si>
  <si>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</si>
  <si>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</si>
  <si>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</si>
  <si>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</si>
  <si>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</si>
  <si>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</si>
  <si>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</si>
  <si>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</si>
  <si>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</si>
  <si>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</si>
  <si>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</si>
  <si>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</si>
  <si>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</si>
  <si>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</si>
  <si>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</si>
  <si>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</si>
  <si>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</si>
  <si>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</si>
  <si>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</si>
  <si>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</si>
  <si>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</si>
  <si>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</si>
  <si>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</si>
  <si>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</si>
  <si>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</si>
  <si>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</si>
  <si>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</si>
  <si>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</si>
  <si>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</si>
  <si>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</si>
  <si>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</si>
  <si>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</si>
  <si>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</si>
  <si>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</si>
  <si>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</si>
  <si>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</si>
  <si>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</si>
  <si>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</si>
  <si>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</si>
  <si>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</si>
  <si>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</si>
  <si>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</si>
  <si>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</si>
  <si>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</si>
  <si>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</si>
  <si>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</si>
  <si>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</si>
  <si>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</si>
  <si>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</si>
  <si>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</si>
  <si>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</si>
  <si>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</si>
  <si>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</si>
  <si>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</si>
  <si>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</si>
  <si>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</si>
  <si>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</si>
  <si>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</si>
  <si>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</si>
  <si>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</si>
  <si>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</si>
  <si>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</si>
  <si>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</si>
  <si>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Jabbar</t>
  </si>
  <si>
    <t>NTN #: 1510459-1</t>
  </si>
  <si>
    <t xml:space="preserve">Naqshbandi </t>
  </si>
  <si>
    <t>Address: Multan Road</t>
  </si>
  <si>
    <t>Invoice No # : 154542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</si>
</sst>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6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9" fontId="18" fillId="0" borderId="48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512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 xml:space="preserve">Naqshbandi </v>
      </c>
      <c r="T3" s="301">
        <f>+'1'!P35</f>
        <v>30597.095627542374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Naqshbandi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Naqshbandi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Naqshbandi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Naqshbandi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587.58000000000004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3462.5250000000001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21.278726694915253</v>
      </c>
      <c r="P8" s="311">
        <f t="shared" ref="P8:P15" si="2">M8+N8+O8</f>
        <v>4277.0240656779661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 xml:space="preserve">Naqshbandi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Naqshbandi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 xml:space="preserve">Naqshbandi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Naqshbandi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 xml:space="preserve">Naqshbandi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 xml:space="preserve">Naqshbandi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 xml:space="preserve">Naqshbandi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 xml:space="preserve">Naqshbandi 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12</v>
      </c>
      <c r="H16" s="113">
        <f t="shared" ref="H16:M16" si="3">SUM(H7:H15)</f>
        <v>480</v>
      </c>
      <c r="I16" s="114">
        <f t="shared" si="3"/>
        <v>30024.600000000002</v>
      </c>
      <c r="J16" s="274">
        <f>SUM(J7:J15)</f>
        <v>4203.4440000000004</v>
      </c>
      <c r="K16" s="275">
        <f t="shared" si="3"/>
        <v>1050.8610000000001</v>
      </c>
      <c r="L16" s="276">
        <f t="shared" si="3"/>
        <v>0</v>
      </c>
      <c r="M16" s="232">
        <f t="shared" si="3"/>
        <v>24770.294999999998</v>
      </c>
      <c r="N16" s="233">
        <f>SUM(N7:N15)</f>
        <v>5674.576271186439</v>
      </c>
      <c r="O16" s="101">
        <f>SUM(O7:O15)</f>
        <v>152.2243563559322</v>
      </c>
      <c r="P16" s="113">
        <f>SUM(P7:P15)</f>
        <v>30597.095627542367</v>
      </c>
      <c r="Q16" s="128">
        <f>SUM(Q7:Q15)</f>
        <v>0</v>
      </c>
      <c r="R16" s="313">
        <v>14</v>
      </c>
      <c r="S16" s="315" t="str">
        <f>+'14'!A6:A6</f>
        <v xml:space="preserve">Naqshbandi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Naqshbandi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Naqshbandi 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30024.600000000002</v>
      </c>
      <c r="R19" s="299">
        <v>17</v>
      </c>
      <c r="S19" s="300" t="str">
        <f>+'17'!A6:A6</f>
        <v xml:space="preserve">Naqshbandi 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4203.4440000000004</v>
      </c>
      <c r="R20" s="299">
        <v>18</v>
      </c>
      <c r="S20" s="300" t="str">
        <f>+'18'!A6:A6</f>
        <v xml:space="preserve">Naqshbandi 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1050.8610000000001</v>
      </c>
      <c r="R21" s="299">
        <v>19</v>
      </c>
      <c r="S21" s="300" t="str">
        <f>+'19'!A6:A6</f>
        <v xml:space="preserve">Naqshbandi 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24770.295000000002</v>
      </c>
      <c r="R22" s="299">
        <v>20</v>
      </c>
      <c r="S22" s="300" t="str">
        <f>+'20'!A6:A6</f>
        <v xml:space="preserve">Naqshbandi 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5674.576271186439</v>
      </c>
      <c r="R23" s="299">
        <v>21</v>
      </c>
      <c r="S23" s="300" t="str">
        <f>+'21'!A6:A6</f>
        <v xml:space="preserve">Naqshbandi 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30444.871271186443</v>
      </c>
      <c r="R24" s="299">
        <v>22</v>
      </c>
      <c r="S24" s="300" t="str">
        <f>+'22'!A6:A6</f>
        <v xml:space="preserve">Naqshbandi 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152.2243563559322</v>
      </c>
      <c r="R25" s="299">
        <v>23</v>
      </c>
      <c r="S25" s="300" t="str">
        <f>+'23'!A6:A6</f>
        <v xml:space="preserve">Naqshbandi 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30597.095627542374</v>
      </c>
      <c r="R26" s="299">
        <v>24</v>
      </c>
      <c r="S26" s="300" t="str">
        <f>+'24'!A6:A6</f>
        <v xml:space="preserve">Naqshbandi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 xml:space="preserve">Naqshbandi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Naqshbandi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Naqshbandi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Naqshbandi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Naqshbandi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Naqshbandi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30597.095627542374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K4" sqref="K4:M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516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118">
        <f>M16+N16+O16</f>
        <v>4277.0240656779661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>
        <v>80</v>
      </c>
      <c r="I17" s="236">
        <f t="shared" ref="I17:I23" si="0">(G17*D17)*F17+H17*F17</f>
        <v>4197</v>
      </c>
      <c r="J17" s="272">
        <f t="shared" ref="J17:L24" si="1">$I17*S17</f>
        <v>587.58000000000004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3462.5250000000001</v>
      </c>
      <c r="N17" s="277">
        <f t="shared" ref="N17:N24" si="3">+(G17*D17+H17)*V17</f>
        <v>793.22033898305051</v>
      </c>
      <c r="O17" s="239">
        <f t="shared" ref="O17:O24" si="4">(N17+M17)*$O$15</f>
        <v>21.278726694915253</v>
      </c>
      <c r="P17" s="119">
        <f t="shared" ref="P17:P24" si="5">M17+N17+O17</f>
        <v>4277.0240656779661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119">
        <f t="shared" si="5"/>
        <v>4277.0240656779661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119">
        <f t="shared" si="5"/>
        <v>5922.0078101694908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119">
        <f t="shared" si="5"/>
        <v>5922.0078101694908</v>
      </c>
      <c r="Q20" s="319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119">
        <f t="shared" si="5"/>
        <v>5922.0078101694908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480</v>
      </c>
      <c r="I25" s="114">
        <f t="shared" ref="I25:M25" si="10">SUM(I16:I24)</f>
        <v>30024.600000000002</v>
      </c>
      <c r="J25" s="274">
        <f>SUM(J16:J24)</f>
        <v>4203.4440000000004</v>
      </c>
      <c r="K25" s="275">
        <f t="shared" si="10"/>
        <v>1050.8610000000001</v>
      </c>
      <c r="L25" s="276">
        <f t="shared" si="10"/>
        <v>0</v>
      </c>
      <c r="M25" s="232">
        <f t="shared" si="10"/>
        <v>24770.294999999998</v>
      </c>
      <c r="N25" s="233">
        <f>SUM(N16:N24)</f>
        <v>5674.576271186439</v>
      </c>
      <c r="O25" s="101">
        <f>SUM(O16:O24)</f>
        <v>152.2243563559322</v>
      </c>
      <c r="P25" s="234">
        <f>SUM(P16:P24)</f>
        <v>30597.095627542367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30024.600000000002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4203.4440000000004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1050.8610000000001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24770.295000000002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5674.576271186439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30444.871271186443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152.22435635593223</v>
      </c>
    </row>
    <row r="35" spans="2:16" ht="15.75" customHeight="1" thickBot="1" x14ac:dyDescent="0.4">
      <c r="N35" s="345" t="s">
        <v>88</v>
      </c>
      <c r="O35" s="346"/>
      <c r="P35" s="297">
        <f>+P33+P34</f>
        <v>30597.095627542374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8.7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4" sqref="N4:P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46285</v>
      </c>
      <c r="O5" s="370"/>
      <c r="P5" s="370"/>
      <c r="R5" s="85"/>
      <c r="S5" s="266"/>
    </row>
    <row r="6" spans="1:22 16383:16384" ht="1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513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415">
        <v>0.14000000000000001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2026-09-21T05:29:51Z</dcterms:modified>
</cp:coreProperties>
</file>