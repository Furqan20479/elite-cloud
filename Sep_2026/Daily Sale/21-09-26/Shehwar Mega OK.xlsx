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016DB8A2-23CE-4FF1-B55C-7CBAEEDEDB14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F22" i="47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7" l="1"/>
  <c r="N5" i="47" s="1"/>
  <c r="N4" i="46"/>
  <c r="N4" i="64"/>
  <c r="N5" i="64" s="1"/>
  <c r="Q16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70" l="1"/>
  <c r="N5" i="70" s="1"/>
  <c r="N4" i="69"/>
  <c r="N5" i="69" s="1"/>
  <c r="N4" i="67"/>
  <c r="N5" i="67" s="1"/>
  <c r="N4" i="53"/>
  <c r="N5" i="53" s="1"/>
  <c r="N4" i="63"/>
  <c r="N5" i="63" s="1"/>
  <c r="N4" i="45"/>
  <c r="N5" i="45" s="1"/>
  <c r="N4" i="59"/>
  <c r="N5" i="59" s="1"/>
  <c r="N4" i="58"/>
  <c r="N5" i="58" s="1"/>
  <c r="N4" i="61"/>
  <c r="N5" i="61" s="1"/>
  <c r="N4" i="68"/>
  <c r="N5" i="68" s="1"/>
  <c r="N5" i="11"/>
  <c r="N4" i="51"/>
  <c r="N5" i="51" s="1"/>
  <c r="N4" i="50"/>
  <c r="N5" i="50" s="1"/>
  <c r="N4" i="57"/>
  <c r="N5" i="57" s="1"/>
  <c r="N4" i="55"/>
  <c r="N5" i="55" s="1"/>
  <c r="N4" i="65"/>
  <c r="N5" i="65" s="1"/>
  <c r="N4" i="60"/>
  <c r="N5" i="60" s="1"/>
  <c r="N4" i="52"/>
  <c r="N5" i="52" s="1"/>
  <c r="N4" i="44"/>
  <c r="N5" i="44" s="1"/>
  <c r="N4" i="72"/>
  <c r="N5" i="72" s="1"/>
  <c r="N4" i="71"/>
  <c r="N5" i="71" s="1"/>
  <c r="N4" i="54"/>
  <c r="N5" i="54" s="1"/>
  <c r="N4" i="66"/>
  <c r="N5" i="66" s="1"/>
  <c r="N4" i="49"/>
  <c r="N5" i="49" s="1"/>
  <c r="N4" i="43"/>
  <c r="N5" i="43" s="1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21" i="53"/>
  <c r="O21" i="53" s="1"/>
  <c r="P21" i="53" s="1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<sst xmlns="http://schemas.openxmlformats.org/spreadsheetml/2006/main" count="3918" uniqueCount="516">
  <si>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</si>
  <si>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</si>
  <si>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</si>
  <si>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</si>
  <si>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</si>
  <si>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</si>
  <si>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</si>
  <si>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</si>
  <si>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</si>
  <si>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</si>
  <si>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</si>
  <si>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</si>
  <si>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</si>
  <si>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</si>
  <si>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</si>
  <si>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</si>
  <si>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</si>
  <si>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</si>
  <si>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</si>
  <si>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</si>
  <si>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</si>
  <si>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</si>
  <si>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</si>
  <si>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</si>
  <si>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</si>
  <si>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</si>
  <si>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</si>
  <si>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</si>
  <si>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</si>
  <si>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</si>
  <si>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</si>
  <si>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</si>
  <si>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</si>
  <si>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</si>
  <si>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</si>
  <si>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</si>
  <si>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</si>
  <si>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</si>
  <si>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</si>
  <si>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</si>
  <si>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</si>
  <si>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</si>
  <si>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</si>
  <si>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</si>
  <si>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</si>
  <si>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</si>
  <si>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</si>
  <si>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</si>
  <si>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</si>
  <si>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</si>
  <si>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</si>
  <si>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</si>
  <si>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</si>
  <si>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</si>
  <si>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</si>
  <si>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</si>
  <si>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</si>
  <si>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</si>
  <si>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</si>
  <si>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</si>
  <si>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</si>
  <si>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</si>
  <si>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</si>
  <si>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</si>
  <si>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</si>
  <si>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</si>
  <si>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</si>
  <si>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</si>
  <si>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</si>
  <si>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</si>
  <si>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</si>
  <si>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</si>
  <si>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</si>
  <si>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</si>
  <si>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</si>
  <si>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</si>
  <si>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</si>
  <si>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</si>
  <si>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</si>
  <si>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</si>
  <si>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</si>
  <si>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</si>
  <si>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</si>
  <si>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</si>
  <si>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</si>
  <si>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</si>
  <si>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</si>
  <si>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</si>
  <si>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</si>
  <si>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</si>
  <si>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</si>
  <si>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</si>
  <si>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</si>
  <si>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</si>
  <si>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</si>
  <si>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</si>
  <si>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</si>
  <si>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</si>
  <si>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</si>
  <si>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</si>
  <si>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</si>
  <si>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</si>
  <si>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</si>
  <si>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</si>
  <si>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</si>
  <si>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</si>
  <si>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</si>
  <si>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</si>
  <si>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</si>
  <si>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</si>
  <si>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</si>
  <si>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</si>
  <si>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</si>
  <si>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</si>
  <si>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</si>
  <si>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</si>
  <si>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</si>
  <si>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</si>
  <si>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</si>
  <si>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</si>
  <si>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</si>
  <si>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</si>
  <si>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</si>
  <si>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</si>
  <si>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</si>
  <si>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</si>
  <si>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</si>
  <si>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</si>
  <si>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</si>
  <si>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</si>
  <si>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</si>
  <si>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</si>
  <si>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</si>
  <si>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</si>
  <si>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</si>
  <si>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</si>
  <si>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</si>
  <si>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</si>
  <si>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</si>
  <si>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</si>
  <si>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</si>
  <si>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</si>
  <si>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</si>
  <si>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</si>
  <si>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</si>
  <si>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</si>
  <si>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</si>
  <si>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</si>
  <si>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</si>
  <si>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</si>
  <si>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</si>
  <si>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</si>
  <si>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</si>
  <si>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</si>
  <si>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</si>
  <si>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</si>
  <si>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</si>
  <si>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</si>
  <si>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</si>
  <si>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</si>
  <si>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</si>
  <si>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</si>
  <si>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</si>
  <si>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</si>
  <si>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</si>
  <si>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</si>
  <si>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</si>
  <si>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</si>
  <si>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</si>
  <si>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</si>
  <si>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</si>
  <si>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</si>
  <si>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</si>
  <si>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</si>
  <si>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</si>
  <si>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</si>
  <si>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</si>
  <si>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</si>
  <si>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</si>
  <si>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</si>
  <si>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</si>
  <si>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</si>
  <si>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</si>
  <si>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</si>
  <si>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</si>
  <si>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</si>
  <si>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</si>
  <si>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</si>
  <si>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</si>
  <si>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</si>
  <si>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</si>
  <si>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</si>
  <si>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</si>
  <si>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</si>
  <si>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</si>
  <si>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</si>
  <si>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</si>
  <si>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</si>
  <si>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</si>
  <si>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</si>
  <si>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</si>
  <si>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</si>
  <si>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</si>
  <si>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</si>
  <si>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</si>
  <si>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</si>
  <si>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</si>
  <si>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</si>
  <si>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</si>
  <si>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</si>
  <si>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</si>
  <si>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</si>
  <si>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</si>
  <si>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</si>
  <si>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</si>
  <si>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</si>
  <si>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</si>
  <si>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</si>
  <si>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</si>
  <si>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</si>
  <si>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</si>
  <si>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</si>
  <si>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</si>
  <si>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</si>
  <si>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</si>
  <si>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</si>
  <si>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</si>
  <si>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</si>
  <si>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</si>
  <si>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</si>
  <si>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</si>
  <si>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</si>
  <si>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</si>
  <si>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</si>
  <si>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</si>
  <si>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</si>
  <si>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</si>
  <si>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</si>
  <si>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</si>
  <si>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</si>
  <si>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</si>
  <si>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</si>
  <si>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</si>
  <si>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</si>
  <si>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</si>
  <si>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</si>
  <si>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</si>
  <si>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</si>
  <si>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</si>
  <si>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</si>
  <si>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</si>
  <si>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</si>
  <si>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</si>
  <si>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</si>
  <si>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</si>
  <si>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</si>
  <si>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</si>
  <si>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</si>
  <si>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</si>
  <si>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</si>
  <si>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</si>
  <si>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</si>
  <si>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</si>
  <si>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</si>
  <si>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</si>
  <si>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</si>
  <si>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</si>
  <si>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</si>
  <si>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</si>
  <si>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</si>
  <si>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</si>
  <si>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</si>
  <si>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</si>
  <si>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</si>
  <si>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</si>
  <si>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</si>
  <si>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</si>
  <si>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</si>
  <si>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</si>
  <si>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</si>
  <si>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</si>
  <si>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</si>
  <si>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</si>
  <si>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</si>
  <si>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</si>
  <si>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</si>
  <si>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</si>
  <si>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</si>
  <si>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</si>
  <si>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</si>
  <si>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</si>
  <si>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</si>
  <si>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</si>
  <si>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</si>
  <si>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</si>
  <si>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</si>
  <si>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</si>
  <si>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</si>
  <si>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</si>
  <si>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</si>
  <si>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</si>
  <si>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</si>
  <si>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</si>
  <si>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</si>
  <si>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</si>
  <si>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</si>
  <si>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</si>
  <si>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</si>
  <si>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</si>
  <si>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</si>
  <si>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</si>
  <si>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</si>
  <si>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</si>
  <si>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</si>
  <si>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</si>
  <si>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</si>
  <si>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</si>
  <si>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</si>
  <si>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</si>
  <si>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</si>
  <si>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</si>
  <si>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</si>
  <si>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</si>
  <si>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</si>
  <si>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</si>
  <si>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</si>
  <si>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</si>
  <si>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</si>
  <si>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</si>
  <si>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</si>
  <si>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</si>
  <si>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</si>
  <si>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</si>
  <si>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</si>
  <si>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</si>
  <si>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</si>
  <si>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</si>
  <si>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</si>
  <si>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</si>
  <si>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</si>
  <si>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</si>
  <si>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</si>
  <si>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</si>
  <si>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</si>
  <si>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</si>
  <si>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</si>
  <si>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</si>
  <si>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</si>
  <si>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</si>
  <si>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</si>
  <si>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</si>
  <si>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</si>
  <si>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</si>
  <si>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</si>
  <si>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</si>
  <si>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</si>
  <si>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</si>
  <si>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</si>
  <si>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</si>
  <si>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</si>
  <si>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</si>
  <si>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</si>
  <si>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</si>
  <si>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</si>
  <si>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</si>
  <si>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</si>
  <si>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</si>
  <si>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</si>
  <si>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</si>
  <si>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</si>
  <si>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</si>
  <si>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</si>
  <si>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</si>
  <si>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</si>
  <si>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</si>
  <si>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</si>
  <si>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</si>
  <si>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</si>
  <si>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</si>
  <si>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</si>
  <si>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</si>
  <si>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</si>
  <si>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</si>
  <si>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</si>
  <si>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</si>
  <si>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</si>
  <si>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</si>
  <si>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</si>
  <si>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</si>
  <si>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</si>
  <si>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</si>
  <si>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</si>
  <si>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</si>
  <si>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</si>
  <si>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</si>
  <si>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</si>
  <si>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</si>
  <si>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</si>
  <si>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</si>
  <si>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</si>
  <si>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</si>
  <si>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</si>
  <si>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</si>
  <si>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</si>
  <si>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</si>
  <si>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</si>
  <si>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</si>
  <si>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</si>
  <si>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</si>
  <si>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</si>
  <si>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</si>
  <si>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</si>
  <si>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</si>
  <si>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</si>
  <si>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</si>
  <si>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</si>
  <si>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</si>
  <si>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</si>
  <si>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</si>
  <si>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</si>
  <si>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</si>
  <si>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</si>
  <si>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</si>
  <si>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</si>
  <si>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</si>
  <si>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</si>
  <si>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</si>
  <si>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</si>
  <si>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</si>
  <si>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</si>
  <si>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</si>
  <si>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</si>
  <si>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</si>
  <si>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</si>
  <si>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</si>
  <si>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</si>
  <si>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</si>
  <si>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</si>
  <si>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</si>
  <si>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</si>
  <si>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</si>
  <si>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</si>
  <si>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</si>
  <si>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</si>
  <si>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</si>
  <si>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</si>
  <si>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</si>
  <si>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</si>
  <si>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</si>
  <si>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</si>
  <si>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</si>
  <si>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</si>
  <si>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</si>
  <si>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</si>
  <si>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</si>
  <si>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</si>
  <si>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</si>
  <si>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</si>
  <si>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</si>
  <si>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</si>
  <si>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</si>
  <si>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</si>
  <si>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</si>
  <si>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</si>
  <si>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</si>
  <si>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</si>
  <si>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</si>
  <si>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</si>
  <si>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</si>
  <si>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</si>
  <si>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</si>
  <si>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</si>
  <si>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</si>
  <si>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</si>
  <si>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</si>
  <si>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</si>
  <si>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</si>
  <si>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</si>
  <si>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</si>
  <si>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</si>
  <si>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</si>
  <si>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</si>
  <si>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</si>
  <si>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</si>
  <si>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</si>
  <si>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</si>
  <si>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</si>
  <si>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</si>
  <si>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</si>
  <si>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</si>
  <si>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</si>
  <si>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</si>
  <si>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</si>
  <si>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</si>
  <si>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</si>
  <si>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</si>
  <si>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</si>
  <si>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</si>
  <si>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</si>
  <si>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</si>
  <si>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</si>
  <si>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</si>
  <si>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</si>
  <si>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</si>
  <si>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</si>
  <si>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</si>
  <si>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</si>
  <si>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</si>
  <si>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</si>
  <si>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</si>
  <si>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</si>
  <si>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</si>
  <si>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Jabbar</t>
  </si>
  <si>
    <t>Shehwar Mega Mart</t>
  </si>
  <si>
    <t>Address: Jublee Mart</t>
  </si>
  <si>
    <t>Invoice No # :156165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</si>
</sst>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0"/>
      <c r="B3" s="330"/>
      <c r="C3" s="330"/>
      <c r="D3" s="330"/>
      <c r="E3" s="330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</row>
    <row r="4" spans="1:29" x14ac:dyDescent="0.35">
      <c r="A4" s="332" t="s">
        <v>436</v>
      </c>
      <c r="B4" s="165" t="s">
        <v>437</v>
      </c>
      <c r="C4" s="165"/>
      <c r="D4" s="334" t="s">
        <v>438</v>
      </c>
      <c r="E4" s="336" t="s">
        <v>439</v>
      </c>
      <c r="F4" s="338" t="s">
        <v>58</v>
      </c>
      <c r="G4" s="338"/>
      <c r="H4" s="339" t="s">
        <v>440</v>
      </c>
      <c r="I4" s="339"/>
      <c r="J4" s="340" t="s">
        <v>441</v>
      </c>
      <c r="K4" s="341"/>
      <c r="L4" s="340" t="s">
        <v>442</v>
      </c>
      <c r="M4" s="341"/>
      <c r="N4" s="342" t="s">
        <v>443</v>
      </c>
      <c r="O4" s="342"/>
      <c r="P4" s="340" t="s">
        <v>86</v>
      </c>
      <c r="Q4" s="341"/>
      <c r="R4" s="340" t="s">
        <v>444</v>
      </c>
      <c r="S4" s="341"/>
      <c r="T4" s="343" t="s">
        <v>445</v>
      </c>
      <c r="U4" s="343"/>
      <c r="V4" s="344" t="s">
        <v>446</v>
      </c>
      <c r="W4" s="345"/>
      <c r="X4" s="344" t="s">
        <v>447</v>
      </c>
      <c r="Y4" s="345"/>
    </row>
    <row r="5" spans="1:29" ht="26.25" customHeight="1" thickBot="1" x14ac:dyDescent="0.4">
      <c r="A5" s="333"/>
      <c r="B5" s="167" t="s">
        <v>448</v>
      </c>
      <c r="C5" s="167" t="s">
        <v>438</v>
      </c>
      <c r="D5" s="335"/>
      <c r="E5" s="337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70" t="s">
        <v>91</v>
      </c>
      <c r="B2" s="370"/>
      <c r="C2" s="370"/>
      <c r="E2" s="357" t="s">
        <v>498</v>
      </c>
      <c r="F2" s="358"/>
      <c r="G2" s="358"/>
      <c r="H2" s="355" t="s">
        <v>512</v>
      </c>
      <c r="I2" s="355"/>
      <c r="J2" s="356"/>
      <c r="R2" s="352" t="s">
        <v>497</v>
      </c>
      <c r="S2" s="353"/>
      <c r="T2" s="354"/>
    </row>
    <row r="3" spans="1:20 16377:16378" ht="21.75" customHeight="1" thickBot="1" x14ac:dyDescent="0.4">
      <c r="A3" s="371" t="s">
        <v>92</v>
      </c>
      <c r="B3" s="371"/>
      <c r="C3" s="371"/>
      <c r="E3" s="361" t="s">
        <v>508</v>
      </c>
      <c r="F3" s="362"/>
      <c r="G3" s="362"/>
      <c r="H3" s="359">
        <f ca="1">TODAY()</f>
        <v>46288</v>
      </c>
      <c r="I3" s="359"/>
      <c r="J3" s="360"/>
      <c r="K3" s="372" t="s">
        <v>43</v>
      </c>
      <c r="L3" s="372"/>
      <c r="M3" s="372"/>
      <c r="N3" s="371"/>
      <c r="O3" s="371"/>
      <c r="P3" s="371"/>
      <c r="R3" s="299">
        <v>1</v>
      </c>
      <c r="S3" s="300" t="str">
        <f>+'1'!A6:A6</f>
        <v>Shehwar Mega Mart</v>
      </c>
      <c r="T3" s="301">
        <f>+'1'!P35</f>
        <v>81220.085953347458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Shehwar Mega Mart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1" t="s">
        <v>51</v>
      </c>
      <c r="B5" s="363"/>
      <c r="C5" s="393" t="s">
        <v>90</v>
      </c>
      <c r="D5" s="115" t="s">
        <v>52</v>
      </c>
      <c r="E5" s="395" t="s">
        <v>58</v>
      </c>
      <c r="F5" s="396"/>
      <c r="G5" s="368" t="s">
        <v>54</v>
      </c>
      <c r="H5" s="369"/>
      <c r="I5" s="397" t="s">
        <v>77</v>
      </c>
      <c r="J5" s="367" t="s">
        <v>55</v>
      </c>
      <c r="K5" s="368"/>
      <c r="L5" s="369"/>
      <c r="M5" s="363" t="s">
        <v>84</v>
      </c>
      <c r="N5" s="365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Shehwar Mega Mart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2"/>
      <c r="B6" s="364"/>
      <c r="C6" s="394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6"/>
      <c r="J6" s="143" t="s">
        <v>59</v>
      </c>
      <c r="K6" s="144" t="s">
        <v>39</v>
      </c>
      <c r="L6" s="145" t="s">
        <v>493</v>
      </c>
      <c r="M6" s="364"/>
      <c r="N6" s="36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Shehwar Mega Mart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120</v>
      </c>
      <c r="I7" s="235">
        <f>(G7*D7)*F7+H7*F7</f>
        <v>6295.5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629.55000000000007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220.34250000000003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5445.6075000000001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1189.8305084745757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33.177190042372878</v>
      </c>
      <c r="P7" s="310">
        <f>M7+N7+O7</f>
        <v>6668.6151985169481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Shehwar Mega Mart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160</v>
      </c>
      <c r="I8" s="236">
        <f t="shared" ref="I8:I14" si="0">(G8*D8)*F8+H8*F8</f>
        <v>8394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839.40000000000009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293.79000000000002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7260.8099999999995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1586.440677966101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44.236253389830502</v>
      </c>
      <c r="P8" s="311">
        <f t="shared" ref="P8:P15" si="2">M8+N8+O8</f>
        <v>8891.4869313559302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Shehwar Mega Mart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240</v>
      </c>
      <c r="I9" s="236">
        <f t="shared" si="0"/>
        <v>12591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1259.1000000000001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440.68500000000006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10891.215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2379.6610169491514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66.354380084745756</v>
      </c>
      <c r="P9" s="311">
        <f t="shared" si="2"/>
        <v>13337.230397033896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Shehwar Mega Mart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160</v>
      </c>
      <c r="I10" s="236">
        <f t="shared" si="0"/>
        <v>11622.4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1162.24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406.78400000000005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10053.376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2196.6101694915255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61.249930847457627</v>
      </c>
      <c r="P10" s="311">
        <f t="shared" si="2"/>
        <v>12311.236100338983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Shehwar Mega Mart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120</v>
      </c>
      <c r="I11" s="236">
        <f t="shared" si="0"/>
        <v>8716.7999999999993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871.68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305.08800000000002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7540.0319999999992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1647.4576271186443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45.937448135593222</v>
      </c>
      <c r="P11" s="311">
        <f t="shared" si="2"/>
        <v>9233.4270752542379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Shehwar Mega Mart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400</v>
      </c>
      <c r="I12" s="236">
        <f t="shared" si="0"/>
        <v>29056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2905.6000000000004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1016.9600000000002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25133.439999999999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5491.5254237288136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153.12482711864408</v>
      </c>
      <c r="P12" s="311">
        <f t="shared" si="2"/>
        <v>30778.090250847457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Shehwar Mega Mart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Shehwar Mega Mart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Shehwar Mega Mart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Shehwar Mega Mart</v>
      </c>
      <c r="T15" s="301">
        <f>+'13'!P35</f>
        <v>0</v>
      </c>
    </row>
    <row r="16" spans="1:20 16377:16378" ht="21.75" customHeight="1" thickBot="1" x14ac:dyDescent="0.4">
      <c r="A16" s="373">
        <f>COUNT(A7:A15)</f>
        <v>0</v>
      </c>
      <c r="B16" s="374"/>
      <c r="C16" s="374" t="s">
        <v>40</v>
      </c>
      <c r="D16" s="374"/>
      <c r="E16" s="374"/>
      <c r="F16" s="375"/>
      <c r="G16" s="117">
        <f>H16/40</f>
        <v>30</v>
      </c>
      <c r="H16" s="113">
        <f t="shared" ref="H16:M16" si="3">SUM(H7:H15)</f>
        <v>1200</v>
      </c>
      <c r="I16" s="114">
        <f t="shared" si="3"/>
        <v>76675.7</v>
      </c>
      <c r="J16" s="274">
        <f>SUM(J7:J15)</f>
        <v>7667.5700000000006</v>
      </c>
      <c r="K16" s="275">
        <f t="shared" si="3"/>
        <v>2683.6495000000004</v>
      </c>
      <c r="L16" s="276">
        <f t="shared" si="3"/>
        <v>0</v>
      </c>
      <c r="M16" s="232">
        <f t="shared" si="3"/>
        <v>66324.480499999991</v>
      </c>
      <c r="N16" s="233">
        <f>SUM(N7:N15)</f>
        <v>14491.52542372881</v>
      </c>
      <c r="O16" s="101">
        <f>SUM(O7:O15)</f>
        <v>404.08002961864406</v>
      </c>
      <c r="P16" s="113">
        <f>SUM(P7:P15)</f>
        <v>81220.085953347443</v>
      </c>
      <c r="Q16" s="128">
        <f>SUM(Q7:Q15)</f>
        <v>0</v>
      </c>
      <c r="R16" s="313">
        <v>14</v>
      </c>
      <c r="S16" s="315" t="str">
        <f>+'14'!A6:A6</f>
        <v>Shehwar Mega Mart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Shehwar Mega Mart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Shehwar Mega Mart</v>
      </c>
      <c r="T18" s="301">
        <f>+'16'!P35</f>
        <v>0</v>
      </c>
    </row>
    <row r="19" spans="1:20" ht="21.75" customHeight="1" x14ac:dyDescent="0.35">
      <c r="B19" s="376" t="s">
        <v>64</v>
      </c>
      <c r="C19" s="377"/>
      <c r="D19" s="377"/>
      <c r="E19" s="377"/>
      <c r="F19" s="377"/>
      <c r="G19" s="377"/>
      <c r="H19" s="377"/>
      <c r="I19" s="377"/>
      <c r="J19" s="377"/>
      <c r="K19" s="377"/>
      <c r="L19" s="378"/>
      <c r="N19" s="385" t="s">
        <v>60</v>
      </c>
      <c r="O19" s="386"/>
      <c r="P19" s="139">
        <f>I16</f>
        <v>76675.7</v>
      </c>
      <c r="R19" s="299">
        <v>17</v>
      </c>
      <c r="S19" s="300" t="str">
        <f>+'17'!A6:A6</f>
        <v>Shehwar Mega Mart</v>
      </c>
      <c r="T19" s="301">
        <f>+'17'!P35</f>
        <v>0</v>
      </c>
    </row>
    <row r="20" spans="1:20" ht="21.75" customHeight="1" x14ac:dyDescent="0.35">
      <c r="B20" s="379"/>
      <c r="C20" s="380"/>
      <c r="D20" s="380"/>
      <c r="E20" s="380"/>
      <c r="F20" s="380"/>
      <c r="G20" s="380"/>
      <c r="H20" s="380"/>
      <c r="I20" s="380"/>
      <c r="J20" s="380"/>
      <c r="K20" s="380"/>
      <c r="L20" s="381"/>
      <c r="N20" s="387" t="s">
        <v>85</v>
      </c>
      <c r="O20" s="388"/>
      <c r="P20" s="140">
        <f>+J16</f>
        <v>7667.5700000000006</v>
      </c>
      <c r="R20" s="299">
        <v>18</v>
      </c>
      <c r="S20" s="300" t="str">
        <f>+'18'!A6:A6</f>
        <v>Shehwar Mega Mart</v>
      </c>
      <c r="T20" s="301">
        <f>+'18'!P35</f>
        <v>0</v>
      </c>
    </row>
    <row r="21" spans="1:20" ht="21.75" customHeight="1" x14ac:dyDescent="0.35">
      <c r="B21" s="379"/>
      <c r="C21" s="380"/>
      <c r="D21" s="380"/>
      <c r="E21" s="380"/>
      <c r="F21" s="380"/>
      <c r="G21" s="380"/>
      <c r="H21" s="380"/>
      <c r="I21" s="380"/>
      <c r="J21" s="380"/>
      <c r="K21" s="380"/>
      <c r="L21" s="381"/>
      <c r="N21" s="387" t="s">
        <v>86</v>
      </c>
      <c r="O21" s="388"/>
      <c r="P21" s="140">
        <f>+K16+L16</f>
        <v>2683.6495000000004</v>
      </c>
      <c r="R21" s="299">
        <v>19</v>
      </c>
      <c r="S21" s="300" t="str">
        <f>+'19'!A6:A6</f>
        <v>Shehwar Mega Mart</v>
      </c>
      <c r="T21" s="301">
        <f>+'19'!P35</f>
        <v>0</v>
      </c>
    </row>
    <row r="22" spans="1:20" ht="21.75" customHeight="1" x14ac:dyDescent="0.35">
      <c r="B22" s="379"/>
      <c r="C22" s="380"/>
      <c r="D22" s="380"/>
      <c r="E22" s="380"/>
      <c r="F22" s="380"/>
      <c r="G22" s="380"/>
      <c r="H22" s="380"/>
      <c r="I22" s="380"/>
      <c r="J22" s="380"/>
      <c r="K22" s="380"/>
      <c r="L22" s="381"/>
      <c r="M22" s="131"/>
      <c r="N22" s="387" t="s">
        <v>87</v>
      </c>
      <c r="O22" s="388"/>
      <c r="P22" s="140">
        <f>P19-P20-P21</f>
        <v>66324.480499999991</v>
      </c>
      <c r="R22" s="299">
        <v>20</v>
      </c>
      <c r="S22" s="300" t="str">
        <f>+'20'!A6:A6</f>
        <v>Shehwar Mega Mart</v>
      </c>
      <c r="T22" s="301">
        <f>+'20'!P35</f>
        <v>0</v>
      </c>
    </row>
    <row r="23" spans="1:20" ht="21.75" customHeight="1" x14ac:dyDescent="0.35">
      <c r="B23" s="379"/>
      <c r="C23" s="380"/>
      <c r="D23" s="380"/>
      <c r="E23" s="380"/>
      <c r="F23" s="380"/>
      <c r="G23" s="380"/>
      <c r="H23" s="380"/>
      <c r="I23" s="380"/>
      <c r="J23" s="380"/>
      <c r="K23" s="380"/>
      <c r="L23" s="381"/>
      <c r="M23" s="131"/>
      <c r="N23" s="136" t="s">
        <v>61</v>
      </c>
      <c r="O23" s="133">
        <v>0.18</v>
      </c>
      <c r="P23" s="140">
        <f>+N16</f>
        <v>14491.52542372881</v>
      </c>
      <c r="R23" s="299">
        <v>21</v>
      </c>
      <c r="S23" s="300" t="str">
        <f>+'21'!A6:A6</f>
        <v>Shehwar Mega Mart</v>
      </c>
      <c r="T23" s="301">
        <f>+'21'!P35</f>
        <v>0</v>
      </c>
    </row>
    <row r="24" spans="1:20" ht="21.75" customHeight="1" x14ac:dyDescent="0.35">
      <c r="B24" s="379"/>
      <c r="C24" s="380"/>
      <c r="D24" s="380"/>
      <c r="E24" s="380"/>
      <c r="F24" s="380"/>
      <c r="G24" s="380"/>
      <c r="H24" s="380"/>
      <c r="I24" s="380"/>
      <c r="J24" s="380"/>
      <c r="K24" s="380"/>
      <c r="L24" s="381"/>
      <c r="M24" s="131"/>
      <c r="N24" s="389" t="s">
        <v>76</v>
      </c>
      <c r="O24" s="390"/>
      <c r="P24" s="140">
        <f>P22+P23</f>
        <v>80816.005923728808</v>
      </c>
      <c r="R24" s="299">
        <v>22</v>
      </c>
      <c r="S24" s="300" t="str">
        <f>+'22'!A6:A6</f>
        <v>Shehwar Mega Mart</v>
      </c>
      <c r="T24" s="301">
        <f>+'22'!P35</f>
        <v>0</v>
      </c>
    </row>
    <row r="25" spans="1:20" ht="21.75" customHeight="1" thickBot="1" x14ac:dyDescent="0.4">
      <c r="B25" s="382"/>
      <c r="C25" s="383"/>
      <c r="D25" s="383"/>
      <c r="E25" s="383"/>
      <c r="F25" s="383"/>
      <c r="G25" s="383"/>
      <c r="H25" s="383"/>
      <c r="I25" s="383"/>
      <c r="J25" s="383"/>
      <c r="K25" s="383"/>
      <c r="L25" s="384"/>
      <c r="M25" s="99"/>
      <c r="N25" s="138" t="s">
        <v>83</v>
      </c>
      <c r="O25" s="137" t="e">
        <f>IF(#REF!="Filer",0.5%,2.5%)</f>
        <v>#REF!</v>
      </c>
      <c r="P25" s="140">
        <f>+O16</f>
        <v>404.08002961864406</v>
      </c>
      <c r="R25" s="299">
        <v>23</v>
      </c>
      <c r="S25" s="300" t="str">
        <f>+'23'!A6:A6</f>
        <v>Shehwar Mega Mart</v>
      </c>
      <c r="T25" s="301">
        <f>+'23'!P35</f>
        <v>0</v>
      </c>
    </row>
    <row r="26" spans="1:20" ht="21.75" customHeight="1" thickBot="1" x14ac:dyDescent="0.4">
      <c r="N26" s="346" t="s">
        <v>88</v>
      </c>
      <c r="O26" s="347"/>
      <c r="P26" s="297">
        <f>+P24+P25</f>
        <v>81220.085953347458</v>
      </c>
      <c r="R26" s="299">
        <v>24</v>
      </c>
      <c r="S26" s="300" t="str">
        <f>+'24'!A6:A6</f>
        <v>Shehwar Mega Mart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8"/>
      <c r="D27" s="348"/>
      <c r="E27" s="348"/>
      <c r="F27" s="348"/>
      <c r="G27" s="348"/>
      <c r="H27" s="348"/>
      <c r="I27" s="349"/>
      <c r="J27" s="350"/>
      <c r="K27" s="351"/>
      <c r="R27" s="299">
        <v>25</v>
      </c>
      <c r="S27" s="300" t="str">
        <f>+'25'!A6:A6</f>
        <v>Shehwar Mega Mart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Shehwar Mega Mart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Shehwar Mega Mart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Shehwar Mega Mart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Shehwar Mega Mart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Shehwar Mega Mart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81220.085953347458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2" zoomScale="85" zoomScaleNormal="85" workbookViewId="0">
      <selection activeCell="H15" sqref="H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9" bestFit="1" customWidth="1"/>
    <col min="10" max="11" width="7.90625" bestFit="1" customWidth="1"/>
    <col min="12" max="12" width="4.7265625" bestFit="1" customWidth="1"/>
    <col min="13" max="13" width="6.26953125" bestFit="1" customWidth="1"/>
    <col min="14" max="14" width="11.54296875" style="61" customWidth="1"/>
    <col min="15" max="15" width="6.81640625" bestFit="1" customWidth="1"/>
    <col min="16" max="16" width="9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7.2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120</v>
      </c>
      <c r="I16" s="235">
        <f>(G16*D16)*F16+H16*F16</f>
        <v>6295.5</v>
      </c>
      <c r="J16" s="271">
        <f>$I16*S16</f>
        <v>629.55000000000007</v>
      </c>
      <c r="K16" s="127">
        <f>$I16*T16</f>
        <v>220.34250000000003</v>
      </c>
      <c r="L16" s="118">
        <f>$I16*U16</f>
        <v>0</v>
      </c>
      <c r="M16" s="229">
        <f>I16-SUM(J16:L16)</f>
        <v>5445.6075000000001</v>
      </c>
      <c r="N16" s="248">
        <f>+(G16*D16+H16)*V16</f>
        <v>1189.8305084745757</v>
      </c>
      <c r="O16" s="238">
        <f>(N16+M16)*$O$15</f>
        <v>33.177190042372878</v>
      </c>
      <c r="P16" s="118">
        <f>M16+N16+O16</f>
        <v>6668.6151985169481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160</v>
      </c>
      <c r="I17" s="236">
        <f t="shared" ref="I17:I23" si="0">(G17*D17)*F17+H17*F17</f>
        <v>8394</v>
      </c>
      <c r="J17" s="272">
        <f t="shared" ref="J17:L24" si="1">$I17*S17</f>
        <v>839.40000000000009</v>
      </c>
      <c r="K17" s="128">
        <f>$I17*T17</f>
        <v>293.79000000000002</v>
      </c>
      <c r="L17" s="119">
        <f>$I17*U17</f>
        <v>0</v>
      </c>
      <c r="M17" s="230">
        <f t="shared" ref="M17:M24" si="2">I17-SUM(J17:L17)</f>
        <v>7260.8099999999995</v>
      </c>
      <c r="N17" s="277">
        <f t="shared" ref="N17:N24" si="3">+(G17*D17+H17)*V17</f>
        <v>1586.440677966101</v>
      </c>
      <c r="O17" s="239">
        <f t="shared" ref="O17:O24" si="4">(N17+M17)*$O$15</f>
        <v>44.236253389830502</v>
      </c>
      <c r="P17" s="119">
        <f t="shared" ref="P17:P24" si="5">M17+N17+O17</f>
        <v>8891.4869313559302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240</v>
      </c>
      <c r="I18" s="236">
        <f t="shared" ref="I18:I21" si="7">(G18*D18)*F18+H18*F18</f>
        <v>12591</v>
      </c>
      <c r="J18" s="272">
        <f t="shared" si="1"/>
        <v>1259.1000000000001</v>
      </c>
      <c r="K18" s="128">
        <f t="shared" si="1"/>
        <v>440.68500000000006</v>
      </c>
      <c r="L18" s="119">
        <f t="shared" si="1"/>
        <v>0</v>
      </c>
      <c r="M18" s="230">
        <f t="shared" si="2"/>
        <v>10891.215</v>
      </c>
      <c r="N18" s="277">
        <f t="shared" si="3"/>
        <v>2379.6610169491514</v>
      </c>
      <c r="O18" s="239">
        <f t="shared" si="4"/>
        <v>66.354380084745756</v>
      </c>
      <c r="P18" s="119">
        <f t="shared" si="5"/>
        <v>13337.230397033896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160</v>
      </c>
      <c r="I19" s="236">
        <f t="shared" si="7"/>
        <v>11622.4</v>
      </c>
      <c r="J19" s="272">
        <f t="shared" si="1"/>
        <v>1162.24</v>
      </c>
      <c r="K19" s="128">
        <f t="shared" si="1"/>
        <v>406.78400000000005</v>
      </c>
      <c r="L19" s="119">
        <f t="shared" si="1"/>
        <v>0</v>
      </c>
      <c r="M19" s="230">
        <f t="shared" si="2"/>
        <v>10053.376</v>
      </c>
      <c r="N19" s="277">
        <f t="shared" si="3"/>
        <v>2196.6101694915255</v>
      </c>
      <c r="O19" s="239">
        <f t="shared" si="4"/>
        <v>61.249930847457627</v>
      </c>
      <c r="P19" s="119">
        <f t="shared" si="5"/>
        <v>12311.236100338983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120</v>
      </c>
      <c r="I20" s="236">
        <f t="shared" si="7"/>
        <v>8716.7999999999993</v>
      </c>
      <c r="J20" s="272">
        <f t="shared" si="1"/>
        <v>871.68</v>
      </c>
      <c r="K20" s="128">
        <f t="shared" si="1"/>
        <v>305.08800000000002</v>
      </c>
      <c r="L20" s="119">
        <f t="shared" si="1"/>
        <v>0</v>
      </c>
      <c r="M20" s="230">
        <f t="shared" si="2"/>
        <v>7540.0319999999992</v>
      </c>
      <c r="N20" s="277">
        <f t="shared" si="3"/>
        <v>1647.4576271186443</v>
      </c>
      <c r="O20" s="239">
        <f t="shared" si="4"/>
        <v>45.937448135593222</v>
      </c>
      <c r="P20" s="119">
        <f t="shared" si="5"/>
        <v>9233.4270752542379</v>
      </c>
      <c r="Q20" s="319"/>
      <c r="R20">
        <f>P20/21</f>
        <v>439.68700358353516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400</v>
      </c>
      <c r="I21" s="236">
        <f t="shared" si="7"/>
        <v>29056</v>
      </c>
      <c r="J21" s="272">
        <f t="shared" si="1"/>
        <v>2905.6000000000004</v>
      </c>
      <c r="K21" s="128">
        <f t="shared" si="1"/>
        <v>1016.9600000000002</v>
      </c>
      <c r="L21" s="119">
        <f t="shared" si="1"/>
        <v>0</v>
      </c>
      <c r="M21" s="230">
        <f t="shared" si="2"/>
        <v>25133.439999999999</v>
      </c>
      <c r="N21" s="277">
        <f t="shared" si="3"/>
        <v>5491.5254237288136</v>
      </c>
      <c r="O21" s="239">
        <f t="shared" si="4"/>
        <v>153.12482711864408</v>
      </c>
      <c r="P21" s="119">
        <f t="shared" si="5"/>
        <v>30778.090250847457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" si="8">SUM(G16:G24)</f>
        <v>0</v>
      </c>
      <c r="H25" s="113">
        <f t="shared" ref="H25" si="9">SUM(H16:H24)</f>
        <v>1200</v>
      </c>
      <c r="I25" s="114">
        <f t="shared" ref="I25:M25" si="10">SUM(I16:I24)</f>
        <v>76675.7</v>
      </c>
      <c r="J25" s="274">
        <f>SUM(J16:J24)</f>
        <v>7667.5700000000006</v>
      </c>
      <c r="K25" s="275">
        <f t="shared" si="10"/>
        <v>2683.6495000000004</v>
      </c>
      <c r="L25" s="276">
        <f t="shared" si="10"/>
        <v>0</v>
      </c>
      <c r="M25" s="232">
        <f t="shared" si="10"/>
        <v>66324.480499999991</v>
      </c>
      <c r="N25" s="233">
        <f>SUM(N16:N24)</f>
        <v>14491.52542372881</v>
      </c>
      <c r="O25" s="101">
        <f>SUM(O16:O24)</f>
        <v>404.08002961864406</v>
      </c>
      <c r="P25" s="234">
        <f>SUM(P16:P24)</f>
        <v>81220.085953347443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76675.7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7667.5700000000006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2683.6495000000004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66324.480499999991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14491.52542372881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80816.005923728808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404.08002961864406</v>
      </c>
    </row>
    <row r="35" spans="2:16" ht="15.75" customHeight="1" thickBot="1" x14ac:dyDescent="0.4">
      <c r="N35" s="346" t="s">
        <v>88</v>
      </c>
      <c r="O35" s="347"/>
      <c r="P35" s="297">
        <f>+P33+P34</f>
        <v>81220.085953347458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8.7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'1'!N4:P5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8.7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46286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46285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Jabbar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70" t="s">
        <v>91</v>
      </c>
      <c r="B2" s="370"/>
      <c r="C2" s="370"/>
    </row>
    <row r="3" spans="1:18 16382:16383" ht="15" customHeight="1" x14ac:dyDescent="0.35">
      <c r="A3" s="371" t="s">
        <v>92</v>
      </c>
      <c r="B3" s="371"/>
      <c r="C3" s="371"/>
      <c r="F3" s="85"/>
      <c r="G3" s="1"/>
      <c r="J3" s="372" t="s">
        <v>43</v>
      </c>
      <c r="K3" s="372"/>
      <c r="L3" s="372"/>
      <c r="M3" s="371"/>
      <c r="N3" s="371"/>
      <c r="O3" s="37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1" t="s">
        <v>65</v>
      </c>
      <c r="B4" s="371"/>
      <c r="C4" s="371"/>
      <c r="F4" s="85"/>
      <c r="G4" s="1"/>
      <c r="J4" s="372" t="s">
        <v>44</v>
      </c>
      <c r="K4" s="372"/>
      <c r="L4" s="372"/>
      <c r="M4" s="402">
        <f ca="1">TODAY()+1</f>
        <v>46289</v>
      </c>
      <c r="N4" s="402"/>
      <c r="O4" s="402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72" t="s">
        <v>45</v>
      </c>
      <c r="K5" s="372"/>
      <c r="L5" s="372"/>
      <c r="M5" s="402">
        <f ca="1">M4-1</f>
        <v>46288</v>
      </c>
      <c r="N5" s="371"/>
      <c r="O5" s="371"/>
      <c r="Q5" s="85"/>
      <c r="R5" s="1"/>
    </row>
    <row r="6" spans="1:18 16382:16383" ht="15" customHeight="1" x14ac:dyDescent="0.35">
      <c r="A6" s="372" t="s">
        <v>94</v>
      </c>
      <c r="B6" s="372"/>
      <c r="C6" s="372"/>
      <c r="F6" s="85"/>
      <c r="G6" s="86"/>
      <c r="J6" s="372" t="s">
        <v>69</v>
      </c>
      <c r="K6" s="372"/>
      <c r="L6" s="372"/>
      <c r="M6" s="401" t="s">
        <v>62</v>
      </c>
      <c r="N6" s="401"/>
      <c r="O6" s="401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2" t="s">
        <v>73</v>
      </c>
      <c r="B7" s="372"/>
      <c r="C7" s="372"/>
      <c r="F7" s="85"/>
      <c r="G7" s="86"/>
      <c r="J7" s="372" t="s">
        <v>66</v>
      </c>
      <c r="K7" s="372"/>
      <c r="L7" s="372"/>
      <c r="M7" s="401" t="s">
        <v>70</v>
      </c>
      <c r="N7" s="401"/>
      <c r="O7" s="401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72" t="s">
        <v>67</v>
      </c>
      <c r="K8" s="372"/>
      <c r="L8" s="372"/>
      <c r="M8" s="401" t="s">
        <v>71</v>
      </c>
      <c r="N8" s="401"/>
      <c r="O8" s="401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72" t="s">
        <v>68</v>
      </c>
      <c r="K9" s="372"/>
      <c r="L9" s="372"/>
      <c r="M9" s="401" t="s">
        <v>104</v>
      </c>
      <c r="N9" s="401"/>
      <c r="O9" s="401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72" t="s">
        <v>46</v>
      </c>
      <c r="K10" s="372"/>
      <c r="L10" s="372"/>
      <c r="M10" s="371" t="s">
        <v>47</v>
      </c>
      <c r="N10" s="371"/>
      <c r="O10" s="37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2" t="s">
        <v>48</v>
      </c>
      <c r="K11" s="372"/>
      <c r="L11" s="372"/>
      <c r="M11" s="371" t="s">
        <v>49</v>
      </c>
      <c r="N11" s="371"/>
      <c r="O11" s="37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2" t="s">
        <v>50</v>
      </c>
      <c r="K12" s="372"/>
      <c r="L12" s="372"/>
      <c r="M12" s="371"/>
      <c r="N12" s="371"/>
      <c r="O12" s="37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1" t="s">
        <v>51</v>
      </c>
      <c r="B14" s="363"/>
      <c r="C14" s="393" t="s">
        <v>90</v>
      </c>
      <c r="D14" s="88" t="s">
        <v>52</v>
      </c>
      <c r="E14" s="95" t="s">
        <v>74</v>
      </c>
      <c r="F14" s="115" t="s">
        <v>53</v>
      </c>
      <c r="G14" s="367" t="s">
        <v>54</v>
      </c>
      <c r="H14" s="369"/>
      <c r="I14" s="397" t="s">
        <v>77</v>
      </c>
      <c r="J14" s="368" t="s">
        <v>55</v>
      </c>
      <c r="K14" s="369"/>
      <c r="L14" s="397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2"/>
      <c r="B15" s="364"/>
      <c r="C15" s="394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6"/>
      <c r="J15" s="144" t="s">
        <v>39</v>
      </c>
      <c r="K15" s="145" t="s">
        <v>59</v>
      </c>
      <c r="L15" s="36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8"/>
      <c r="M28" s="385" t="s">
        <v>60</v>
      </c>
      <c r="N28" s="386"/>
      <c r="O28" s="139">
        <f>I25</f>
        <v>1452.8</v>
      </c>
    </row>
    <row r="29" spans="1:18 16383:16383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1"/>
      <c r="M29" s="387" t="s">
        <v>85</v>
      </c>
      <c r="N29" s="388"/>
      <c r="O29" s="140">
        <f>K25</f>
        <v>0</v>
      </c>
    </row>
    <row r="30" spans="1:18 16383:16383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1"/>
      <c r="M30" s="387" t="s">
        <v>86</v>
      </c>
      <c r="N30" s="388"/>
      <c r="O30" s="140">
        <f>J25</f>
        <v>50.848000000000006</v>
      </c>
    </row>
    <row r="31" spans="1:18 16383:16383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1"/>
      <c r="L31" s="131"/>
      <c r="M31" s="387" t="s">
        <v>87</v>
      </c>
      <c r="N31" s="388"/>
      <c r="O31" s="140">
        <f>O28-O29-O30</f>
        <v>1401.952</v>
      </c>
    </row>
    <row r="32" spans="1:18 16383:16383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1"/>
      <c r="L33" s="131"/>
      <c r="M33" s="389" t="s">
        <v>76</v>
      </c>
      <c r="N33" s="390"/>
      <c r="O33" s="140">
        <f>O31+O32</f>
        <v>1710.3814400000001</v>
      </c>
    </row>
    <row r="34" spans="2:15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6" t="s">
        <v>88</v>
      </c>
      <c r="N35" s="347"/>
      <c r="O35" s="141">
        <f>O28-O29+O31+O34</f>
        <v>2897.511536</v>
      </c>
    </row>
    <row r="36" spans="2:15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8" t="s">
        <v>438</v>
      </c>
      <c r="D1" s="405" t="s">
        <v>439</v>
      </c>
      <c r="E1" s="338" t="s">
        <v>58</v>
      </c>
      <c r="F1" s="338"/>
      <c r="G1" s="339" t="s">
        <v>440</v>
      </c>
      <c r="H1" s="339"/>
      <c r="I1" s="412" t="s">
        <v>441</v>
      </c>
      <c r="J1" s="412"/>
      <c r="K1" s="412" t="s">
        <v>442</v>
      </c>
      <c r="L1" s="412"/>
      <c r="M1" s="407" t="s">
        <v>484</v>
      </c>
      <c r="N1" s="408"/>
      <c r="O1" s="409"/>
    </row>
    <row r="2" spans="3:24" ht="29" x14ac:dyDescent="0.35">
      <c r="C2" s="338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10" t="s">
        <v>476</v>
      </c>
      <c r="D6" s="410"/>
      <c r="E6" s="410"/>
      <c r="F6" s="410"/>
      <c r="G6" s="410"/>
      <c r="T6" s="257" t="s">
        <v>487</v>
      </c>
      <c r="U6" s="257" t="s">
        <v>488</v>
      </c>
    </row>
    <row r="7" spans="3:24" ht="14.5" customHeight="1" x14ac:dyDescent="0.35">
      <c r="C7" s="333" t="s">
        <v>438</v>
      </c>
      <c r="D7" s="337" t="s">
        <v>439</v>
      </c>
      <c r="E7" s="406" t="s">
        <v>58</v>
      </c>
      <c r="F7" s="406"/>
      <c r="G7" s="404" t="s">
        <v>440</v>
      </c>
      <c r="H7" s="339"/>
      <c r="I7" s="340" t="s">
        <v>441</v>
      </c>
      <c r="J7" s="341"/>
      <c r="K7" s="340" t="s">
        <v>442</v>
      </c>
      <c r="L7" s="341"/>
      <c r="M7" s="407" t="s">
        <v>484</v>
      </c>
      <c r="N7" s="408"/>
      <c r="O7" s="409"/>
      <c r="P7" s="256" t="s">
        <v>475</v>
      </c>
      <c r="Q7" s="242" t="s">
        <v>473</v>
      </c>
      <c r="R7" s="405" t="s">
        <v>475</v>
      </c>
      <c r="S7" s="405" t="s">
        <v>485</v>
      </c>
      <c r="T7" s="403" t="s">
        <v>486</v>
      </c>
      <c r="U7" s="403" t="s">
        <v>486</v>
      </c>
    </row>
    <row r="8" spans="3:24" ht="15" customHeight="1" thickBot="1" x14ac:dyDescent="0.4">
      <c r="C8" s="335"/>
      <c r="D8" s="337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04"/>
      <c r="U8" s="404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1" t="s">
        <v>477</v>
      </c>
      <c r="D12" s="411"/>
      <c r="E12" s="411"/>
      <c r="F12" s="411"/>
      <c r="G12" s="411"/>
    </row>
    <row r="13" spans="3:24" x14ac:dyDescent="0.35">
      <c r="C13" s="334" t="s">
        <v>438</v>
      </c>
      <c r="D13" s="336" t="s">
        <v>439</v>
      </c>
      <c r="E13" s="338" t="s">
        <v>58</v>
      </c>
      <c r="F13" s="338"/>
      <c r="G13" s="339" t="s">
        <v>440</v>
      </c>
      <c r="H13" s="339"/>
      <c r="I13" s="340" t="s">
        <v>441</v>
      </c>
      <c r="J13" s="341"/>
      <c r="K13" s="340" t="s">
        <v>442</v>
      </c>
      <c r="L13" s="341"/>
      <c r="M13" s="407" t="s">
        <v>484</v>
      </c>
      <c r="N13" s="408"/>
      <c r="O13" s="409"/>
      <c r="P13" s="256" t="s">
        <v>475</v>
      </c>
      <c r="Q13" s="242" t="s">
        <v>473</v>
      </c>
      <c r="R13" s="405" t="s">
        <v>475</v>
      </c>
      <c r="S13" s="405" t="s">
        <v>485</v>
      </c>
      <c r="T13" s="403" t="s">
        <v>486</v>
      </c>
      <c r="U13" s="403" t="s">
        <v>486</v>
      </c>
    </row>
    <row r="14" spans="3:24" ht="29.5" thickBot="1" x14ac:dyDescent="0.4">
      <c r="C14" s="335"/>
      <c r="D14" s="337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04"/>
      <c r="U14" s="404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10" t="s">
        <v>478</v>
      </c>
      <c r="D19" s="410"/>
      <c r="E19" s="410"/>
      <c r="F19" s="410"/>
      <c r="G19" s="410"/>
    </row>
    <row r="20" spans="3:21" x14ac:dyDescent="0.35">
      <c r="C20" s="334" t="s">
        <v>438</v>
      </c>
      <c r="D20" s="336" t="s">
        <v>439</v>
      </c>
      <c r="E20" s="338" t="s">
        <v>58</v>
      </c>
      <c r="F20" s="338"/>
      <c r="G20" s="339" t="s">
        <v>440</v>
      </c>
      <c r="H20" s="339"/>
      <c r="I20" s="340" t="s">
        <v>441</v>
      </c>
      <c r="J20" s="341"/>
      <c r="K20" s="340" t="s">
        <v>442</v>
      </c>
      <c r="L20" s="341"/>
      <c r="M20" s="407" t="s">
        <v>484</v>
      </c>
      <c r="N20" s="408"/>
      <c r="O20" s="409"/>
      <c r="P20" s="256" t="s">
        <v>475</v>
      </c>
      <c r="Q20" s="242" t="s">
        <v>473</v>
      </c>
      <c r="R20" s="405" t="s">
        <v>475</v>
      </c>
      <c r="S20" s="405" t="s">
        <v>485</v>
      </c>
      <c r="T20" s="403" t="s">
        <v>486</v>
      </c>
      <c r="U20" s="403" t="s">
        <v>486</v>
      </c>
    </row>
    <row r="21" spans="3:21" ht="29.5" thickBot="1" x14ac:dyDescent="0.4">
      <c r="C21" s="335"/>
      <c r="D21" s="337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04"/>
      <c r="U21" s="404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10" t="s">
        <v>479</v>
      </c>
      <c r="D26" s="410"/>
      <c r="E26" s="410"/>
      <c r="F26" s="410"/>
      <c r="G26" s="410"/>
    </row>
    <row r="27" spans="3:21" x14ac:dyDescent="0.35">
      <c r="C27" s="334" t="s">
        <v>438</v>
      </c>
      <c r="D27" s="336" t="s">
        <v>439</v>
      </c>
      <c r="E27" s="338" t="s">
        <v>58</v>
      </c>
      <c r="F27" s="338"/>
      <c r="G27" s="339" t="s">
        <v>440</v>
      </c>
      <c r="H27" s="339"/>
      <c r="I27" s="340" t="s">
        <v>441</v>
      </c>
      <c r="J27" s="341"/>
      <c r="K27" s="340" t="s">
        <v>442</v>
      </c>
      <c r="L27" s="341"/>
      <c r="M27" s="407" t="s">
        <v>484</v>
      </c>
      <c r="N27" s="408"/>
      <c r="O27" s="409"/>
      <c r="P27" s="256" t="s">
        <v>475</v>
      </c>
      <c r="Q27" s="242" t="s">
        <v>473</v>
      </c>
      <c r="R27" s="405" t="s">
        <v>475</v>
      </c>
      <c r="S27" s="405" t="s">
        <v>485</v>
      </c>
      <c r="T27" s="403" t="s">
        <v>486</v>
      </c>
      <c r="U27" s="403" t="s">
        <v>486</v>
      </c>
    </row>
    <row r="28" spans="3:21" ht="29.5" thickBot="1" x14ac:dyDescent="0.4">
      <c r="C28" s="335"/>
      <c r="D28" s="337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04"/>
      <c r="U28" s="404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8" t="s">
        <v>438</v>
      </c>
      <c r="C1" s="405" t="s">
        <v>439</v>
      </c>
      <c r="D1" s="338" t="s">
        <v>58</v>
      </c>
      <c r="E1" s="338"/>
      <c r="F1" s="339" t="s">
        <v>440</v>
      </c>
      <c r="G1" s="339"/>
      <c r="H1" s="412" t="s">
        <v>441</v>
      </c>
      <c r="I1" s="412"/>
      <c r="J1" s="412" t="s">
        <v>442</v>
      </c>
      <c r="K1" s="412"/>
      <c r="L1" s="407" t="s">
        <v>484</v>
      </c>
      <c r="M1" s="408"/>
      <c r="N1" s="409"/>
    </row>
    <row r="2" spans="2:17" ht="29" x14ac:dyDescent="0.35">
      <c r="B2" s="338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5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3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3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3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3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3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3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3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3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3"/>
      <c r="G14" s="154" t="s">
        <v>135</v>
      </c>
      <c r="H14" s="152" t="s">
        <v>101</v>
      </c>
    </row>
    <row r="15" spans="1:8" x14ac:dyDescent="0.35">
      <c r="E15" s="153" t="s">
        <v>130</v>
      </c>
      <c r="F15" s="413"/>
      <c r="G15" s="154" t="s">
        <v>136</v>
      </c>
      <c r="H15" s="152" t="s">
        <v>102</v>
      </c>
    </row>
    <row r="16" spans="1:8" x14ac:dyDescent="0.35">
      <c r="E16" s="153" t="s">
        <v>130</v>
      </c>
      <c r="F16" s="413"/>
      <c r="G16" s="151" t="s">
        <v>137</v>
      </c>
      <c r="H16" s="152" t="s">
        <v>103</v>
      </c>
    </row>
    <row r="17" spans="5:8" x14ac:dyDescent="0.35">
      <c r="E17" s="153" t="s">
        <v>138</v>
      </c>
      <c r="F17" s="413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3"/>
      <c r="G18" s="156" t="s">
        <v>141</v>
      </c>
      <c r="H18" s="152" t="s">
        <v>100</v>
      </c>
    </row>
    <row r="19" spans="5:8" x14ac:dyDescent="0.35">
      <c r="E19" s="153" t="s">
        <v>138</v>
      </c>
      <c r="F19" s="413"/>
      <c r="G19" s="156" t="s">
        <v>142</v>
      </c>
      <c r="H19" s="152" t="s">
        <v>98</v>
      </c>
    </row>
    <row r="20" spans="5:8" x14ac:dyDescent="0.35">
      <c r="E20" s="153" t="s">
        <v>138</v>
      </c>
      <c r="F20" s="413"/>
      <c r="G20" s="155" t="s">
        <v>143</v>
      </c>
      <c r="H20" s="152" t="s">
        <v>101</v>
      </c>
    </row>
    <row r="21" spans="5:8" x14ac:dyDescent="0.35">
      <c r="E21" s="153" t="s">
        <v>138</v>
      </c>
      <c r="F21" s="413"/>
      <c r="G21" s="155" t="s">
        <v>144</v>
      </c>
      <c r="H21" s="152" t="s">
        <v>102</v>
      </c>
    </row>
    <row r="22" spans="5:8" x14ac:dyDescent="0.35">
      <c r="E22" s="153" t="s">
        <v>138</v>
      </c>
      <c r="F22" s="413"/>
      <c r="G22" s="155" t="s">
        <v>145</v>
      </c>
      <c r="H22" s="152" t="s">
        <v>103</v>
      </c>
    </row>
    <row r="23" spans="5:8" x14ac:dyDescent="0.35">
      <c r="E23" s="153" t="s">
        <v>146</v>
      </c>
      <c r="F23" s="413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3"/>
      <c r="G24" s="155" t="s">
        <v>147</v>
      </c>
      <c r="H24" s="152" t="s">
        <v>100</v>
      </c>
    </row>
    <row r="25" spans="5:8" x14ac:dyDescent="0.35">
      <c r="E25" s="153" t="s">
        <v>146</v>
      </c>
      <c r="F25" s="413"/>
      <c r="G25" s="155" t="s">
        <v>149</v>
      </c>
      <c r="H25" s="152" t="s">
        <v>98</v>
      </c>
    </row>
    <row r="26" spans="5:8" x14ac:dyDescent="0.35">
      <c r="E26" s="153" t="s">
        <v>146</v>
      </c>
      <c r="F26" s="413"/>
      <c r="G26" s="155" t="s">
        <v>150</v>
      </c>
      <c r="H26" s="152" t="s">
        <v>101</v>
      </c>
    </row>
    <row r="27" spans="5:8" x14ac:dyDescent="0.35">
      <c r="E27" s="153" t="s">
        <v>146</v>
      </c>
      <c r="F27" s="413"/>
      <c r="G27" s="155" t="s">
        <v>151</v>
      </c>
      <c r="H27" s="152" t="s">
        <v>102</v>
      </c>
    </row>
    <row r="28" spans="5:8" x14ac:dyDescent="0.35">
      <c r="E28" s="153" t="s">
        <v>146</v>
      </c>
      <c r="F28" s="413"/>
      <c r="G28" s="155" t="s">
        <v>152</v>
      </c>
      <c r="H28" s="152" t="s">
        <v>103</v>
      </c>
    </row>
    <row r="29" spans="5:8" x14ac:dyDescent="0.35">
      <c r="E29" s="153" t="s">
        <v>153</v>
      </c>
      <c r="F29" s="413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3"/>
      <c r="G30" s="155" t="s">
        <v>156</v>
      </c>
      <c r="H30" s="152" t="s">
        <v>100</v>
      </c>
    </row>
    <row r="31" spans="5:8" x14ac:dyDescent="0.35">
      <c r="E31" s="153" t="s">
        <v>153</v>
      </c>
      <c r="F31" s="413"/>
      <c r="G31" s="155" t="s">
        <v>157</v>
      </c>
      <c r="H31" s="152" t="s">
        <v>98</v>
      </c>
    </row>
    <row r="32" spans="5:8" x14ac:dyDescent="0.35">
      <c r="E32" s="153" t="s">
        <v>153</v>
      </c>
      <c r="F32" s="413"/>
      <c r="G32" s="155" t="s">
        <v>158</v>
      </c>
      <c r="H32" s="152" t="s">
        <v>101</v>
      </c>
    </row>
    <row r="33" spans="5:8" x14ac:dyDescent="0.35">
      <c r="E33" s="153" t="s">
        <v>153</v>
      </c>
      <c r="F33" s="413"/>
      <c r="G33" s="155" t="s">
        <v>159</v>
      </c>
      <c r="H33" s="152" t="s">
        <v>102</v>
      </c>
    </row>
    <row r="34" spans="5:8" x14ac:dyDescent="0.35">
      <c r="E34" s="153" t="s">
        <v>153</v>
      </c>
      <c r="F34" s="413"/>
      <c r="G34" s="155" t="s">
        <v>160</v>
      </c>
      <c r="H34" s="152" t="s">
        <v>103</v>
      </c>
    </row>
    <row r="35" spans="5:8" x14ac:dyDescent="0.35">
      <c r="E35" s="153" t="s">
        <v>161</v>
      </c>
      <c r="F35" s="413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3"/>
      <c r="G36" s="154" t="s">
        <v>163</v>
      </c>
      <c r="H36" s="152" t="s">
        <v>100</v>
      </c>
    </row>
    <row r="37" spans="5:8" x14ac:dyDescent="0.35">
      <c r="E37" s="153" t="s">
        <v>161</v>
      </c>
      <c r="F37" s="413"/>
      <c r="G37" s="154" t="s">
        <v>164</v>
      </c>
      <c r="H37" s="152" t="s">
        <v>98</v>
      </c>
    </row>
    <row r="38" spans="5:8" x14ac:dyDescent="0.35">
      <c r="E38" s="153" t="s">
        <v>161</v>
      </c>
      <c r="F38" s="413"/>
      <c r="G38" s="154" t="s">
        <v>165</v>
      </c>
      <c r="H38" s="152" t="s">
        <v>101</v>
      </c>
    </row>
    <row r="39" spans="5:8" x14ac:dyDescent="0.35">
      <c r="E39" s="153" t="s">
        <v>161</v>
      </c>
      <c r="F39" s="413"/>
      <c r="G39" s="158" t="s">
        <v>166</v>
      </c>
      <c r="H39" s="152" t="s">
        <v>102</v>
      </c>
    </row>
    <row r="40" spans="5:8" x14ac:dyDescent="0.35">
      <c r="E40" s="153" t="s">
        <v>161</v>
      </c>
      <c r="F40" s="413"/>
      <c r="G40" s="154" t="s">
        <v>167</v>
      </c>
      <c r="H40" s="152" t="s">
        <v>103</v>
      </c>
    </row>
    <row r="41" spans="5:8" x14ac:dyDescent="0.35">
      <c r="E41" s="153" t="s">
        <v>168</v>
      </c>
      <c r="F41" s="413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3"/>
      <c r="G42" s="154" t="s">
        <v>171</v>
      </c>
      <c r="H42" s="152" t="s">
        <v>100</v>
      </c>
    </row>
    <row r="43" spans="5:8" x14ac:dyDescent="0.35">
      <c r="E43" s="153" t="s">
        <v>168</v>
      </c>
      <c r="F43" s="413"/>
      <c r="G43" s="154" t="s">
        <v>172</v>
      </c>
      <c r="H43" s="152" t="s">
        <v>98</v>
      </c>
    </row>
    <row r="44" spans="5:8" x14ac:dyDescent="0.35">
      <c r="E44" s="153" t="s">
        <v>168</v>
      </c>
      <c r="F44" s="413"/>
      <c r="G44" s="154" t="s">
        <v>173</v>
      </c>
      <c r="H44" s="152" t="s">
        <v>101</v>
      </c>
    </row>
    <row r="45" spans="5:8" x14ac:dyDescent="0.35">
      <c r="E45" s="153" t="s">
        <v>168</v>
      </c>
      <c r="F45" s="413"/>
      <c r="G45" s="154" t="s">
        <v>174</v>
      </c>
      <c r="H45" s="152" t="s">
        <v>102</v>
      </c>
    </row>
    <row r="46" spans="5:8" x14ac:dyDescent="0.35">
      <c r="E46" s="153" t="s">
        <v>168</v>
      </c>
      <c r="F46" s="413"/>
      <c r="G46" s="154" t="s">
        <v>175</v>
      </c>
      <c r="H46" s="152" t="s">
        <v>103</v>
      </c>
    </row>
    <row r="47" spans="5:8" x14ac:dyDescent="0.35">
      <c r="E47" s="153" t="s">
        <v>176</v>
      </c>
      <c r="F47" s="413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3"/>
      <c r="G48" s="154" t="s">
        <v>179</v>
      </c>
      <c r="H48" s="152" t="s">
        <v>100</v>
      </c>
    </row>
    <row r="49" spans="5:8" x14ac:dyDescent="0.35">
      <c r="E49" s="153" t="s">
        <v>176</v>
      </c>
      <c r="F49" s="413"/>
      <c r="G49" s="154" t="s">
        <v>180</v>
      </c>
      <c r="H49" s="152" t="s">
        <v>98</v>
      </c>
    </row>
    <row r="50" spans="5:8" x14ac:dyDescent="0.35">
      <c r="E50" s="153" t="s">
        <v>176</v>
      </c>
      <c r="F50" s="413"/>
      <c r="G50" s="154" t="s">
        <v>181</v>
      </c>
      <c r="H50" s="152" t="s">
        <v>101</v>
      </c>
    </row>
    <row r="51" spans="5:8" x14ac:dyDescent="0.35">
      <c r="E51" s="153" t="s">
        <v>176</v>
      </c>
      <c r="F51" s="413"/>
      <c r="G51" s="154" t="s">
        <v>182</v>
      </c>
      <c r="H51" s="152" t="s">
        <v>102</v>
      </c>
    </row>
    <row r="52" spans="5:8" x14ac:dyDescent="0.35">
      <c r="E52" s="153" t="s">
        <v>176</v>
      </c>
      <c r="F52" s="413"/>
      <c r="G52" s="158" t="s">
        <v>183</v>
      </c>
      <c r="H52" s="152" t="s">
        <v>103</v>
      </c>
    </row>
    <row r="53" spans="5:8" x14ac:dyDescent="0.35">
      <c r="E53" s="153" t="s">
        <v>184</v>
      </c>
      <c r="F53" s="413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3"/>
      <c r="G54" s="154" t="s">
        <v>187</v>
      </c>
      <c r="H54" s="152" t="s">
        <v>100</v>
      </c>
    </row>
    <row r="55" spans="5:8" x14ac:dyDescent="0.35">
      <c r="E55" s="153" t="s">
        <v>184</v>
      </c>
      <c r="F55" s="413"/>
      <c r="G55" s="154" t="s">
        <v>188</v>
      </c>
      <c r="H55" s="152" t="s">
        <v>98</v>
      </c>
    </row>
    <row r="56" spans="5:8" x14ac:dyDescent="0.35">
      <c r="E56" s="153" t="s">
        <v>184</v>
      </c>
      <c r="F56" s="413"/>
      <c r="G56" s="154" t="s">
        <v>189</v>
      </c>
      <c r="H56" s="152" t="s">
        <v>101</v>
      </c>
    </row>
    <row r="57" spans="5:8" x14ac:dyDescent="0.35">
      <c r="E57" s="153" t="s">
        <v>184</v>
      </c>
      <c r="F57" s="413"/>
      <c r="G57" s="154" t="s">
        <v>190</v>
      </c>
      <c r="H57" s="152" t="s">
        <v>102</v>
      </c>
    </row>
    <row r="58" spans="5:8" x14ac:dyDescent="0.35">
      <c r="E58" s="153" t="s">
        <v>184</v>
      </c>
      <c r="F58" s="413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3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3"/>
      <c r="G66" s="151" t="s">
        <v>203</v>
      </c>
      <c r="H66" s="152" t="s">
        <v>100</v>
      </c>
    </row>
    <row r="67" spans="5:8" x14ac:dyDescent="0.35">
      <c r="E67" s="148" t="s">
        <v>200</v>
      </c>
      <c r="F67" s="413"/>
      <c r="G67" s="151" t="s">
        <v>204</v>
      </c>
      <c r="H67" s="152" t="s">
        <v>98</v>
      </c>
    </row>
    <row r="68" spans="5:8" x14ac:dyDescent="0.35">
      <c r="E68" s="148" t="s">
        <v>200</v>
      </c>
      <c r="F68" s="413"/>
      <c r="G68" s="151" t="s">
        <v>201</v>
      </c>
      <c r="H68" s="152" t="s">
        <v>101</v>
      </c>
    </row>
    <row r="69" spans="5:8" x14ac:dyDescent="0.35">
      <c r="E69" s="148" t="s">
        <v>200</v>
      </c>
      <c r="F69" s="413"/>
      <c r="G69" s="151" t="s">
        <v>205</v>
      </c>
      <c r="H69" s="152" t="s">
        <v>102</v>
      </c>
    </row>
    <row r="70" spans="5:8" x14ac:dyDescent="0.35">
      <c r="E70" s="148" t="s">
        <v>200</v>
      </c>
      <c r="F70" s="413"/>
      <c r="G70" s="151" t="s">
        <v>206</v>
      </c>
      <c r="H70" s="152" t="s">
        <v>103</v>
      </c>
    </row>
    <row r="71" spans="5:8" x14ac:dyDescent="0.35">
      <c r="E71" s="153" t="s">
        <v>207</v>
      </c>
      <c r="F71" s="413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3"/>
      <c r="G72" s="154" t="s">
        <v>210</v>
      </c>
      <c r="H72" s="152" t="s">
        <v>100</v>
      </c>
    </row>
    <row r="73" spans="5:8" x14ac:dyDescent="0.35">
      <c r="E73" s="153" t="s">
        <v>207</v>
      </c>
      <c r="F73" s="413"/>
      <c r="G73" s="154" t="s">
        <v>211</v>
      </c>
      <c r="H73" s="152" t="s">
        <v>98</v>
      </c>
    </row>
    <row r="74" spans="5:8" x14ac:dyDescent="0.35">
      <c r="E74" s="153" t="s">
        <v>207</v>
      </c>
      <c r="F74" s="413"/>
      <c r="G74" s="154" t="s">
        <v>212</v>
      </c>
      <c r="H74" s="152" t="s">
        <v>101</v>
      </c>
    </row>
    <row r="75" spans="5:8" x14ac:dyDescent="0.35">
      <c r="E75" s="153" t="s">
        <v>207</v>
      </c>
      <c r="F75" s="413"/>
      <c r="G75" s="154" t="s">
        <v>213</v>
      </c>
      <c r="H75" s="152" t="s">
        <v>102</v>
      </c>
    </row>
    <row r="76" spans="5:8" x14ac:dyDescent="0.35">
      <c r="E76" s="153" t="s">
        <v>207</v>
      </c>
      <c r="F76" s="413"/>
      <c r="G76" s="151" t="s">
        <v>214</v>
      </c>
      <c r="H76" s="152" t="s">
        <v>103</v>
      </c>
    </row>
    <row r="77" spans="5:8" x14ac:dyDescent="0.35">
      <c r="E77" s="153" t="s">
        <v>215</v>
      </c>
      <c r="F77" s="413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3"/>
      <c r="G78" s="154" t="s">
        <v>218</v>
      </c>
      <c r="H78" s="152" t="s">
        <v>100</v>
      </c>
    </row>
    <row r="79" spans="5:8" x14ac:dyDescent="0.35">
      <c r="E79" s="153" t="s">
        <v>215</v>
      </c>
      <c r="F79" s="413"/>
      <c r="G79" s="154" t="s">
        <v>219</v>
      </c>
      <c r="H79" s="152" t="s">
        <v>98</v>
      </c>
    </row>
    <row r="80" spans="5:8" x14ac:dyDescent="0.35">
      <c r="E80" s="153" t="s">
        <v>215</v>
      </c>
      <c r="F80" s="413"/>
      <c r="G80" s="154" t="s">
        <v>220</v>
      </c>
      <c r="H80" s="152" t="s">
        <v>101</v>
      </c>
    </row>
    <row r="81" spans="5:8" x14ac:dyDescent="0.35">
      <c r="E81" s="153" t="s">
        <v>215</v>
      </c>
      <c r="F81" s="413"/>
      <c r="G81" s="154" t="s">
        <v>221</v>
      </c>
      <c r="H81" s="152" t="s">
        <v>102</v>
      </c>
    </row>
    <row r="82" spans="5:8" x14ac:dyDescent="0.35">
      <c r="E82" s="153" t="s">
        <v>215</v>
      </c>
      <c r="F82" s="413"/>
      <c r="G82" s="151" t="s">
        <v>222</v>
      </c>
      <c r="H82" s="152" t="s">
        <v>103</v>
      </c>
    </row>
    <row r="83" spans="5:8" x14ac:dyDescent="0.35">
      <c r="E83" s="153" t="s">
        <v>223</v>
      </c>
      <c r="F83" s="413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3"/>
      <c r="G84" s="154" t="s">
        <v>226</v>
      </c>
      <c r="H84" s="152" t="s">
        <v>100</v>
      </c>
    </row>
    <row r="85" spans="5:8" x14ac:dyDescent="0.35">
      <c r="E85" s="153" t="s">
        <v>223</v>
      </c>
      <c r="F85" s="413"/>
      <c r="G85" s="154" t="s">
        <v>227</v>
      </c>
      <c r="H85" s="152" t="s">
        <v>98</v>
      </c>
    </row>
    <row r="86" spans="5:8" x14ac:dyDescent="0.35">
      <c r="E86" s="153" t="s">
        <v>223</v>
      </c>
      <c r="F86" s="413"/>
      <c r="G86" s="154" t="s">
        <v>228</v>
      </c>
      <c r="H86" s="152" t="s">
        <v>101</v>
      </c>
    </row>
    <row r="87" spans="5:8" x14ac:dyDescent="0.35">
      <c r="E87" s="153" t="s">
        <v>223</v>
      </c>
      <c r="F87" s="413"/>
      <c r="G87" s="154" t="s">
        <v>229</v>
      </c>
      <c r="H87" s="152" t="s">
        <v>102</v>
      </c>
    </row>
    <row r="88" spans="5:8" x14ac:dyDescent="0.35">
      <c r="E88" s="153" t="s">
        <v>223</v>
      </c>
      <c r="F88" s="413"/>
      <c r="G88" s="151" t="s">
        <v>230</v>
      </c>
      <c r="H88" s="152" t="s">
        <v>103</v>
      </c>
    </row>
    <row r="89" spans="5:8" x14ac:dyDescent="0.35">
      <c r="E89" s="153" t="s">
        <v>231</v>
      </c>
      <c r="F89" s="413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3"/>
      <c r="G90" s="154" t="s">
        <v>234</v>
      </c>
      <c r="H90" s="152" t="s">
        <v>100</v>
      </c>
    </row>
    <row r="91" spans="5:8" x14ac:dyDescent="0.35">
      <c r="E91" s="153" t="s">
        <v>231</v>
      </c>
      <c r="F91" s="413"/>
      <c r="G91" s="154" t="s">
        <v>235</v>
      </c>
      <c r="H91" s="152" t="s">
        <v>98</v>
      </c>
    </row>
    <row r="92" spans="5:8" x14ac:dyDescent="0.35">
      <c r="E92" s="153" t="s">
        <v>231</v>
      </c>
      <c r="F92" s="413"/>
      <c r="G92" s="154" t="s">
        <v>236</v>
      </c>
      <c r="H92" s="152" t="s">
        <v>101</v>
      </c>
    </row>
    <row r="93" spans="5:8" x14ac:dyDescent="0.35">
      <c r="E93" s="153" t="s">
        <v>231</v>
      </c>
      <c r="F93" s="413"/>
      <c r="G93" s="154" t="s">
        <v>232</v>
      </c>
      <c r="H93" s="152" t="s">
        <v>102</v>
      </c>
    </row>
    <row r="94" spans="5:8" x14ac:dyDescent="0.35">
      <c r="E94" s="153" t="s">
        <v>231</v>
      </c>
      <c r="F94" s="413"/>
      <c r="G94" s="158" t="s">
        <v>237</v>
      </c>
      <c r="H94" s="152" t="s">
        <v>103</v>
      </c>
    </row>
    <row r="95" spans="5:8" x14ac:dyDescent="0.35">
      <c r="E95" s="153" t="s">
        <v>238</v>
      </c>
      <c r="F95" s="413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3"/>
      <c r="G96" s="154" t="s">
        <v>241</v>
      </c>
      <c r="H96" s="152" t="s">
        <v>100</v>
      </c>
    </row>
    <row r="97" spans="5:8" x14ac:dyDescent="0.35">
      <c r="E97" s="153" t="s">
        <v>238</v>
      </c>
      <c r="F97" s="413"/>
      <c r="G97" s="154" t="s">
        <v>242</v>
      </c>
      <c r="H97" s="152" t="s">
        <v>98</v>
      </c>
    </row>
    <row r="98" spans="5:8" x14ac:dyDescent="0.35">
      <c r="E98" s="153" t="s">
        <v>238</v>
      </c>
      <c r="F98" s="413"/>
      <c r="G98" s="154" t="s">
        <v>243</v>
      </c>
      <c r="H98" s="152" t="s">
        <v>101</v>
      </c>
    </row>
    <row r="99" spans="5:8" x14ac:dyDescent="0.35">
      <c r="E99" s="153" t="s">
        <v>238</v>
      </c>
      <c r="F99" s="413"/>
      <c r="G99" s="158" t="s">
        <v>244</v>
      </c>
      <c r="H99" s="152" t="s">
        <v>102</v>
      </c>
    </row>
    <row r="100" spans="5:8" x14ac:dyDescent="0.35">
      <c r="E100" s="153" t="s">
        <v>238</v>
      </c>
      <c r="F100" s="413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3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3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3"/>
      <c r="G103" s="154" t="s">
        <v>249</v>
      </c>
      <c r="H103" s="152" t="s">
        <v>98</v>
      </c>
    </row>
    <row r="104" spans="5:8" x14ac:dyDescent="0.35">
      <c r="E104" s="153" t="s">
        <v>246</v>
      </c>
      <c r="F104" s="413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3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3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3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3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3"/>
      <c r="G109" s="154" t="s">
        <v>257</v>
      </c>
      <c r="H109" s="152" t="s">
        <v>98</v>
      </c>
    </row>
    <row r="110" spans="5:8" x14ac:dyDescent="0.35">
      <c r="E110" s="153" t="s">
        <v>253</v>
      </c>
      <c r="F110" s="413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3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3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3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3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3"/>
      <c r="G115" s="154" t="s">
        <v>265</v>
      </c>
      <c r="H115" s="152" t="s">
        <v>98</v>
      </c>
    </row>
    <row r="116" spans="5:8" x14ac:dyDescent="0.35">
      <c r="E116" s="153" t="s">
        <v>261</v>
      </c>
      <c r="F116" s="413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3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3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3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3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3"/>
      <c r="G127" s="151" t="s">
        <v>282</v>
      </c>
      <c r="H127" s="152" t="s">
        <v>98</v>
      </c>
    </row>
    <row r="128" spans="5:8" x14ac:dyDescent="0.35">
      <c r="E128" s="148" t="s">
        <v>277</v>
      </c>
      <c r="F128" s="413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3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3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3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3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3"/>
      <c r="G133" s="154" t="s">
        <v>290</v>
      </c>
      <c r="H133" s="152" t="s">
        <v>98</v>
      </c>
    </row>
    <row r="134" spans="5:8" x14ac:dyDescent="0.35">
      <c r="E134" s="153" t="s">
        <v>289</v>
      </c>
      <c r="F134" s="413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3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3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3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3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3"/>
      <c r="G139" s="154" t="s">
        <v>299</v>
      </c>
      <c r="H139" s="152" t="s">
        <v>98</v>
      </c>
    </row>
    <row r="140" spans="5:8" x14ac:dyDescent="0.35">
      <c r="E140" s="153" t="s">
        <v>297</v>
      </c>
      <c r="F140" s="413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3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3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3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3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3"/>
      <c r="G145" s="154" t="s">
        <v>307</v>
      </c>
      <c r="H145" s="152" t="s">
        <v>98</v>
      </c>
    </row>
    <row r="146" spans="5:8" x14ac:dyDescent="0.35">
      <c r="E146" s="153" t="s">
        <v>303</v>
      </c>
      <c r="F146" s="413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3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3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3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3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3"/>
      <c r="G151" s="154" t="s">
        <v>316</v>
      </c>
      <c r="H151" s="152" t="s">
        <v>98</v>
      </c>
    </row>
    <row r="152" spans="5:8" x14ac:dyDescent="0.35">
      <c r="E152" s="153" t="s">
        <v>315</v>
      </c>
      <c r="F152" s="413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3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3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3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3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3"/>
      <c r="G157" s="154" t="s">
        <v>325</v>
      </c>
      <c r="H157" s="152" t="s">
        <v>98</v>
      </c>
    </row>
    <row r="158" spans="5:8" x14ac:dyDescent="0.35">
      <c r="E158" s="153" t="s">
        <v>320</v>
      </c>
      <c r="F158" s="413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3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3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3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3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3"/>
      <c r="G163" s="154" t="s">
        <v>333</v>
      </c>
      <c r="H163" s="152" t="s">
        <v>98</v>
      </c>
    </row>
    <row r="164" spans="5:8" x14ac:dyDescent="0.35">
      <c r="E164" s="153" t="s">
        <v>328</v>
      </c>
      <c r="F164" s="413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3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3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3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3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3"/>
      <c r="G169" s="154" t="s">
        <v>340</v>
      </c>
      <c r="H169" s="152" t="s">
        <v>98</v>
      </c>
    </row>
    <row r="170" spans="5:8" x14ac:dyDescent="0.35">
      <c r="E170" s="153" t="s">
        <v>338</v>
      </c>
      <c r="F170" s="413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3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3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3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3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3"/>
      <c r="G175" s="154" t="s">
        <v>348</v>
      </c>
      <c r="H175" s="152" t="s">
        <v>98</v>
      </c>
    </row>
    <row r="176" spans="5:8" x14ac:dyDescent="0.35">
      <c r="E176" s="153" t="s">
        <v>344</v>
      </c>
      <c r="F176" s="413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3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3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3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3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3"/>
      <c r="G181" s="154" t="s">
        <v>356</v>
      </c>
      <c r="H181" s="152" t="s">
        <v>98</v>
      </c>
    </row>
    <row r="182" spans="5:8" x14ac:dyDescent="0.35">
      <c r="E182" s="156" t="s">
        <v>352</v>
      </c>
      <c r="F182" s="413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3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3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3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3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3"/>
      <c r="G187" s="151" t="s">
        <v>364</v>
      </c>
      <c r="H187" s="152" t="s">
        <v>98</v>
      </c>
    </row>
    <row r="188" spans="5:8" x14ac:dyDescent="0.35">
      <c r="E188" s="148" t="s">
        <v>360</v>
      </c>
      <c r="F188" s="413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3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3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3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3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3"/>
      <c r="G193" s="154" t="s">
        <v>371</v>
      </c>
      <c r="H193" s="152" t="s">
        <v>98</v>
      </c>
    </row>
    <row r="194" spans="5:8" x14ac:dyDescent="0.35">
      <c r="E194" s="153" t="s">
        <v>368</v>
      </c>
      <c r="F194" s="413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3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3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3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3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3"/>
      <c r="G199" s="154" t="s">
        <v>379</v>
      </c>
      <c r="H199" s="152" t="s">
        <v>98</v>
      </c>
    </row>
    <row r="200" spans="5:8" x14ac:dyDescent="0.35">
      <c r="E200" s="153" t="s">
        <v>375</v>
      </c>
      <c r="F200" s="413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3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3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3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3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3"/>
      <c r="G205" s="154" t="s">
        <v>384</v>
      </c>
      <c r="H205" s="152" t="s">
        <v>98</v>
      </c>
    </row>
    <row r="206" spans="5:8" x14ac:dyDescent="0.35">
      <c r="E206" s="153" t="s">
        <v>383</v>
      </c>
      <c r="F206" s="413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3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3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3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3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3"/>
      <c r="G211" s="154" t="s">
        <v>394</v>
      </c>
      <c r="H211" s="152" t="s">
        <v>98</v>
      </c>
    </row>
    <row r="212" spans="5:8" x14ac:dyDescent="0.35">
      <c r="E212" s="153" t="s">
        <v>390</v>
      </c>
      <c r="F212" s="413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3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3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3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3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3"/>
      <c r="G217" s="154" t="s">
        <v>399</v>
      </c>
      <c r="H217" s="152" t="s">
        <v>98</v>
      </c>
    </row>
    <row r="218" spans="5:8" x14ac:dyDescent="0.35">
      <c r="E218" s="153" t="s">
        <v>398</v>
      </c>
      <c r="F218" s="413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3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3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3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3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3"/>
      <c r="G223" s="154" t="s">
        <v>409</v>
      </c>
      <c r="H223" s="152" t="s">
        <v>98</v>
      </c>
    </row>
    <row r="224" spans="5:8" x14ac:dyDescent="0.35">
      <c r="E224" s="153" t="s">
        <v>405</v>
      </c>
      <c r="F224" s="413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3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3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3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3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3"/>
      <c r="G229" s="154" t="s">
        <v>416</v>
      </c>
      <c r="H229" s="152" t="s">
        <v>98</v>
      </c>
    </row>
    <row r="230" spans="5:8" x14ac:dyDescent="0.35">
      <c r="E230" s="153" t="s">
        <v>412</v>
      </c>
      <c r="F230" s="413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3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3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3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3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3"/>
      <c r="G235" s="154" t="s">
        <v>424</v>
      </c>
      <c r="H235" s="152" t="s">
        <v>98</v>
      </c>
    </row>
    <row r="236" spans="5:8" x14ac:dyDescent="0.35">
      <c r="E236" s="153" t="s">
        <v>420</v>
      </c>
      <c r="F236" s="413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3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3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2026-09-23T05:08:05Z</dcterms:modified>
</cp:coreProperties>
</file>