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A8425E-85DB-4E19-B9C3-9EFBA1F317AB}" xr6:coauthVersionLast="47" xr6:coauthVersionMax="47" xr10:uidLastSave="{00000000-0000-0000-0000-000000000000}"/>
  <bookViews>
    <workbookView xWindow="-110" yWindow="-110" windowWidth="19420" windowHeight="10420" tabRatio="594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17" i="43" l="1"/>
  <c r="S18" i="43" s="1"/>
  <c r="S19" i="43" s="1"/>
  <c r="S20" i="43" s="1"/>
  <c r="S21" i="43" s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17" i="44"/>
  <c r="O17" i="44" s="1"/>
  <c r="P17" i="44" s="1"/>
  <c r="J25" i="61"/>
  <c r="P29" i="61" s="1"/>
  <c r="M21" i="52"/>
  <c r="O21" i="52" s="1"/>
  <c r="P21" i="52" s="1"/>
  <c r="M17" i="56"/>
  <c r="O17" i="56" s="1"/>
  <c r="P17" i="56" s="1"/>
  <c r="M20" i="53"/>
  <c r="O20" i="53" s="1"/>
  <c r="P20" i="53" s="1"/>
  <c r="R20" i="53" s="1"/>
  <c r="M16" i="59"/>
  <c r="K12" i="62"/>
  <c r="J7" i="62"/>
  <c r="M24" i="45"/>
  <c r="O24" i="45" s="1"/>
  <c r="P24" i="45" s="1"/>
  <c r="M22" i="43"/>
  <c r="M23" i="58"/>
  <c r="O23" i="58" s="1"/>
  <c r="P23" i="58" s="1"/>
  <c r="M23" i="72"/>
  <c r="O23" i="72" s="1"/>
  <c r="P23" i="72" s="1"/>
  <c r="M23" i="44"/>
  <c r="O23" i="44" s="1"/>
  <c r="P23" i="44" s="1"/>
  <c r="M24" i="44"/>
  <c r="O24" i="44" s="1"/>
  <c r="P24" i="44" s="1"/>
  <c r="M24" i="43"/>
  <c r="O24" i="43" s="1"/>
  <c r="P24" i="43" s="1"/>
  <c r="M23" i="69"/>
  <c r="O23" i="69" s="1"/>
  <c r="P23" i="69" s="1"/>
  <c r="M23" i="53"/>
  <c r="O23" i="53" s="1"/>
  <c r="P23" i="53" s="1"/>
  <c r="M24" i="63"/>
  <c r="O24" i="63" s="1"/>
  <c r="P24" i="63" s="1"/>
  <c r="M20" i="71"/>
  <c r="O20" i="71" s="1"/>
  <c r="P20" i="71" s="1"/>
  <c r="R20" i="71" s="1"/>
  <c r="M21" i="51"/>
  <c r="M20" i="70"/>
  <c r="O20" i="70" s="1"/>
  <c r="P20" i="70" s="1"/>
  <c r="R20" i="70" s="1"/>
  <c r="M21" i="68"/>
  <c r="O21" i="68" s="1"/>
  <c r="P21" i="68" s="1"/>
  <c r="M17" i="72"/>
  <c r="O17" i="72" s="1"/>
  <c r="P17" i="72" s="1"/>
  <c r="M16" i="64"/>
  <c r="O16" i="64" s="1"/>
  <c r="P16" i="64" s="1"/>
  <c r="M16" i="65"/>
  <c r="O16" i="65" s="1"/>
  <c r="M16" i="48"/>
  <c r="O16" i="48" s="1"/>
  <c r="P16" i="48" s="1"/>
  <c r="M16" i="60"/>
  <c r="M16" i="66"/>
  <c r="M16" i="44"/>
  <c r="O16" i="44" s="1"/>
  <c r="M16" i="72"/>
  <c r="M18" i="67"/>
  <c r="O18" i="67" s="1"/>
  <c r="P18" i="67" s="1"/>
  <c r="M17" i="60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 s="1"/>
  <c r="O24" i="48"/>
  <c r="P24" i="48" s="1"/>
  <c r="O22" i="51"/>
  <c r="P22" i="51" s="1"/>
  <c r="O23" i="60"/>
  <c r="P23" i="60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O17" i="50"/>
  <c r="P17" i="50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21" i="51"/>
  <c r="P21" i="51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24" i="55"/>
  <c r="O25" i="55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<sst xmlns="http://schemas.openxmlformats.org/spreadsheetml/2006/main" count="3978" uniqueCount="524">
  <si>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</si>
  <si>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</si>
  <si>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</si>
  <si>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</si>
  <si>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</si>
  <si>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</si>
  <si>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</si>
  <si>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</si>
  <si>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</si>
  <si>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</si>
  <si>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</si>
  <si>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</si>
  <si>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</si>
  <si>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</si>
  <si>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</si>
  <si>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</si>
  <si>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</si>
  <si>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</si>
  <si>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</si>
  <si>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</si>
  <si>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</si>
  <si>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</si>
  <si>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</si>
  <si>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</si>
  <si>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</si>
  <si>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</si>
  <si>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</si>
  <si>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</si>
  <si>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</si>
  <si>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</si>
  <si>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</si>
  <si>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</si>
  <si>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</si>
  <si>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</si>
  <si>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</si>
  <si>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</si>
  <si>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</si>
  <si>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</si>
  <si>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</si>
  <si>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</si>
  <si>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</si>
  <si>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</si>
  <si>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</si>
  <si>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</si>
  <si>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</si>
  <si>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</si>
  <si>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</si>
  <si>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</si>
  <si>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</si>
  <si>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</si>
  <si>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</si>
  <si>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</si>
  <si>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</si>
  <si>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</si>
  <si>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</si>
  <si>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</si>
  <si>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</si>
  <si>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</si>
  <si>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</si>
  <si>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</si>
  <si>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</si>
  <si>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</si>
  <si>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</si>
  <si>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</si>
  <si>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</si>
  <si>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</si>
  <si>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</si>
  <si>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</si>
  <si>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</si>
  <si>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</si>
  <si>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</si>
  <si>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</si>
  <si>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</si>
  <si>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</si>
  <si>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</si>
  <si>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</si>
  <si>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</si>
  <si>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</si>
  <si>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</si>
  <si>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</si>
  <si>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</si>
  <si>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</si>
  <si>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</si>
  <si>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</si>
  <si>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</si>
  <si>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</si>
  <si>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</si>
  <si>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</si>
  <si>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</si>
  <si>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</si>
  <si>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</si>
  <si>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</si>
  <si>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</si>
  <si>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</si>
  <si>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</si>
  <si>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</si>
  <si>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</si>
  <si>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</si>
  <si>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</si>
  <si>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</si>
  <si>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</si>
  <si>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</si>
  <si>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</si>
  <si>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</si>
  <si>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</si>
  <si>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</si>
  <si>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</si>
  <si>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</si>
  <si>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</si>
  <si>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</si>
  <si>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</si>
  <si>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</si>
  <si>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</si>
  <si>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</si>
  <si>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</si>
  <si>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</si>
  <si>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</si>
  <si>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</si>
  <si>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</si>
  <si>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</si>
  <si>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</si>
  <si>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</si>
  <si>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</si>
  <si>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</si>
  <si>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</si>
  <si>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</si>
  <si>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</si>
  <si>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</si>
  <si>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</si>
  <si>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</si>
  <si>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</si>
  <si>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</si>
  <si>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</si>
  <si>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</si>
  <si>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</si>
  <si>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</si>
  <si>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</si>
  <si>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</si>
  <si>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</si>
  <si>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</si>
  <si>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</si>
  <si>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</si>
  <si>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</si>
  <si>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</si>
  <si>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</si>
  <si>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</si>
  <si>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</si>
  <si>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</si>
  <si>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</si>
  <si>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</si>
  <si>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</si>
  <si>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</si>
  <si>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</si>
  <si>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</si>
  <si>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</si>
  <si>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</si>
  <si>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</si>
  <si>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</si>
  <si>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</si>
  <si>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</si>
  <si>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</si>
  <si>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</si>
  <si>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</si>
  <si>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</si>
  <si>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</si>
  <si>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</si>
  <si>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</si>
  <si>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</si>
  <si>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</si>
  <si>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</si>
  <si>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</si>
  <si>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</si>
  <si>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</si>
  <si>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</si>
  <si>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</si>
  <si>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</si>
  <si>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</si>
  <si>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</si>
  <si>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</si>
  <si>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</si>
  <si>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</si>
  <si>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</si>
  <si>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</si>
  <si>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</si>
  <si>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</si>
  <si>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</si>
  <si>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</si>
  <si>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</si>
  <si>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</si>
  <si>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</si>
  <si>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</si>
  <si>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</si>
  <si>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</si>
  <si>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</si>
  <si>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</si>
  <si>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</si>
  <si>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</si>
  <si>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</si>
  <si>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</si>
  <si>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</si>
  <si>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</si>
  <si>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</si>
  <si>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</si>
  <si>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</si>
  <si>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</si>
  <si>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</si>
  <si>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</si>
  <si>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</si>
  <si>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</si>
  <si>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</si>
  <si>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</si>
  <si>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</si>
  <si>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</si>
  <si>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</si>
  <si>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</si>
  <si>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</si>
  <si>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</si>
  <si>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</si>
  <si>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</si>
  <si>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</si>
  <si>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</si>
  <si>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</si>
  <si>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</si>
  <si>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</si>
  <si>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</si>
  <si>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</si>
  <si>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</si>
  <si>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</si>
  <si>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</si>
  <si>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</si>
  <si>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</si>
  <si>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</si>
  <si>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</si>
  <si>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</si>
  <si>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</si>
  <si>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</si>
  <si>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</si>
  <si>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</si>
  <si>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</si>
  <si>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</si>
  <si>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</si>
  <si>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</si>
  <si>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</si>
  <si>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</si>
  <si>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</si>
  <si>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</si>
  <si>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</si>
  <si>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</si>
  <si>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</si>
  <si>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</si>
  <si>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</si>
  <si>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</si>
  <si>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</si>
  <si>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</si>
  <si>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</si>
  <si>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</si>
  <si>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</si>
  <si>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</si>
  <si>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</si>
  <si>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</si>
  <si>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</si>
  <si>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</si>
  <si>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</si>
  <si>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</si>
  <si>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</si>
  <si>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</si>
  <si>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</si>
  <si>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</si>
  <si>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</si>
  <si>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</si>
  <si>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</si>
  <si>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</si>
  <si>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</si>
  <si>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</si>
  <si>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</si>
  <si>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</si>
  <si>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</si>
  <si>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</si>
  <si>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</si>
  <si>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</si>
  <si>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</si>
  <si>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</si>
  <si>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</si>
  <si>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</si>
  <si>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</si>
  <si>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</si>
  <si>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</si>
  <si>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</si>
  <si>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</si>
  <si>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</si>
  <si>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</si>
  <si>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</si>
  <si>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</si>
  <si>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</si>
  <si>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</si>
  <si>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</si>
  <si>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</si>
  <si>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</si>
  <si>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</si>
  <si>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</si>
  <si>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</si>
  <si>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</si>
  <si>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</si>
  <si>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</si>
  <si>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</si>
  <si>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</si>
  <si>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</si>
  <si>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</si>
  <si>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</si>
  <si>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</si>
  <si>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</si>
  <si>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</si>
  <si>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</si>
  <si>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</si>
  <si>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</si>
  <si>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</si>
  <si>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</si>
  <si>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</si>
  <si>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</si>
  <si>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</si>
  <si>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</si>
  <si>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</si>
  <si>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</si>
  <si>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</si>
  <si>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</si>
  <si>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</si>
  <si>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</si>
  <si>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</si>
  <si>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</si>
  <si>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</si>
  <si>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</si>
  <si>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</si>
  <si>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</si>
  <si>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</si>
  <si>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</si>
  <si>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</si>
  <si>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</si>
  <si>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</si>
  <si>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</si>
  <si>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</si>
  <si>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</si>
  <si>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</si>
  <si>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</si>
  <si>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</si>
  <si>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</si>
  <si>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</si>
  <si>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</si>
  <si>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</si>
  <si>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</si>
  <si>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</si>
  <si>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</si>
  <si>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</si>
  <si>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</si>
  <si>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</si>
  <si>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</si>
  <si>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</si>
  <si>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</si>
  <si>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</si>
  <si>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</si>
  <si>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</si>
  <si>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</si>
  <si>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</si>
  <si>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</si>
  <si>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</si>
  <si>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</si>
  <si>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</si>
  <si>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</si>
  <si>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</si>
  <si>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</si>
  <si>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</si>
  <si>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</si>
  <si>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</si>
  <si>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</si>
  <si>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</si>
  <si>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</si>
  <si>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</si>
  <si>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</si>
  <si>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</si>
  <si>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</si>
  <si>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</si>
  <si>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</si>
  <si>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</si>
  <si>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</si>
  <si>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</si>
  <si>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</si>
  <si>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</si>
  <si>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</si>
  <si>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</si>
  <si>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</si>
  <si>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</si>
  <si>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</si>
  <si>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</si>
  <si>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</si>
  <si>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</si>
  <si>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</si>
  <si>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</si>
  <si>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</si>
  <si>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</si>
  <si>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</si>
  <si>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</si>
  <si>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</si>
  <si>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</si>
  <si>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</si>
  <si>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</si>
  <si>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</si>
  <si>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</si>
  <si>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</si>
  <si>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</si>
  <si>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</si>
  <si>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</si>
  <si>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</si>
  <si>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</si>
  <si>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</si>
  <si>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</si>
  <si>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</si>
  <si>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</si>
  <si>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</si>
  <si>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</si>
  <si>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</si>
  <si>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</si>
  <si>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</si>
  <si>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</si>
  <si>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</si>
  <si>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</si>
  <si>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</si>
  <si>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</si>
  <si>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</si>
  <si>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</si>
  <si>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</si>
  <si>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</si>
  <si>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</si>
  <si>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</si>
  <si>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</si>
  <si>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</si>
  <si>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</si>
  <si>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</si>
  <si>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</si>
  <si>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</si>
  <si>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</si>
  <si>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</si>
  <si>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</si>
  <si>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</si>
  <si>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</si>
  <si>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</si>
  <si>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</si>
  <si>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</si>
  <si>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</si>
  <si>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</si>
  <si>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</si>
  <si>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</si>
  <si>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</si>
  <si>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</si>
  <si>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</si>
  <si>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</si>
  <si>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</si>
  <si>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</si>
  <si>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</si>
  <si>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</si>
  <si>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</si>
  <si>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</si>
  <si>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</si>
  <si>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</si>
  <si>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</si>
  <si>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</si>
  <si>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</si>
  <si>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</si>
  <si>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</si>
  <si>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</si>
  <si>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</si>
  <si>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</si>
  <si>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</si>
  <si>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</si>
  <si>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</si>
  <si>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</si>
  <si>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</si>
  <si>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</si>
  <si>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</si>
  <si>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</si>
  <si>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</si>
  <si>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</si>
  <si>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</si>
  <si>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</si>
  <si>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</si>
  <si>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</si>
  <si>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</si>
  <si>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</si>
  <si>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</si>
  <si>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</si>
  <si>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</si>
  <si>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</si>
  <si>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</si>
  <si>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</si>
  <si>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</si>
  <si>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</si>
  <si>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</si>
  <si>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</si>
  <si>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</si>
  <si>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</si>
  <si>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</si>
  <si>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</si>
  <si>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</si>
  <si>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</si>
  <si>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</si>
  <si>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</si>
  <si>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</si>
  <si>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</si>
  <si>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</si>
  <si>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</si>
  <si>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</si>
  <si>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</si>
  <si>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</si>
  <si>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</si>
  <si>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</si>
  <si>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</si>
  <si>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</si>
  <si>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 xml:space="preserve">Address: Chatri Chowk </t>
  </si>
  <si>
    <t>Invoice No # :123124</t>
  </si>
  <si>
    <t xml:space="preserve">Address: H Block </t>
  </si>
  <si>
    <t>Invoice No # :000194</t>
  </si>
  <si>
    <t xml:space="preserve">Shakoor </t>
  </si>
  <si>
    <t>Address: H Block</t>
  </si>
  <si>
    <t>Invoice No # :4856154</t>
  </si>
  <si>
    <t>Shakoor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</si>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</sst>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46286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Jalal Sons </v>
      </c>
      <c r="T3" s="301">
        <f>+'1'!P35</f>
        <v>313514.63702542376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47027.195553813559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15675.731851271186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920</v>
      </c>
      <c r="I7" s="235">
        <f>(G7*D7)*F7+H7*F7</f>
        <v>48265.5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7239.8249999999998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41025.675000000003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9122.0338983050806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250.73854449152543</v>
      </c>
      <c r="P7" s="310">
        <f>M7+N7+O7</f>
        <v>50398.447442796612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920</v>
      </c>
      <c r="I8" s="236">
        <f t="shared" ref="I8:I14" si="0">(G8*D8)*F8+H8*F8</f>
        <v>48265.5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7239.8249999999998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41025.675000000003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9122.0338983050806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250.73854449152543</v>
      </c>
      <c r="P8" s="311">
        <f t="shared" ref="P8:P15" si="2">M8+N8+O8</f>
        <v>50398.447442796612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1040</v>
      </c>
      <c r="I9" s="236">
        <f t="shared" si="0"/>
        <v>54561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8184.15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46376.85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10311.864406779658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283.44357203389831</v>
      </c>
      <c r="P9" s="311">
        <f t="shared" si="2"/>
        <v>56972.15797881355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920</v>
      </c>
      <c r="I10" s="236">
        <f t="shared" si="0"/>
        <v>66828.800000000003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10024.32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56804.480000000003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12630.508474576272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347.17494237288133</v>
      </c>
      <c r="P10" s="311">
        <f t="shared" si="2"/>
        <v>69782.163416949144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920</v>
      </c>
      <c r="I11" s="236">
        <f t="shared" si="0"/>
        <v>66828.800000000003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10024.32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56804.480000000003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12630.508474576272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347.17494237288133</v>
      </c>
      <c r="P11" s="311">
        <f t="shared" si="2"/>
        <v>69782.163416949144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1040</v>
      </c>
      <c r="I12" s="236">
        <f t="shared" si="0"/>
        <v>75545.600000000006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11331.84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64213.760000000009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14277.966101694916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392.45863050847458</v>
      </c>
      <c r="P12" s="311">
        <f t="shared" si="2"/>
        <v>78884.184732203401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144</v>
      </c>
      <c r="H16" s="113">
        <f t="shared" ref="H16:M16" si="3">SUM(H7:H15)</f>
        <v>5760</v>
      </c>
      <c r="I16" s="114">
        <f t="shared" si="3"/>
        <v>360295.19999999995</v>
      </c>
      <c r="J16" s="274">
        <f>SUM(J7:J15)</f>
        <v>54044.28</v>
      </c>
      <c r="K16" s="275">
        <f t="shared" si="3"/>
        <v>0</v>
      </c>
      <c r="L16" s="276">
        <f t="shared" si="3"/>
        <v>0</v>
      </c>
      <c r="M16" s="232">
        <f t="shared" si="3"/>
        <v>306250.92000000004</v>
      </c>
      <c r="N16" s="233">
        <f>SUM(N7:N15)</f>
        <v>68094.915254237276</v>
      </c>
      <c r="O16" s="101">
        <f>SUM(O7:O15)</f>
        <v>1871.7291762711866</v>
      </c>
      <c r="P16" s="113">
        <f>SUM(P7:P15)</f>
        <v>376217.56443050853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360295.19999999995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54044.28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306250.91999999993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68094.915254237276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374345.83525423717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1871.7291762711866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376217.56443050836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376217.56443050847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7.2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800</v>
      </c>
      <c r="I16" s="235">
        <f>(G16*D16)*F16+H16*F16</f>
        <v>41970</v>
      </c>
      <c r="J16" s="271">
        <f>$I16*S16</f>
        <v>6295.5</v>
      </c>
      <c r="K16" s="127">
        <f>$I16*T16</f>
        <v>0</v>
      </c>
      <c r="L16" s="118">
        <f>$I16*U16</f>
        <v>0</v>
      </c>
      <c r="M16" s="229">
        <f>I16-SUM(J16:L16)</f>
        <v>35674.5</v>
      </c>
      <c r="N16" s="248">
        <f>+(G16*D16+H16)*V16</f>
        <v>7932.2033898305053</v>
      </c>
      <c r="O16" s="238">
        <f>(N16+M16)*$O$15</f>
        <v>218.03351694915256</v>
      </c>
      <c r="P16" s="310">
        <f>M16+N16+O16</f>
        <v>43824.736906779661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800</v>
      </c>
      <c r="I17" s="236">
        <f t="shared" ref="I17:I23" si="0">(G17*D17)*F17+H17*F17</f>
        <v>41970</v>
      </c>
      <c r="J17" s="272">
        <f t="shared" ref="J17:L24" si="1">$I17*S17</f>
        <v>6295.5</v>
      </c>
      <c r="K17" s="128">
        <f>$I17*T17</f>
        <v>0</v>
      </c>
      <c r="L17" s="119">
        <f>$I17*U17</f>
        <v>0</v>
      </c>
      <c r="M17" s="230">
        <f t="shared" ref="M17:M24" si="2">I17-SUM(J17:L17)</f>
        <v>35674.5</v>
      </c>
      <c r="N17" s="277">
        <f t="shared" ref="N17:N24" si="3">+(G17*D17+H17)*V17</f>
        <v>7932.2033898305053</v>
      </c>
      <c r="O17" s="239">
        <f t="shared" ref="O17:O24" si="4">(N17+M17)*$O$15</f>
        <v>218.03351694915256</v>
      </c>
      <c r="P17" s="311">
        <f t="shared" ref="P17:P24" si="5">M17+N17+O17</f>
        <v>43824.736906779661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800</v>
      </c>
      <c r="I18" s="236">
        <f t="shared" ref="I18:I21" si="7">(G18*D18)*F18+H18*F18</f>
        <v>41970</v>
      </c>
      <c r="J18" s="272">
        <f t="shared" si="1"/>
        <v>6295.5</v>
      </c>
      <c r="K18" s="128">
        <f t="shared" si="1"/>
        <v>0</v>
      </c>
      <c r="L18" s="119">
        <f t="shared" si="1"/>
        <v>0</v>
      </c>
      <c r="M18" s="230">
        <f t="shared" si="2"/>
        <v>35674.5</v>
      </c>
      <c r="N18" s="277">
        <f t="shared" si="3"/>
        <v>7932.2033898305053</v>
      </c>
      <c r="O18" s="239">
        <f t="shared" si="4"/>
        <v>218.03351694915256</v>
      </c>
      <c r="P18" s="311">
        <f t="shared" si="5"/>
        <v>43824.736906779661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800</v>
      </c>
      <c r="I19" s="236">
        <f t="shared" si="7"/>
        <v>58112</v>
      </c>
      <c r="J19" s="272">
        <f t="shared" si="1"/>
        <v>8716.7999999999993</v>
      </c>
      <c r="K19" s="128">
        <f t="shared" si="1"/>
        <v>0</v>
      </c>
      <c r="L19" s="119">
        <f t="shared" si="1"/>
        <v>0</v>
      </c>
      <c r="M19" s="230">
        <f t="shared" si="2"/>
        <v>49395.199999999997</v>
      </c>
      <c r="N19" s="277">
        <f t="shared" si="3"/>
        <v>10983.050847457627</v>
      </c>
      <c r="O19" s="239">
        <f t="shared" si="4"/>
        <v>301.89125423728814</v>
      </c>
      <c r="P19" s="311">
        <f t="shared" si="5"/>
        <v>60680.14210169491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800</v>
      </c>
      <c r="I20" s="236">
        <f t="shared" si="7"/>
        <v>58112</v>
      </c>
      <c r="J20" s="272">
        <f t="shared" si="1"/>
        <v>8716.7999999999993</v>
      </c>
      <c r="K20" s="128">
        <f t="shared" si="1"/>
        <v>0</v>
      </c>
      <c r="L20" s="119">
        <f t="shared" si="1"/>
        <v>0</v>
      </c>
      <c r="M20" s="230">
        <f t="shared" si="2"/>
        <v>49395.199999999997</v>
      </c>
      <c r="N20" s="277">
        <f t="shared" si="3"/>
        <v>10983.050847457627</v>
      </c>
      <c r="O20" s="239">
        <f t="shared" si="4"/>
        <v>301.89125423728814</v>
      </c>
      <c r="P20" s="311">
        <f t="shared" si="5"/>
        <v>60680.14210169491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800</v>
      </c>
      <c r="I21" s="236">
        <f t="shared" si="7"/>
        <v>58112</v>
      </c>
      <c r="J21" s="272">
        <f t="shared" si="1"/>
        <v>8716.7999999999993</v>
      </c>
      <c r="K21" s="128">
        <f t="shared" si="1"/>
        <v>0</v>
      </c>
      <c r="L21" s="119">
        <f t="shared" si="1"/>
        <v>0</v>
      </c>
      <c r="M21" s="230">
        <f t="shared" si="2"/>
        <v>49395.199999999997</v>
      </c>
      <c r="N21" s="277">
        <f t="shared" si="3"/>
        <v>10983.050847457627</v>
      </c>
      <c r="O21" s="239">
        <f t="shared" si="4"/>
        <v>301.89125423728814</v>
      </c>
      <c r="P21" s="311">
        <f t="shared" si="5"/>
        <v>60680.14210169491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4800</v>
      </c>
      <c r="I25" s="114">
        <f t="shared" ref="I25:M25" si="10">SUM(I16:I24)</f>
        <v>300246</v>
      </c>
      <c r="J25" s="274">
        <f>SUM(J16:J24)</f>
        <v>45036.899999999994</v>
      </c>
      <c r="K25" s="275">
        <f t="shared" si="10"/>
        <v>0</v>
      </c>
      <c r="L25" s="276">
        <f t="shared" si="10"/>
        <v>0</v>
      </c>
      <c r="M25" s="232">
        <f t="shared" si="10"/>
        <v>255209.10000000003</v>
      </c>
      <c r="N25" s="233">
        <f>SUM(N16:N24)</f>
        <v>56745.762711864401</v>
      </c>
      <c r="O25" s="101">
        <f>SUM(O16:O24)</f>
        <v>1559.7743135593223</v>
      </c>
      <c r="P25" s="113">
        <f>SUM(P16:P24)</f>
        <v>313514.6370254237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300246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45036.899999999994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255209.1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56745.762711864401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311954.86271186441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1559.7743135593221</v>
      </c>
    </row>
    <row r="35" spans="2:16" ht="15.75" customHeight="1" thickBot="1" x14ac:dyDescent="0.4">
      <c r="N35" s="342" t="s">
        <v>88</v>
      </c>
      <c r="O35" s="343"/>
      <c r="P35" s="297">
        <f>+P33+P34</f>
        <v>313514.63702542376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518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519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629.54999999999995</v>
      </c>
      <c r="K16" s="127">
        <f>$I16*T16</f>
        <v>0</v>
      </c>
      <c r="L16" s="118">
        <f>$I16*U16</f>
        <v>0</v>
      </c>
      <c r="M16" s="229">
        <f>I16-SUM(J16:L16)</f>
        <v>3567.45</v>
      </c>
      <c r="N16" s="248">
        <f>+(G16*D16+H16)*V16</f>
        <v>793.22033898305051</v>
      </c>
      <c r="O16" s="238">
        <f>(N16+M16)*$O$15</f>
        <v>21.80335169491525</v>
      </c>
      <c r="P16" s="310">
        <f>M16+N16+O16</f>
        <v>4382.4736906779654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629.54999999999995</v>
      </c>
      <c r="K17" s="128">
        <f>$I17*T17</f>
        <v>0</v>
      </c>
      <c r="L17" s="119">
        <f>$I17*U17</f>
        <v>0</v>
      </c>
      <c r="M17" s="230">
        <f t="shared" ref="M17:M24" si="2">I17-SUM(J17:L17)</f>
        <v>3567.45</v>
      </c>
      <c r="N17" s="277">
        <f t="shared" ref="N17:N24" si="3">+(G17*D17+H17)*V17</f>
        <v>793.22033898305051</v>
      </c>
      <c r="O17" s="239">
        <f t="shared" ref="O17:O24" si="4">(N17+M17)*$O$15</f>
        <v>21.80335169491525</v>
      </c>
      <c r="P17" s="311">
        <f t="shared" ref="P17:P24" si="5">M17+N17+O17</f>
        <v>4382.4736906779654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1573.875</v>
      </c>
      <c r="K18" s="128">
        <f t="shared" si="1"/>
        <v>0</v>
      </c>
      <c r="L18" s="119">
        <f t="shared" si="1"/>
        <v>0</v>
      </c>
      <c r="M18" s="230">
        <f t="shared" si="2"/>
        <v>8918.625</v>
      </c>
      <c r="N18" s="277">
        <f t="shared" si="3"/>
        <v>1983.0508474576263</v>
      </c>
      <c r="O18" s="239">
        <f t="shared" si="4"/>
        <v>54.508379237288139</v>
      </c>
      <c r="P18" s="311">
        <f t="shared" si="5"/>
        <v>10956.184226694915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871.68</v>
      </c>
      <c r="K19" s="128">
        <f t="shared" si="1"/>
        <v>0</v>
      </c>
      <c r="L19" s="119">
        <f t="shared" si="1"/>
        <v>0</v>
      </c>
      <c r="M19" s="230">
        <f t="shared" si="2"/>
        <v>4939.5199999999995</v>
      </c>
      <c r="N19" s="277">
        <f t="shared" si="3"/>
        <v>1098.3050847457628</v>
      </c>
      <c r="O19" s="239">
        <f t="shared" si="4"/>
        <v>30.189125423728811</v>
      </c>
      <c r="P19" s="311">
        <f t="shared" si="5"/>
        <v>6068.014210169491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871.68</v>
      </c>
      <c r="K20" s="128">
        <f t="shared" si="1"/>
        <v>0</v>
      </c>
      <c r="L20" s="119">
        <f t="shared" si="1"/>
        <v>0</v>
      </c>
      <c r="M20" s="230">
        <f t="shared" si="2"/>
        <v>4939.5199999999995</v>
      </c>
      <c r="N20" s="277">
        <f t="shared" si="3"/>
        <v>1098.3050847457628</v>
      </c>
      <c r="O20" s="239">
        <f t="shared" si="4"/>
        <v>30.189125423728811</v>
      </c>
      <c r="P20" s="311">
        <f t="shared" si="5"/>
        <v>6068.014210169491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2179.1999999999998</v>
      </c>
      <c r="K21" s="128">
        <f t="shared" si="1"/>
        <v>0</v>
      </c>
      <c r="L21" s="119">
        <f t="shared" si="1"/>
        <v>0</v>
      </c>
      <c r="M21" s="230">
        <f t="shared" si="2"/>
        <v>12348.8</v>
      </c>
      <c r="N21" s="277">
        <f t="shared" si="3"/>
        <v>2745.7627118644068</v>
      </c>
      <c r="O21" s="239">
        <f t="shared" si="4"/>
        <v>75.472813559322034</v>
      </c>
      <c r="P21" s="311">
        <f t="shared" si="5"/>
        <v>15170.035525423727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720</v>
      </c>
      <c r="I25" s="114">
        <f t="shared" si="7"/>
        <v>45036.9</v>
      </c>
      <c r="J25" s="274">
        <f>SUM(J16:J24)</f>
        <v>6755.5349999999999</v>
      </c>
      <c r="K25" s="275">
        <f t="shared" si="7"/>
        <v>0</v>
      </c>
      <c r="L25" s="276">
        <f t="shared" si="7"/>
        <v>0</v>
      </c>
      <c r="M25" s="232">
        <f t="shared" si="7"/>
        <v>38281.364999999998</v>
      </c>
      <c r="N25" s="233">
        <f>SUM(N16:N24)</f>
        <v>8511.8644067796595</v>
      </c>
      <c r="O25" s="101">
        <f>SUM(O16:O24)</f>
        <v>233.96614703389832</v>
      </c>
      <c r="P25" s="113">
        <f>SUM(P16:P24)</f>
        <v>47027.195553813559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45036.9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6755.5349999999999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38281.365000000005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8511.8644067796595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46793.229406779661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233.96614703389832</v>
      </c>
    </row>
    <row r="35" spans="2:16" ht="15.75" customHeight="1" thickBot="1" x14ac:dyDescent="0.4">
      <c r="N35" s="342" t="s">
        <v>88</v>
      </c>
      <c r="O35" s="343"/>
      <c r="P35" s="297">
        <f>+P33+P34</f>
        <v>47027.195553813559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abSelected="1" topLeftCell="A4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523</v>
      </c>
    </row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521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522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314.77499999999998</v>
      </c>
      <c r="K16" s="127">
        <f>$I16*T16</f>
        <v>0</v>
      </c>
      <c r="L16" s="118">
        <f>$I16*U16</f>
        <v>0</v>
      </c>
      <c r="M16" s="229">
        <f>I16-SUM(J16:L16)</f>
        <v>1783.7249999999999</v>
      </c>
      <c r="N16" s="248">
        <f>+(G16*D16+H16)*V16</f>
        <v>396.61016949152526</v>
      </c>
      <c r="O16" s="238">
        <f>(N16+M16)*$O$15</f>
        <v>10.901675847457625</v>
      </c>
      <c r="P16" s="310">
        <f>M16+N16+O16</f>
        <v>2191.2368453389827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314.77499999999998</v>
      </c>
      <c r="K17" s="128">
        <f>$I17*T17</f>
        <v>0</v>
      </c>
      <c r="L17" s="119">
        <f>$I17*U17</f>
        <v>0</v>
      </c>
      <c r="M17" s="230">
        <f t="shared" ref="M17:M24" si="2">I17-SUM(J17:L17)</f>
        <v>1783.7249999999999</v>
      </c>
      <c r="N17" s="277">
        <f t="shared" ref="N17:N24" si="3">+(G17*D17+H17)*V17</f>
        <v>396.61016949152526</v>
      </c>
      <c r="O17" s="239">
        <f t="shared" ref="O17:O24" si="4">(N17+M17)*$O$15</f>
        <v>10.901675847457625</v>
      </c>
      <c r="P17" s="311">
        <f t="shared" ref="P17:P24" si="5">M17+N17+O17</f>
        <v>2191.2368453389827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314.77499999999998</v>
      </c>
      <c r="K18" s="128">
        <f t="shared" si="1"/>
        <v>0</v>
      </c>
      <c r="L18" s="119">
        <f t="shared" si="1"/>
        <v>0</v>
      </c>
      <c r="M18" s="230">
        <f t="shared" si="2"/>
        <v>1783.7249999999999</v>
      </c>
      <c r="N18" s="277">
        <f t="shared" si="3"/>
        <v>396.61016949152526</v>
      </c>
      <c r="O18" s="239">
        <f t="shared" si="4"/>
        <v>10.901675847457625</v>
      </c>
      <c r="P18" s="311">
        <f t="shared" si="5"/>
        <v>2191.2368453389827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435.84</v>
      </c>
      <c r="K19" s="128">
        <f t="shared" si="1"/>
        <v>0</v>
      </c>
      <c r="L19" s="119">
        <f t="shared" si="1"/>
        <v>0</v>
      </c>
      <c r="M19" s="230">
        <f t="shared" si="2"/>
        <v>2469.7599999999998</v>
      </c>
      <c r="N19" s="277">
        <f t="shared" si="3"/>
        <v>549.15254237288138</v>
      </c>
      <c r="O19" s="239">
        <f t="shared" si="4"/>
        <v>15.094562711864405</v>
      </c>
      <c r="P19" s="311">
        <f t="shared" si="5"/>
        <v>3034.0071050847455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435.84</v>
      </c>
      <c r="K20" s="128">
        <f t="shared" si="1"/>
        <v>0</v>
      </c>
      <c r="L20" s="119">
        <f t="shared" si="1"/>
        <v>0</v>
      </c>
      <c r="M20" s="230">
        <f t="shared" si="2"/>
        <v>2469.7599999999998</v>
      </c>
      <c r="N20" s="277">
        <f t="shared" si="3"/>
        <v>549.15254237288138</v>
      </c>
      <c r="O20" s="239">
        <f t="shared" si="4"/>
        <v>15.094562711864405</v>
      </c>
      <c r="P20" s="311">
        <f t="shared" si="5"/>
        <v>3034.0071050847455</v>
      </c>
      <c r="Q20" s="156"/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435.84</v>
      </c>
      <c r="K21" s="128">
        <f t="shared" si="1"/>
        <v>0</v>
      </c>
      <c r="L21" s="119">
        <f t="shared" si="1"/>
        <v>0</v>
      </c>
      <c r="M21" s="230">
        <f t="shared" si="2"/>
        <v>2469.7599999999998</v>
      </c>
      <c r="N21" s="277">
        <f t="shared" si="3"/>
        <v>549.15254237288138</v>
      </c>
      <c r="O21" s="239">
        <f t="shared" si="4"/>
        <v>15.094562711864405</v>
      </c>
      <c r="P21" s="311">
        <f t="shared" si="5"/>
        <v>3034.0071050847455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2251.8449999999998</v>
      </c>
      <c r="K25" s="275">
        <f t="shared" si="7"/>
        <v>0</v>
      </c>
      <c r="L25" s="276">
        <f t="shared" si="7"/>
        <v>0</v>
      </c>
      <c r="M25" s="232">
        <f t="shared" si="7"/>
        <v>12760.455</v>
      </c>
      <c r="N25" s="233">
        <f>SUM(N16:N24)</f>
        <v>2837.2881355932195</v>
      </c>
      <c r="O25" s="101">
        <f>SUM(O16:O24)</f>
        <v>77.988715677966098</v>
      </c>
      <c r="P25" s="113">
        <f>SUM(P16:P24)</f>
        <v>15675.731851271184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15012.300000000001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2251.8449999999998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12760.455000000002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15597.74313559322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77.988715677966098</v>
      </c>
    </row>
    <row r="35" spans="2:16" ht="15.75" customHeight="1" thickBot="1" x14ac:dyDescent="0.4">
      <c r="N35" s="342" t="s">
        <v>88</v>
      </c>
      <c r="O35" s="343"/>
      <c r="P35" s="297">
        <f>+P33+P34</f>
        <v>15675.731851271186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46286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46285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46287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46286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2026-09-21T10:58:41Z</dcterms:modified>
</cp:coreProperties>
</file>