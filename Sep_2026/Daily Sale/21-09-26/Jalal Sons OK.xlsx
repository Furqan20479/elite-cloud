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1AD044F4-B24C-4F98-8A81-0FCD3C52DAA3}" xr6:coauthVersionLast="47" xr6:coauthVersionMax="47" xr10:uidLastSave="{00000000-0000-0000-0000-000000000000}"/>
  <bookViews>
    <workbookView xWindow="-110" yWindow="-110" windowWidth="19420" windowHeight="10420" tabRatio="594" firstSheet="3" activeTab="5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S17" i="43" l="1"/>
  <c r="S18" i="43" s="1"/>
  <c r="S19" i="43" s="1"/>
  <c r="S20" i="43" s="1"/>
  <c r="S21" i="43" s="1"/>
  <c r="H3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K24" i="44"/>
  <c r="J24" i="44"/>
  <c r="J24" i="63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L23" i="72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M21" i="43" s="1"/>
  <c r="O21" i="43" s="1"/>
  <c r="P21" i="43" s="1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M24" i="56" s="1"/>
  <c r="O24" i="56" s="1"/>
  <c r="P24" i="56" s="1"/>
  <c r="L24" i="56"/>
  <c r="L24" i="43"/>
  <c r="K24" i="43"/>
  <c r="J24" i="43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M20" i="48" s="1"/>
  <c r="O20" i="48" s="1"/>
  <c r="P20" i="48" s="1"/>
  <c r="R20" i="48" s="1"/>
  <c r="K20" i="53"/>
  <c r="L20" i="53"/>
  <c r="J20" i="53"/>
  <c r="K20" i="43"/>
  <c r="L20" i="43"/>
  <c r="J20" i="43"/>
  <c r="M20" i="43" s="1"/>
  <c r="O20" i="43" s="1"/>
  <c r="P20" i="43" s="1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L16" i="72"/>
  <c r="I25" i="72"/>
  <c r="P28" i="72" s="1"/>
  <c r="J23" i="49"/>
  <c r="K23" i="49"/>
  <c r="M23" i="49" s="1"/>
  <c r="O23" i="49" s="1"/>
  <c r="P23" i="49" s="1"/>
  <c r="L23" i="49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1" i="44" l="1"/>
  <c r="O21" i="44" s="1"/>
  <c r="P21" i="44" s="1"/>
  <c r="M17" i="44"/>
  <c r="O17" i="44" s="1"/>
  <c r="P17" i="44" s="1"/>
  <c r="J25" i="61"/>
  <c r="P29" i="61" s="1"/>
  <c r="M21" i="52"/>
  <c r="O21" i="52" s="1"/>
  <c r="P21" i="52" s="1"/>
  <c r="M17" i="56"/>
  <c r="O17" i="56" s="1"/>
  <c r="P17" i="56" s="1"/>
  <c r="M20" i="53"/>
  <c r="O20" i="53" s="1"/>
  <c r="P20" i="53" s="1"/>
  <c r="R20" i="53" s="1"/>
  <c r="M16" i="59"/>
  <c r="K12" i="62"/>
  <c r="J7" i="62"/>
  <c r="M24" i="45"/>
  <c r="O24" i="45" s="1"/>
  <c r="P24" i="45" s="1"/>
  <c r="M22" i="43"/>
  <c r="M23" i="58"/>
  <c r="O23" i="58" s="1"/>
  <c r="P23" i="58" s="1"/>
  <c r="M23" i="72"/>
  <c r="O23" i="72" s="1"/>
  <c r="P23" i="72" s="1"/>
  <c r="M23" i="44"/>
  <c r="O23" i="44" s="1"/>
  <c r="P23" i="44" s="1"/>
  <c r="M24" i="44"/>
  <c r="O24" i="44" s="1"/>
  <c r="P24" i="44" s="1"/>
  <c r="M24" i="43"/>
  <c r="O24" i="43" s="1"/>
  <c r="P24" i="43" s="1"/>
  <c r="M23" i="69"/>
  <c r="O23" i="69" s="1"/>
  <c r="P23" i="69" s="1"/>
  <c r="M23" i="53"/>
  <c r="O23" i="53" s="1"/>
  <c r="P23" i="53" s="1"/>
  <c r="M24" i="63"/>
  <c r="O24" i="63" s="1"/>
  <c r="P24" i="63" s="1"/>
  <c r="M20" i="71"/>
  <c r="O20" i="71" s="1"/>
  <c r="P20" i="71" s="1"/>
  <c r="R20" i="71" s="1"/>
  <c r="M21" i="51"/>
  <c r="M20" i="70"/>
  <c r="O20" i="70" s="1"/>
  <c r="P20" i="70" s="1"/>
  <c r="R20" i="70" s="1"/>
  <c r="M21" i="68"/>
  <c r="O21" i="68" s="1"/>
  <c r="P21" i="68" s="1"/>
  <c r="M17" i="72"/>
  <c r="O17" i="72" s="1"/>
  <c r="P17" i="72" s="1"/>
  <c r="M16" i="64"/>
  <c r="O16" i="64" s="1"/>
  <c r="P16" i="64" s="1"/>
  <c r="M16" i="65"/>
  <c r="O16" i="65" s="1"/>
  <c r="M16" i="48"/>
  <c r="O16" i="48" s="1"/>
  <c r="P16" i="48" s="1"/>
  <c r="M16" i="60"/>
  <c r="M16" i="66"/>
  <c r="M16" i="44"/>
  <c r="O16" i="44" s="1"/>
  <c r="M16" i="72"/>
  <c r="M18" i="67"/>
  <c r="O18" i="67" s="1"/>
  <c r="P18" i="67" s="1"/>
  <c r="M17" i="60"/>
  <c r="O17" i="60" s="1"/>
  <c r="P17" i="60" s="1"/>
  <c r="M20" i="46"/>
  <c r="O20" i="46" s="1"/>
  <c r="P20" i="46" s="1"/>
  <c r="R20" i="46" s="1"/>
  <c r="M21" i="53"/>
  <c r="O21" i="53" s="1"/>
  <c r="P21" i="53" s="1"/>
  <c r="M17" i="45"/>
  <c r="O17" i="45" s="1"/>
  <c r="P17" i="45" s="1"/>
  <c r="M17" i="57"/>
  <c r="O17" i="57" s="1"/>
  <c r="P17" i="57" s="1"/>
  <c r="M18" i="69"/>
  <c r="O18" i="69" s="1"/>
  <c r="P18" i="69" s="1"/>
  <c r="M18" i="57"/>
  <c r="O18" i="57" s="1"/>
  <c r="P18" i="57" s="1"/>
  <c r="M18" i="43"/>
  <c r="O18" i="43" s="1"/>
  <c r="P18" i="43" s="1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16" i="55" s="1"/>
  <c r="O24" i="58"/>
  <c r="P24" i="58" s="1"/>
  <c r="O23" i="64"/>
  <c r="P23" i="64" s="1"/>
  <c r="O24" i="71"/>
  <c r="P24" i="71"/>
  <c r="O23" i="59"/>
  <c r="P23" i="59" s="1"/>
  <c r="O24" i="48"/>
  <c r="P24" i="48" s="1"/>
  <c r="O22" i="51"/>
  <c r="P22" i="51" s="1"/>
  <c r="O23" i="60"/>
  <c r="P23" i="60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 s="1"/>
  <c r="O17" i="50"/>
  <c r="P17" i="50" s="1"/>
  <c r="O19" i="55"/>
  <c r="P19" i="55" s="1"/>
  <c r="O16" i="72"/>
  <c r="P16" i="72" s="1"/>
  <c r="K25" i="72"/>
  <c r="K25" i="68"/>
  <c r="K25" i="64"/>
  <c r="K25" i="45"/>
  <c r="J25" i="55"/>
  <c r="P29" i="55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21" i="51"/>
  <c r="P21" i="51" s="1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68" s="1"/>
  <c r="P33" i="68" s="1"/>
  <c r="P34" i="68" s="1"/>
  <c r="P35" i="68" s="1"/>
  <c r="T28" i="62" s="1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P23" i="55" s="1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52" l="1"/>
  <c r="P24" i="55"/>
  <c r="O25" i="55"/>
  <c r="O25" i="48"/>
  <c r="P16" i="70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<sst xmlns="http://schemas.openxmlformats.org/spreadsheetml/2006/main" count="3978" uniqueCount="524">
  <si>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</si>
  <si>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</si>
  <si>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</si>
  <si>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</si>
  <si>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</si>
  <si>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</si>
  <si>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</si>
  <si>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</si>
  <si>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</si>
  <si>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</si>
  <si>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</si>
  <si>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</si>
  <si>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</si>
  <si>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</si>
  <si>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</si>
  <si>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</si>
  <si>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</si>
  <si>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</si>
  <si>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</si>
  <si>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</si>
  <si>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</si>
  <si>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</si>
  <si>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</si>
  <si>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</si>
  <si>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</si>
  <si>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</si>
  <si>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</si>
  <si>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</si>
  <si>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</si>
  <si>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</si>
  <si>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</si>
  <si>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</si>
  <si>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</si>
  <si>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</si>
  <si>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</si>
  <si>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</si>
  <si>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</si>
  <si>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</si>
  <si>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</si>
  <si>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</si>
  <si>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</si>
  <si>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</si>
  <si>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</si>
  <si>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</si>
  <si>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</si>
  <si>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</si>
  <si>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</si>
  <si>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</si>
  <si>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</si>
  <si>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</si>
  <si>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</si>
  <si>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</si>
  <si>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</si>
  <si>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</si>
  <si>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</si>
  <si>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</si>
  <si>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</si>
  <si>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</si>
  <si>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</si>
  <si>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</si>
  <si>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</si>
  <si>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</si>
  <si>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</si>
  <si>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</si>
  <si>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</si>
  <si>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</si>
  <si>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</si>
  <si>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</si>
  <si>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</si>
  <si>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</si>
  <si>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</si>
  <si>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</si>
  <si>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</si>
  <si>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</si>
  <si>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</si>
  <si>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</si>
  <si>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</si>
  <si>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</si>
  <si>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</si>
  <si>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</si>
  <si>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</si>
  <si>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</si>
  <si>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</si>
  <si>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</si>
  <si>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</si>
  <si>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</si>
  <si>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</si>
  <si>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</si>
  <si>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</si>
  <si>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</si>
  <si>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</si>
  <si>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</si>
  <si>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</si>
  <si>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</si>
  <si>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</si>
  <si>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</si>
  <si>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</si>
  <si>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</si>
  <si>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</si>
  <si>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</si>
  <si>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</si>
  <si>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</si>
  <si>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</si>
  <si>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</si>
  <si>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</si>
  <si>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</si>
  <si>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</si>
  <si>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</si>
  <si>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</si>
  <si>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</si>
  <si>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</si>
  <si>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</si>
  <si>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</si>
  <si>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</si>
  <si>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</si>
  <si>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</si>
  <si>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</si>
  <si>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</si>
  <si>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</si>
  <si>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</si>
  <si>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</si>
  <si>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</si>
  <si>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</si>
  <si>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</si>
  <si>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</si>
  <si>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</si>
  <si>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</si>
  <si>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</si>
  <si>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</si>
  <si>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</si>
  <si>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</si>
  <si>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</si>
  <si>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</si>
  <si>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</si>
  <si>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</si>
  <si>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</si>
  <si>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</si>
  <si>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</si>
  <si>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</si>
  <si>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</si>
  <si>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</si>
  <si>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</si>
  <si>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</si>
  <si>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</si>
  <si>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</si>
  <si>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</si>
  <si>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</si>
  <si>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</si>
  <si>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</si>
  <si>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</si>
  <si>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</si>
  <si>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</si>
  <si>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</si>
  <si>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</si>
  <si>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</si>
  <si>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</si>
  <si>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</si>
  <si>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</si>
  <si>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</si>
  <si>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</si>
  <si>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</si>
  <si>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</si>
  <si>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</si>
  <si>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</si>
  <si>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</si>
  <si>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</si>
  <si>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</si>
  <si>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</si>
  <si>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</si>
  <si>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</si>
  <si>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</si>
  <si>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</si>
  <si>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</si>
  <si>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</si>
  <si>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</si>
  <si>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</si>
  <si>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</si>
  <si>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</si>
  <si>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</si>
  <si>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</si>
  <si>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</si>
  <si>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</si>
  <si>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</si>
  <si>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</si>
  <si>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</si>
  <si>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</si>
  <si>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</si>
  <si>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</si>
  <si>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</si>
  <si>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</si>
  <si>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</si>
  <si>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</si>
  <si>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</si>
  <si>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</si>
  <si>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</si>
  <si>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</si>
  <si>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</si>
  <si>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</si>
  <si>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</si>
  <si>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</si>
  <si>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</si>
  <si>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</si>
  <si>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</si>
  <si>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</si>
  <si>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</si>
  <si>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</si>
  <si>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</si>
  <si>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</si>
  <si>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</si>
  <si>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</si>
  <si>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</si>
  <si>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</si>
  <si>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</si>
  <si>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</si>
  <si>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</si>
  <si>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</si>
  <si>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</si>
  <si>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</si>
  <si>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</si>
  <si>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</si>
  <si>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</si>
  <si>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</si>
  <si>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</si>
  <si>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</si>
  <si>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</si>
  <si>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</si>
  <si>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</si>
  <si>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</si>
  <si>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</si>
  <si>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</si>
  <si>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</si>
  <si>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</si>
  <si>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</si>
  <si>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</si>
  <si>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</si>
  <si>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</si>
  <si>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</si>
  <si>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</si>
  <si>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</si>
  <si>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</si>
  <si>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</si>
  <si>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</si>
  <si>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</si>
  <si>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</si>
  <si>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</si>
  <si>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</si>
  <si>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</si>
  <si>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</si>
  <si>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</si>
  <si>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</si>
  <si>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</si>
  <si>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</si>
  <si>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</si>
  <si>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</si>
  <si>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</si>
  <si>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</si>
  <si>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</si>
  <si>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</si>
  <si>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</si>
  <si>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</si>
  <si>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</si>
  <si>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</si>
  <si>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</si>
  <si>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</si>
  <si>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</si>
  <si>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</si>
  <si>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</si>
  <si>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</si>
  <si>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</si>
  <si>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</si>
  <si>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</si>
  <si>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</si>
  <si>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</si>
  <si>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</si>
  <si>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</si>
  <si>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</si>
  <si>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</si>
  <si>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</si>
  <si>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</si>
  <si>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</si>
  <si>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</si>
  <si>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</si>
  <si>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</si>
  <si>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</si>
  <si>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</si>
  <si>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</si>
  <si>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</si>
  <si>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</si>
  <si>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</si>
  <si>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</si>
  <si>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</si>
  <si>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</si>
  <si>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</si>
  <si>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</si>
  <si>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</si>
  <si>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</si>
  <si>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</si>
  <si>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</si>
  <si>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</si>
  <si>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</si>
  <si>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</si>
  <si>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</si>
  <si>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</si>
  <si>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</si>
  <si>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</si>
  <si>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</si>
  <si>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</si>
  <si>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</si>
  <si>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</si>
  <si>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</si>
  <si>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</si>
  <si>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</si>
  <si>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</si>
  <si>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</si>
  <si>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</si>
  <si>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</si>
  <si>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</si>
  <si>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</si>
  <si>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</si>
  <si>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</si>
  <si>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</si>
  <si>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</si>
  <si>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</si>
  <si>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</si>
  <si>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</si>
  <si>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</si>
  <si>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</si>
  <si>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</si>
  <si>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</si>
  <si>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</si>
  <si>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</si>
  <si>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</si>
  <si>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</si>
  <si>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</si>
  <si>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</si>
  <si>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</si>
  <si>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</si>
  <si>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</si>
  <si>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</si>
  <si>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</si>
  <si>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</si>
  <si>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</si>
  <si>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</si>
  <si>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</si>
  <si>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</si>
  <si>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</si>
  <si>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</si>
  <si>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</si>
  <si>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</si>
  <si>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</si>
  <si>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</si>
  <si>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</si>
  <si>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</si>
  <si>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</si>
  <si>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</si>
  <si>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</si>
  <si>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</si>
  <si>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</si>
  <si>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</si>
  <si>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</si>
  <si>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</si>
  <si>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</si>
  <si>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</si>
  <si>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</si>
  <si>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</si>
  <si>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</si>
  <si>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</si>
  <si>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</si>
  <si>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</si>
  <si>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</si>
  <si>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</si>
  <si>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</si>
  <si>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</si>
  <si>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</si>
  <si>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</si>
  <si>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</si>
  <si>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</si>
  <si>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</si>
  <si>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</si>
  <si>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</si>
  <si>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</si>
  <si>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</si>
  <si>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</si>
  <si>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</si>
  <si>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</si>
  <si>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</si>
  <si>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</si>
  <si>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</si>
  <si>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</si>
  <si>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</si>
  <si>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</si>
  <si>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</si>
  <si>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</si>
  <si>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</si>
  <si>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</si>
  <si>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</si>
  <si>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</si>
  <si>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</si>
  <si>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</si>
  <si>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</si>
  <si>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</si>
  <si>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</si>
  <si>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</si>
  <si>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</si>
  <si>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</si>
  <si>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</si>
  <si>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</si>
  <si>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</si>
  <si>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</si>
  <si>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</si>
  <si>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</si>
  <si>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</si>
  <si>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</si>
  <si>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</si>
  <si>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</si>
  <si>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</si>
  <si>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</si>
  <si>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</si>
  <si>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</si>
  <si>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</si>
  <si>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</si>
  <si>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</si>
  <si>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</si>
  <si>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</si>
  <si>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</si>
  <si>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</si>
  <si>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</si>
  <si>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</si>
  <si>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</si>
  <si>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</si>
  <si>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</si>
  <si>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</si>
  <si>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</si>
  <si>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</si>
  <si>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</si>
  <si>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</si>
  <si>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</si>
  <si>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</si>
  <si>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</si>
  <si>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</si>
  <si>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</si>
  <si>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</si>
  <si>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</si>
  <si>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</si>
  <si>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</si>
  <si>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</si>
  <si>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</si>
  <si>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</si>
  <si>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</si>
  <si>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</si>
  <si>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</si>
  <si>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</si>
  <si>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</si>
  <si>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</si>
  <si>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</si>
  <si>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</si>
  <si>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</si>
  <si>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</si>
  <si>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</si>
  <si>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</si>
  <si>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</si>
  <si>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</si>
  <si>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</si>
  <si>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</si>
  <si>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</si>
  <si>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</si>
  <si>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</si>
  <si>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</si>
  <si>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</si>
  <si>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</si>
  <si>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</si>
  <si>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</si>
  <si>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</si>
  <si>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</si>
  <si>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</si>
  <si>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</si>
  <si>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</si>
  <si>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</si>
  <si>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</si>
  <si>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</si>
  <si>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</si>
  <si>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</si>
  <si>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</si>
  <si>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</si>
  <si>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</si>
  <si>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</si>
  <si>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</si>
  <si>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</si>
  <si>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</si>
  <si>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</si>
  <si>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</si>
  <si>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</si>
  <si>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</si>
  <si>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</si>
  <si>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</si>
  <si>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</si>
  <si>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</si>
  <si>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</si>
  <si>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</si>
  <si>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</si>
  <si>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</si>
  <si>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</si>
  <si>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</si>
  <si>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</si>
  <si>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</si>
  <si>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</si>
  <si>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</si>
  <si>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</si>
  <si>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</si>
  <si>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</si>
  <si>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</si>
  <si>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</si>
  <si>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NTN #: 1010737-1</t>
  </si>
  <si>
    <t xml:space="preserve">Jalal Sons </t>
  </si>
  <si>
    <t>Address: Askari 10</t>
  </si>
  <si>
    <t xml:space="preserve">Address: Chatri Chowk </t>
  </si>
  <si>
    <t>Invoice No # :123124</t>
  </si>
  <si>
    <t xml:space="preserve">Address: H Block </t>
  </si>
  <si>
    <t>Invoice No # :000194</t>
  </si>
  <si>
    <t xml:space="preserve">Shakoor </t>
  </si>
  <si>
    <t>Address: H Block</t>
  </si>
  <si>
    <t>Invoice No # :4856154</t>
  </si>
  <si>
    <t>Shakoor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</si>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</sst>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6" t="s">
        <v>91</v>
      </c>
      <c r="B2" s="366"/>
      <c r="C2" s="366"/>
      <c r="E2" s="353" t="s">
        <v>498</v>
      </c>
      <c r="F2" s="354"/>
      <c r="G2" s="354"/>
      <c r="H2" s="351"/>
      <c r="I2" s="351"/>
      <c r="J2" s="352"/>
      <c r="R2" s="348" t="s">
        <v>497</v>
      </c>
      <c r="S2" s="349"/>
      <c r="T2" s="350"/>
    </row>
    <row r="3" spans="1:20 16377:16378" ht="21.75" customHeight="1" thickBot="1" x14ac:dyDescent="0.4">
      <c r="A3" s="367" t="s">
        <v>92</v>
      </c>
      <c r="B3" s="367"/>
      <c r="C3" s="367"/>
      <c r="E3" s="357" t="s">
        <v>508</v>
      </c>
      <c r="F3" s="358"/>
      <c r="G3" s="358"/>
      <c r="H3" s="355">
        <f ca="1">TODAY()</f>
        <v>46288</v>
      </c>
      <c r="I3" s="355"/>
      <c r="J3" s="356"/>
      <c r="K3" s="368" t="s">
        <v>43</v>
      </c>
      <c r="L3" s="368"/>
      <c r="M3" s="368"/>
      <c r="N3" s="367"/>
      <c r="O3" s="367"/>
      <c r="P3" s="367"/>
      <c r="R3" s="299">
        <v>1</v>
      </c>
      <c r="S3" s="300" t="str">
        <f>+'1'!A6:A6</f>
        <v xml:space="preserve">Jalal Sons </v>
      </c>
      <c r="T3" s="301">
        <f>+'1'!P35</f>
        <v>313514.63702542376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Jalal Sons </v>
      </c>
      <c r="T4" s="301">
        <f>+'2'!P35</f>
        <v>47027.195553813559</v>
      </c>
      <c r="XEX4" t="s">
        <v>105</v>
      </c>
    </row>
    <row r="5" spans="1:20 16377:16378" ht="21.75" customHeight="1" thickBot="1" x14ac:dyDescent="0.4">
      <c r="A5" s="387" t="s">
        <v>51</v>
      </c>
      <c r="B5" s="359"/>
      <c r="C5" s="389" t="s">
        <v>90</v>
      </c>
      <c r="D5" s="115" t="s">
        <v>52</v>
      </c>
      <c r="E5" s="391" t="s">
        <v>58</v>
      </c>
      <c r="F5" s="392"/>
      <c r="G5" s="364" t="s">
        <v>54</v>
      </c>
      <c r="H5" s="365"/>
      <c r="I5" s="393" t="s">
        <v>77</v>
      </c>
      <c r="J5" s="363" t="s">
        <v>55</v>
      </c>
      <c r="K5" s="364"/>
      <c r="L5" s="365"/>
      <c r="M5" s="359" t="s">
        <v>84</v>
      </c>
      <c r="N5" s="361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 xml:space="preserve">Jalal Sons </v>
      </c>
      <c r="T5" s="301">
        <f>+'3'!P35</f>
        <v>15620.950930137715</v>
      </c>
      <c r="XEX5" t="s">
        <v>106</v>
      </c>
    </row>
    <row r="6" spans="1:20 16377:16378" ht="21.75" customHeight="1" thickBot="1" x14ac:dyDescent="0.4">
      <c r="A6" s="388"/>
      <c r="B6" s="360"/>
      <c r="C6" s="39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2"/>
      <c r="J6" s="143" t="s">
        <v>59</v>
      </c>
      <c r="K6" s="144" t="s">
        <v>39</v>
      </c>
      <c r="L6" s="145" t="s">
        <v>493</v>
      </c>
      <c r="M6" s="360"/>
      <c r="N6" s="362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 xml:space="preserve">Jalal Sons 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920</v>
      </c>
      <c r="I7" s="235">
        <f>(G7*D7)*F7+H7*F7</f>
        <v>48265.5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7239.8249999999998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41025.675000000003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9122.0338983050806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250.73854449152543</v>
      </c>
      <c r="P7" s="310">
        <f>M7+N7+O7</f>
        <v>50398.447442796612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 xml:space="preserve">Jalal Sons 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919</v>
      </c>
      <c r="I8" s="236">
        <f t="shared" ref="I8:I14" si="0">(G8*D8)*F8+H8*F8</f>
        <v>48213.037499999999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7231.9556250000005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40981.081874999996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9112.118644067792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250.46600259533898</v>
      </c>
      <c r="P8" s="311">
        <f t="shared" ref="P8:P15" si="2">M8+N8+O8</f>
        <v>50343.66652166313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1</v>
      </c>
      <c r="R8" s="314">
        <v>6</v>
      </c>
      <c r="S8" s="300" t="str">
        <f>+'6'!A6:A6</f>
        <v xml:space="preserve">Jalal Sons 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1040</v>
      </c>
      <c r="I9" s="236">
        <f t="shared" si="0"/>
        <v>54561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8184.15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46376.85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10311.864406779658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283.44357203389831</v>
      </c>
      <c r="P9" s="311">
        <f t="shared" si="2"/>
        <v>56972.15797881355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 xml:space="preserve">Jalal Sons 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920</v>
      </c>
      <c r="I10" s="236">
        <f t="shared" si="0"/>
        <v>66828.800000000003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10024.32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56804.480000000003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12630.508474576272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347.17494237288133</v>
      </c>
      <c r="P10" s="311">
        <f t="shared" si="2"/>
        <v>69782.163416949144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 xml:space="preserve">Jalal Sons 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920</v>
      </c>
      <c r="I11" s="236">
        <f t="shared" si="0"/>
        <v>66828.800000000003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10024.32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56804.480000000003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12630.508474576272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347.17494237288133</v>
      </c>
      <c r="P11" s="311">
        <f t="shared" si="2"/>
        <v>69782.163416949144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 xml:space="preserve">Jalal Sons 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1040</v>
      </c>
      <c r="I12" s="236">
        <f t="shared" si="0"/>
        <v>75545.600000000006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11331.84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64213.760000000009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14277.966101694916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392.45863050847458</v>
      </c>
      <c r="P12" s="311">
        <f t="shared" si="2"/>
        <v>78884.184732203401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 xml:space="preserve">Jalal Sons 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 xml:space="preserve">Jalal Sons 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 xml:space="preserve">Jalal Sons 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 xml:space="preserve">Jalal Sons </v>
      </c>
      <c r="T15" s="301">
        <f>+'13'!P35</f>
        <v>0</v>
      </c>
    </row>
    <row r="16" spans="1:20 16377:16378" ht="21.75" customHeight="1" thickBot="1" x14ac:dyDescent="0.4">
      <c r="A16" s="369">
        <f>COUNT(A7:A15)</f>
        <v>0</v>
      </c>
      <c r="B16" s="370"/>
      <c r="C16" s="370" t="s">
        <v>40</v>
      </c>
      <c r="D16" s="370"/>
      <c r="E16" s="370"/>
      <c r="F16" s="371"/>
      <c r="G16" s="117">
        <f>H16/40</f>
        <v>143.97499999999999</v>
      </c>
      <c r="H16" s="113">
        <f t="shared" ref="H16:M16" si="3">SUM(H7:H15)</f>
        <v>5759</v>
      </c>
      <c r="I16" s="114">
        <f t="shared" si="3"/>
        <v>360242.73750000005</v>
      </c>
      <c r="J16" s="274">
        <f>SUM(J7:J15)</f>
        <v>54036.410625000004</v>
      </c>
      <c r="K16" s="275">
        <f t="shared" si="3"/>
        <v>0</v>
      </c>
      <c r="L16" s="276">
        <f t="shared" si="3"/>
        <v>0</v>
      </c>
      <c r="M16" s="232">
        <f t="shared" si="3"/>
        <v>306206.32687500003</v>
      </c>
      <c r="N16" s="233">
        <f>SUM(N7:N15)</f>
        <v>68084.999999999985</v>
      </c>
      <c r="O16" s="101">
        <f>SUM(O7:O15)</f>
        <v>1871.4566343749998</v>
      </c>
      <c r="P16" s="113">
        <f>SUM(P7:P15)</f>
        <v>376162.78350937495</v>
      </c>
      <c r="Q16" s="128">
        <f>SUM(Q7:Q15)</f>
        <v>1</v>
      </c>
      <c r="R16" s="314">
        <v>14</v>
      </c>
      <c r="S16" s="300" t="str">
        <f>+'14'!A6:A6</f>
        <v xml:space="preserve">Jalal Sons 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 xml:space="preserve">Jalal Sons 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 xml:space="preserve">Jalal Sons </v>
      </c>
      <c r="T18" s="301">
        <f>+'16'!P35</f>
        <v>0</v>
      </c>
    </row>
    <row r="19" spans="1:20" ht="21.75" customHeight="1" x14ac:dyDescent="0.35">
      <c r="B19" s="372" t="s">
        <v>64</v>
      </c>
      <c r="C19" s="373"/>
      <c r="D19" s="373"/>
      <c r="E19" s="373"/>
      <c r="F19" s="373"/>
      <c r="G19" s="373"/>
      <c r="H19" s="373"/>
      <c r="I19" s="373"/>
      <c r="J19" s="373"/>
      <c r="K19" s="373"/>
      <c r="L19" s="374"/>
      <c r="N19" s="381" t="s">
        <v>60</v>
      </c>
      <c r="O19" s="382"/>
      <c r="P19" s="139">
        <f>I16</f>
        <v>360242.73750000005</v>
      </c>
      <c r="R19" s="299">
        <v>17</v>
      </c>
      <c r="S19" s="300" t="str">
        <f>+'17'!A6:A6</f>
        <v xml:space="preserve">Jalal Sons </v>
      </c>
      <c r="T19" s="301">
        <f>+'17'!P35</f>
        <v>0</v>
      </c>
    </row>
    <row r="20" spans="1:20" ht="21.75" customHeight="1" x14ac:dyDescent="0.35">
      <c r="B20" s="375"/>
      <c r="C20" s="376"/>
      <c r="D20" s="376"/>
      <c r="E20" s="376"/>
      <c r="F20" s="376"/>
      <c r="G20" s="376"/>
      <c r="H20" s="376"/>
      <c r="I20" s="376"/>
      <c r="J20" s="376"/>
      <c r="K20" s="376"/>
      <c r="L20" s="377"/>
      <c r="N20" s="383" t="s">
        <v>85</v>
      </c>
      <c r="O20" s="384"/>
      <c r="P20" s="140">
        <f>+J16</f>
        <v>54036.410625000004</v>
      </c>
      <c r="R20" s="299">
        <v>18</v>
      </c>
      <c r="S20" s="300" t="str">
        <f>+'18'!A6:A6</f>
        <v xml:space="preserve">Jalal Sons </v>
      </c>
      <c r="T20" s="301">
        <f>+'18'!P35</f>
        <v>0</v>
      </c>
    </row>
    <row r="21" spans="1:20" ht="21.75" customHeight="1" x14ac:dyDescent="0.35">
      <c r="B21" s="375"/>
      <c r="C21" s="376"/>
      <c r="D21" s="376"/>
      <c r="E21" s="376"/>
      <c r="F21" s="376"/>
      <c r="G21" s="376"/>
      <c r="H21" s="376"/>
      <c r="I21" s="376"/>
      <c r="J21" s="376"/>
      <c r="K21" s="376"/>
      <c r="L21" s="377"/>
      <c r="N21" s="383" t="s">
        <v>86</v>
      </c>
      <c r="O21" s="384"/>
      <c r="P21" s="140">
        <f>+K16+L16</f>
        <v>0</v>
      </c>
      <c r="R21" s="299">
        <v>19</v>
      </c>
      <c r="S21" s="300" t="str">
        <f>+'19'!A6:A6</f>
        <v xml:space="preserve">Jalal Sons </v>
      </c>
      <c r="T21" s="301">
        <f>+'19'!P35</f>
        <v>0</v>
      </c>
    </row>
    <row r="22" spans="1:20" ht="21.75" customHeight="1" x14ac:dyDescent="0.35">
      <c r="B22" s="375"/>
      <c r="C22" s="376"/>
      <c r="D22" s="376"/>
      <c r="E22" s="376"/>
      <c r="F22" s="376"/>
      <c r="G22" s="376"/>
      <c r="H22" s="376"/>
      <c r="I22" s="376"/>
      <c r="J22" s="376"/>
      <c r="K22" s="376"/>
      <c r="L22" s="377"/>
      <c r="M22" s="131"/>
      <c r="N22" s="383" t="s">
        <v>87</v>
      </c>
      <c r="O22" s="384"/>
      <c r="P22" s="140">
        <f>P19-P20-P21</f>
        <v>306206.32687500003</v>
      </c>
      <c r="R22" s="299">
        <v>20</v>
      </c>
      <c r="S22" s="300" t="str">
        <f>+'20'!A6:A6</f>
        <v xml:space="preserve">Jalal Sons </v>
      </c>
      <c r="T22" s="301">
        <f>+'20'!P35</f>
        <v>0</v>
      </c>
    </row>
    <row r="23" spans="1:20" ht="21.75" customHeight="1" x14ac:dyDescent="0.35">
      <c r="B23" s="375"/>
      <c r="C23" s="376"/>
      <c r="D23" s="376"/>
      <c r="E23" s="376"/>
      <c r="F23" s="376"/>
      <c r="G23" s="376"/>
      <c r="H23" s="376"/>
      <c r="I23" s="376"/>
      <c r="J23" s="376"/>
      <c r="K23" s="376"/>
      <c r="L23" s="377"/>
      <c r="M23" s="131"/>
      <c r="N23" s="136" t="s">
        <v>61</v>
      </c>
      <c r="O23" s="133">
        <v>0.18</v>
      </c>
      <c r="P23" s="140">
        <f>+N16</f>
        <v>68084.999999999985</v>
      </c>
      <c r="R23" s="299">
        <v>21</v>
      </c>
      <c r="S23" s="300" t="str">
        <f>+'21'!A6:A6</f>
        <v xml:space="preserve">Jalal Sons </v>
      </c>
      <c r="T23" s="301">
        <f>+'21'!P35</f>
        <v>0</v>
      </c>
    </row>
    <row r="24" spans="1:20" ht="21.75" customHeight="1" x14ac:dyDescent="0.35">
      <c r="B24" s="375"/>
      <c r="C24" s="376"/>
      <c r="D24" s="376"/>
      <c r="E24" s="376"/>
      <c r="F24" s="376"/>
      <c r="G24" s="376"/>
      <c r="H24" s="376"/>
      <c r="I24" s="376"/>
      <c r="J24" s="376"/>
      <c r="K24" s="376"/>
      <c r="L24" s="377"/>
      <c r="M24" s="131"/>
      <c r="N24" s="385" t="s">
        <v>76</v>
      </c>
      <c r="O24" s="386"/>
      <c r="P24" s="140">
        <f>P22+P23</f>
        <v>374291.32687500003</v>
      </c>
      <c r="R24" s="299">
        <v>22</v>
      </c>
      <c r="S24" s="300" t="str">
        <f>+'22'!A6:A6</f>
        <v xml:space="preserve">Jalal Sons </v>
      </c>
      <c r="T24" s="301">
        <f>+'22'!P35</f>
        <v>0</v>
      </c>
    </row>
    <row r="25" spans="1:20" ht="21.75" customHeight="1" thickBot="1" x14ac:dyDescent="0.4">
      <c r="B25" s="378"/>
      <c r="C25" s="379"/>
      <c r="D25" s="379"/>
      <c r="E25" s="379"/>
      <c r="F25" s="379"/>
      <c r="G25" s="379"/>
      <c r="H25" s="379"/>
      <c r="I25" s="379"/>
      <c r="J25" s="379"/>
      <c r="K25" s="379"/>
      <c r="L25" s="380"/>
      <c r="M25" s="99"/>
      <c r="N25" s="138" t="s">
        <v>83</v>
      </c>
      <c r="O25" s="137" t="e">
        <f>IF(#REF!="Filer",0.5%,2.5%)</f>
        <v>#REF!</v>
      </c>
      <c r="P25" s="140">
        <f>+O16</f>
        <v>1871.4566343749998</v>
      </c>
      <c r="R25" s="299">
        <v>23</v>
      </c>
      <c r="S25" s="300" t="str">
        <f>+'23'!A6:A6</f>
        <v xml:space="preserve">Jalal Sons </v>
      </c>
      <c r="T25" s="301">
        <f>+'23'!P35</f>
        <v>0</v>
      </c>
    </row>
    <row r="26" spans="1:20" ht="21.75" customHeight="1" thickBot="1" x14ac:dyDescent="0.4">
      <c r="N26" s="342" t="s">
        <v>88</v>
      </c>
      <c r="O26" s="343"/>
      <c r="P26" s="297">
        <f>+P24+P25</f>
        <v>376162.783509375</v>
      </c>
      <c r="R26" s="299">
        <v>24</v>
      </c>
      <c r="S26" s="300" t="str">
        <f>+'24'!A6:A6</f>
        <v xml:space="preserve">Jalal Sons 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4"/>
      <c r="D27" s="344"/>
      <c r="E27" s="344"/>
      <c r="F27" s="344"/>
      <c r="G27" s="344"/>
      <c r="H27" s="344"/>
      <c r="I27" s="345"/>
      <c r="J27" s="346"/>
      <c r="K27" s="347"/>
      <c r="R27" s="299">
        <v>25</v>
      </c>
      <c r="S27" s="300" t="str">
        <f>+'25'!A6:A6</f>
        <v xml:space="preserve">Jalal Sons 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 xml:space="preserve">Jalal Sons 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 xml:space="preserve">Jalal Sons 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 xml:space="preserve">Jalal Sons 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 xml:space="preserve">Jalal Sons 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 xml:space="preserve">Jalal Sons 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376162.783509375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4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516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46286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46285</v>
      </c>
      <c r="O5" s="367"/>
      <c r="P5" s="367"/>
      <c r="R5" s="85"/>
      <c r="S5" s="266"/>
    </row>
    <row r="6" spans="1:22 16383:16384" ht="17.2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500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515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800</v>
      </c>
      <c r="I16" s="235">
        <f>(G16*D16)*F16+H16*F16</f>
        <v>41970</v>
      </c>
      <c r="J16" s="271">
        <f>$I16*S16</f>
        <v>6295.5</v>
      </c>
      <c r="K16" s="127">
        <f>$I16*T16</f>
        <v>0</v>
      </c>
      <c r="L16" s="118">
        <f>$I16*U16</f>
        <v>0</v>
      </c>
      <c r="M16" s="229">
        <f>I16-SUM(J16:L16)</f>
        <v>35674.5</v>
      </c>
      <c r="N16" s="248">
        <f>+(G16*D16+H16)*V16</f>
        <v>7932.2033898305053</v>
      </c>
      <c r="O16" s="238">
        <f>(N16+M16)*$O$15</f>
        <v>218.03351694915256</v>
      </c>
      <c r="P16" s="310">
        <f>M16+N16+O16</f>
        <v>43824.736906779661</v>
      </c>
      <c r="Q16" s="313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800</v>
      </c>
      <c r="I17" s="236">
        <f t="shared" ref="I17:I23" si="0">(G17*D17)*F17+H17*F17</f>
        <v>41970</v>
      </c>
      <c r="J17" s="272">
        <f t="shared" ref="J17:L24" si="1">$I17*S17</f>
        <v>6295.5</v>
      </c>
      <c r="K17" s="128">
        <f>$I17*T17</f>
        <v>0</v>
      </c>
      <c r="L17" s="119">
        <f>$I17*U17</f>
        <v>0</v>
      </c>
      <c r="M17" s="230">
        <f t="shared" ref="M17:M24" si="2">I17-SUM(J17:L17)</f>
        <v>35674.5</v>
      </c>
      <c r="N17" s="277">
        <f t="shared" ref="N17:N24" si="3">+(G17*D17+H17)*V17</f>
        <v>7932.2033898305053</v>
      </c>
      <c r="O17" s="239">
        <f t="shared" ref="O17:O24" si="4">(N17+M17)*$O$15</f>
        <v>218.03351694915256</v>
      </c>
      <c r="P17" s="311">
        <f t="shared" ref="P17:P24" si="5">M17+N17+O17</f>
        <v>43824.736906779661</v>
      </c>
      <c r="Q17" s="156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800</v>
      </c>
      <c r="I18" s="236">
        <f t="shared" ref="I18:I21" si="7">(G18*D18)*F18+H18*F18</f>
        <v>41970</v>
      </c>
      <c r="J18" s="272">
        <f t="shared" si="1"/>
        <v>6295.5</v>
      </c>
      <c r="K18" s="128">
        <f t="shared" si="1"/>
        <v>0</v>
      </c>
      <c r="L18" s="119">
        <f t="shared" si="1"/>
        <v>0</v>
      </c>
      <c r="M18" s="230">
        <f t="shared" si="2"/>
        <v>35674.5</v>
      </c>
      <c r="N18" s="277">
        <f t="shared" si="3"/>
        <v>7932.2033898305053</v>
      </c>
      <c r="O18" s="239">
        <f t="shared" si="4"/>
        <v>218.03351694915256</v>
      </c>
      <c r="P18" s="311">
        <f t="shared" si="5"/>
        <v>43824.736906779661</v>
      </c>
      <c r="Q18" s="156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800</v>
      </c>
      <c r="I19" s="236">
        <f t="shared" si="7"/>
        <v>58112</v>
      </c>
      <c r="J19" s="272">
        <f t="shared" si="1"/>
        <v>8716.7999999999993</v>
      </c>
      <c r="K19" s="128">
        <f t="shared" si="1"/>
        <v>0</v>
      </c>
      <c r="L19" s="119">
        <f t="shared" si="1"/>
        <v>0</v>
      </c>
      <c r="M19" s="230">
        <f t="shared" si="2"/>
        <v>49395.199999999997</v>
      </c>
      <c r="N19" s="277">
        <f t="shared" si="3"/>
        <v>10983.050847457627</v>
      </c>
      <c r="O19" s="239">
        <f t="shared" si="4"/>
        <v>301.89125423728814</v>
      </c>
      <c r="P19" s="311">
        <f t="shared" si="5"/>
        <v>60680.14210169491</v>
      </c>
      <c r="Q19" s="156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800</v>
      </c>
      <c r="I20" s="236">
        <f t="shared" si="7"/>
        <v>58112</v>
      </c>
      <c r="J20" s="272">
        <f t="shared" si="1"/>
        <v>8716.7999999999993</v>
      </c>
      <c r="K20" s="128">
        <f t="shared" si="1"/>
        <v>0</v>
      </c>
      <c r="L20" s="119">
        <f t="shared" si="1"/>
        <v>0</v>
      </c>
      <c r="M20" s="230">
        <f t="shared" si="2"/>
        <v>49395.199999999997</v>
      </c>
      <c r="N20" s="277">
        <f t="shared" si="3"/>
        <v>10983.050847457627</v>
      </c>
      <c r="O20" s="239">
        <f t="shared" si="4"/>
        <v>301.89125423728814</v>
      </c>
      <c r="P20" s="311">
        <f t="shared" si="5"/>
        <v>60680.14210169491</v>
      </c>
      <c r="Q20" s="156"/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800</v>
      </c>
      <c r="I21" s="236">
        <f t="shared" si="7"/>
        <v>58112</v>
      </c>
      <c r="J21" s="272">
        <f t="shared" si="1"/>
        <v>8716.7999999999993</v>
      </c>
      <c r="K21" s="128">
        <f t="shared" si="1"/>
        <v>0</v>
      </c>
      <c r="L21" s="119">
        <f t="shared" si="1"/>
        <v>0</v>
      </c>
      <c r="M21" s="230">
        <f t="shared" si="2"/>
        <v>49395.199999999997</v>
      </c>
      <c r="N21" s="277">
        <f t="shared" si="3"/>
        <v>10983.050847457627</v>
      </c>
      <c r="O21" s="239">
        <f t="shared" si="4"/>
        <v>301.89125423728814</v>
      </c>
      <c r="P21" s="311">
        <f t="shared" si="5"/>
        <v>60680.14210169491</v>
      </c>
      <c r="Q21" s="156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" si="8">SUM(G16:G24)</f>
        <v>0</v>
      </c>
      <c r="H25" s="113">
        <f t="shared" ref="H25" si="9">SUM(H16:H24)</f>
        <v>4800</v>
      </c>
      <c r="I25" s="114">
        <f t="shared" ref="I25:M25" si="10">SUM(I16:I24)</f>
        <v>300246</v>
      </c>
      <c r="J25" s="274">
        <f>SUM(J16:J24)</f>
        <v>45036.899999999994</v>
      </c>
      <c r="K25" s="275">
        <f t="shared" si="10"/>
        <v>0</v>
      </c>
      <c r="L25" s="276">
        <f t="shared" si="10"/>
        <v>0</v>
      </c>
      <c r="M25" s="232">
        <f t="shared" si="10"/>
        <v>255209.10000000003</v>
      </c>
      <c r="N25" s="233">
        <f>SUM(N16:N24)</f>
        <v>56745.762711864401</v>
      </c>
      <c r="O25" s="101">
        <f>SUM(O16:O24)</f>
        <v>1559.7743135593223</v>
      </c>
      <c r="P25" s="113">
        <f>SUM(P16:P24)</f>
        <v>313514.6370254237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300246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45036.899999999994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255209.1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56745.762711864401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311954.86271186441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1559.7743135593221</v>
      </c>
    </row>
    <row r="35" spans="2:16" ht="15.75" customHeight="1" thickBot="1" x14ac:dyDescent="0.4">
      <c r="N35" s="342" t="s">
        <v>88</v>
      </c>
      <c r="O35" s="343"/>
      <c r="P35" s="297">
        <f>+P33+P34</f>
        <v>313514.63702542376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abSelected="1" topLeftCell="A4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518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46286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46285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519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80</v>
      </c>
      <c r="I16" s="235">
        <f>(G16*D16)*F16+H16*F16</f>
        <v>4197</v>
      </c>
      <c r="J16" s="271">
        <f>$I16*S16</f>
        <v>629.54999999999995</v>
      </c>
      <c r="K16" s="127">
        <f>$I16*T16</f>
        <v>0</v>
      </c>
      <c r="L16" s="118">
        <f>$I16*U16</f>
        <v>0</v>
      </c>
      <c r="M16" s="229">
        <f>I16-SUM(J16:L16)</f>
        <v>3567.45</v>
      </c>
      <c r="N16" s="248">
        <f>+(G16*D16+H16)*V16</f>
        <v>793.22033898305051</v>
      </c>
      <c r="O16" s="238">
        <f>(N16+M16)*$O$15</f>
        <v>21.80335169491525</v>
      </c>
      <c r="P16" s="310">
        <f>M16+N16+O16</f>
        <v>4382.4736906779654</v>
      </c>
      <c r="Q16" s="313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80</v>
      </c>
      <c r="I17" s="236">
        <f t="shared" ref="I17:I23" si="0">(G17*D17)*F17+H17*F17</f>
        <v>4197</v>
      </c>
      <c r="J17" s="272">
        <f t="shared" ref="J17:L24" si="1">$I17*S17</f>
        <v>629.54999999999995</v>
      </c>
      <c r="K17" s="128">
        <f>$I17*T17</f>
        <v>0</v>
      </c>
      <c r="L17" s="119">
        <f>$I17*U17</f>
        <v>0</v>
      </c>
      <c r="M17" s="230">
        <f t="shared" ref="M17:M24" si="2">I17-SUM(J17:L17)</f>
        <v>3567.45</v>
      </c>
      <c r="N17" s="277">
        <f t="shared" ref="N17:N24" si="3">+(G17*D17+H17)*V17</f>
        <v>793.22033898305051</v>
      </c>
      <c r="O17" s="239">
        <f t="shared" ref="O17:O24" si="4">(N17+M17)*$O$15</f>
        <v>21.80335169491525</v>
      </c>
      <c r="P17" s="311">
        <f t="shared" ref="P17:P24" si="5">M17+N17+O17</f>
        <v>4382.4736906779654</v>
      </c>
      <c r="Q17" s="156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200</v>
      </c>
      <c r="I18" s="236">
        <f t="shared" si="0"/>
        <v>10492.5</v>
      </c>
      <c r="J18" s="272">
        <f t="shared" si="1"/>
        <v>1573.875</v>
      </c>
      <c r="K18" s="128">
        <f t="shared" si="1"/>
        <v>0</v>
      </c>
      <c r="L18" s="119">
        <f t="shared" si="1"/>
        <v>0</v>
      </c>
      <c r="M18" s="230">
        <f t="shared" si="2"/>
        <v>8918.625</v>
      </c>
      <c r="N18" s="277">
        <f t="shared" si="3"/>
        <v>1983.0508474576263</v>
      </c>
      <c r="O18" s="239">
        <f t="shared" si="4"/>
        <v>54.508379237288139</v>
      </c>
      <c r="P18" s="311">
        <f t="shared" si="5"/>
        <v>10956.184226694915</v>
      </c>
      <c r="Q18" s="156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80</v>
      </c>
      <c r="I19" s="236">
        <f t="shared" si="0"/>
        <v>5811.2</v>
      </c>
      <c r="J19" s="272">
        <f t="shared" si="1"/>
        <v>871.68</v>
      </c>
      <c r="K19" s="128">
        <f t="shared" si="1"/>
        <v>0</v>
      </c>
      <c r="L19" s="119">
        <f t="shared" si="1"/>
        <v>0</v>
      </c>
      <c r="M19" s="230">
        <f t="shared" si="2"/>
        <v>4939.5199999999995</v>
      </c>
      <c r="N19" s="277">
        <f t="shared" si="3"/>
        <v>1098.3050847457628</v>
      </c>
      <c r="O19" s="239">
        <f t="shared" si="4"/>
        <v>30.189125423728811</v>
      </c>
      <c r="P19" s="311">
        <f t="shared" si="5"/>
        <v>6068.014210169491</v>
      </c>
      <c r="Q19" s="156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</v>
      </c>
      <c r="I20" s="236">
        <f t="shared" si="0"/>
        <v>5811.2</v>
      </c>
      <c r="J20" s="272">
        <f t="shared" si="1"/>
        <v>871.68</v>
      </c>
      <c r="K20" s="128">
        <f t="shared" si="1"/>
        <v>0</v>
      </c>
      <c r="L20" s="119">
        <f t="shared" si="1"/>
        <v>0</v>
      </c>
      <c r="M20" s="230">
        <f t="shared" si="2"/>
        <v>4939.5199999999995</v>
      </c>
      <c r="N20" s="277">
        <f t="shared" si="3"/>
        <v>1098.3050847457628</v>
      </c>
      <c r="O20" s="239">
        <f t="shared" si="4"/>
        <v>30.189125423728811</v>
      </c>
      <c r="P20" s="311">
        <f t="shared" si="5"/>
        <v>6068.014210169491</v>
      </c>
      <c r="Q20" s="156"/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200</v>
      </c>
      <c r="I21" s="236">
        <f t="shared" si="0"/>
        <v>14528</v>
      </c>
      <c r="J21" s="272">
        <f t="shared" si="1"/>
        <v>2179.1999999999998</v>
      </c>
      <c r="K21" s="128">
        <f t="shared" si="1"/>
        <v>0</v>
      </c>
      <c r="L21" s="119">
        <f t="shared" si="1"/>
        <v>0</v>
      </c>
      <c r="M21" s="230">
        <f t="shared" si="2"/>
        <v>12348.8</v>
      </c>
      <c r="N21" s="277">
        <f t="shared" si="3"/>
        <v>2745.7627118644068</v>
      </c>
      <c r="O21" s="239">
        <f t="shared" si="4"/>
        <v>75.472813559322034</v>
      </c>
      <c r="P21" s="311">
        <f t="shared" si="5"/>
        <v>15170.035525423727</v>
      </c>
      <c r="Q21" s="156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720</v>
      </c>
      <c r="I25" s="114">
        <f t="shared" si="7"/>
        <v>45036.9</v>
      </c>
      <c r="J25" s="274">
        <f>SUM(J16:J24)</f>
        <v>6755.5349999999999</v>
      </c>
      <c r="K25" s="275">
        <f t="shared" si="7"/>
        <v>0</v>
      </c>
      <c r="L25" s="276">
        <f t="shared" si="7"/>
        <v>0</v>
      </c>
      <c r="M25" s="232">
        <f t="shared" si="7"/>
        <v>38281.364999999998</v>
      </c>
      <c r="N25" s="233">
        <f>SUM(N16:N24)</f>
        <v>8511.8644067796595</v>
      </c>
      <c r="O25" s="101">
        <f>SUM(O16:O24)</f>
        <v>233.96614703389832</v>
      </c>
      <c r="P25" s="113">
        <f>SUM(P16:P24)</f>
        <v>47027.195553813559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45036.9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6755.5349999999999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38281.365000000005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8511.8644067796595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46793.229406779661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233.96614703389832</v>
      </c>
    </row>
    <row r="35" spans="2:16" ht="15.75" customHeight="1" thickBot="1" x14ac:dyDescent="0.4">
      <c r="N35" s="342" t="s">
        <v>88</v>
      </c>
      <c r="O35" s="343"/>
      <c r="P35" s="297">
        <f>+P33+P34</f>
        <v>47027.195553813559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XFD38"/>
  <sheetViews>
    <sheetView topLeftCell="A7" workbookViewId="0">
      <selection activeCell="H17" sqref="H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1" spans="1:22 16383:16384" x14ac:dyDescent="0.35">
      <c r="J1" t="s">
        <v>523</v>
      </c>
    </row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521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46286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46285</v>
      </c>
      <c r="O5" s="367"/>
      <c r="P5" s="367"/>
      <c r="R5" s="85"/>
      <c r="S5" s="266"/>
    </row>
    <row r="6" spans="1:22 16383:16384" ht="18.7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522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520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314.77499999999998</v>
      </c>
      <c r="K16" s="127">
        <f>$I16*T16</f>
        <v>0</v>
      </c>
      <c r="L16" s="118">
        <f>$I16*U16</f>
        <v>0</v>
      </c>
      <c r="M16" s="229">
        <f>I16-SUM(J16:L16)</f>
        <v>1783.7249999999999</v>
      </c>
      <c r="N16" s="248">
        <f>+(G16*D16+H16)*V16</f>
        <v>396.61016949152526</v>
      </c>
      <c r="O16" s="238">
        <f>(N16+M16)*$O$15</f>
        <v>10.901675847457625</v>
      </c>
      <c r="P16" s="310">
        <f>M16+N16+O16</f>
        <v>2191.2368453389827</v>
      </c>
      <c r="Q16" s="313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39</v>
      </c>
      <c r="I17" s="236">
        <f t="shared" ref="I17:I23" si="0">(G17*D17)*F17+H17*F17</f>
        <v>2046.0374999999999</v>
      </c>
      <c r="J17" s="272">
        <f t="shared" ref="J17:L24" si="1">$I17*S17</f>
        <v>306.90562499999999</v>
      </c>
      <c r="K17" s="128">
        <f>$I17*T17</f>
        <v>0</v>
      </c>
      <c r="L17" s="119">
        <f>$I17*U17</f>
        <v>0</v>
      </c>
      <c r="M17" s="230">
        <f t="shared" ref="M17:M24" si="2">I17-SUM(J17:L17)</f>
        <v>1739.131875</v>
      </c>
      <c r="N17" s="277">
        <f t="shared" ref="N17:N24" si="3">+(G17*D17+H17)*V17</f>
        <v>386.69491525423712</v>
      </c>
      <c r="O17" s="239">
        <f t="shared" ref="O17:O24" si="4">(N17+M17)*$O$15</f>
        <v>10.629133951271186</v>
      </c>
      <c r="P17" s="311">
        <f t="shared" ref="P17:P24" si="5">M17+N17+O17</f>
        <v>2136.4559242055084</v>
      </c>
      <c r="Q17" s="156">
        <v>1</v>
      </c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314.77499999999998</v>
      </c>
      <c r="K18" s="128">
        <f t="shared" si="1"/>
        <v>0</v>
      </c>
      <c r="L18" s="119">
        <f t="shared" si="1"/>
        <v>0</v>
      </c>
      <c r="M18" s="230">
        <f t="shared" si="2"/>
        <v>1783.7249999999999</v>
      </c>
      <c r="N18" s="277">
        <f t="shared" si="3"/>
        <v>396.61016949152526</v>
      </c>
      <c r="O18" s="239">
        <f t="shared" si="4"/>
        <v>10.901675847457625</v>
      </c>
      <c r="P18" s="311">
        <f t="shared" si="5"/>
        <v>2191.2368453389827</v>
      </c>
      <c r="Q18" s="156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435.84</v>
      </c>
      <c r="K19" s="128">
        <f t="shared" si="1"/>
        <v>0</v>
      </c>
      <c r="L19" s="119">
        <f t="shared" si="1"/>
        <v>0</v>
      </c>
      <c r="M19" s="230">
        <f t="shared" si="2"/>
        <v>2469.7599999999998</v>
      </c>
      <c r="N19" s="277">
        <f t="shared" si="3"/>
        <v>549.15254237288138</v>
      </c>
      <c r="O19" s="239">
        <f t="shared" si="4"/>
        <v>15.094562711864405</v>
      </c>
      <c r="P19" s="311">
        <f t="shared" si="5"/>
        <v>3034.0071050847455</v>
      </c>
      <c r="Q19" s="156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435.84</v>
      </c>
      <c r="K20" s="128">
        <f t="shared" si="1"/>
        <v>0</v>
      </c>
      <c r="L20" s="119">
        <f t="shared" si="1"/>
        <v>0</v>
      </c>
      <c r="M20" s="230">
        <f t="shared" si="2"/>
        <v>2469.7599999999998</v>
      </c>
      <c r="N20" s="277">
        <f t="shared" si="3"/>
        <v>549.15254237288138</v>
      </c>
      <c r="O20" s="239">
        <f t="shared" si="4"/>
        <v>15.094562711864405</v>
      </c>
      <c r="P20" s="311">
        <f t="shared" si="5"/>
        <v>3034.0071050847455</v>
      </c>
      <c r="Q20" s="156"/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435.84</v>
      </c>
      <c r="K21" s="128">
        <f t="shared" si="1"/>
        <v>0</v>
      </c>
      <c r="L21" s="119">
        <f t="shared" si="1"/>
        <v>0</v>
      </c>
      <c r="M21" s="230">
        <f t="shared" si="2"/>
        <v>2469.7599999999998</v>
      </c>
      <c r="N21" s="277">
        <f t="shared" si="3"/>
        <v>549.15254237288138</v>
      </c>
      <c r="O21" s="239">
        <f t="shared" si="4"/>
        <v>15.094562711864405</v>
      </c>
      <c r="P21" s="311">
        <f t="shared" si="5"/>
        <v>3034.0071050847455</v>
      </c>
      <c r="Q21" s="156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239</v>
      </c>
      <c r="I25" s="114">
        <f t="shared" si="7"/>
        <v>14959.837500000001</v>
      </c>
      <c r="J25" s="274">
        <f>SUM(J16:J24)</f>
        <v>2243.975625</v>
      </c>
      <c r="K25" s="275">
        <f t="shared" si="7"/>
        <v>0</v>
      </c>
      <c r="L25" s="276">
        <f t="shared" si="7"/>
        <v>0</v>
      </c>
      <c r="M25" s="232">
        <f t="shared" si="7"/>
        <v>12715.861875000001</v>
      </c>
      <c r="N25" s="233">
        <f>SUM(N16:N24)</f>
        <v>2827.3728813559314</v>
      </c>
      <c r="O25" s="101">
        <f>SUM(O16:O24)</f>
        <v>77.716173781779645</v>
      </c>
      <c r="P25" s="113">
        <f>SUM(P16:P24)</f>
        <v>15620.950930137711</v>
      </c>
      <c r="Q25" s="128">
        <f>SUM(Q16:Q24)</f>
        <v>1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14959.837500000001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2243.975625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12715.861875000002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2827.3728813559314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15543.234756355934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77.716173781779673</v>
      </c>
    </row>
    <row r="35" spans="2:16" ht="15.75" customHeight="1" thickBot="1" x14ac:dyDescent="0.4">
      <c r="N35" s="342" t="s">
        <v>88</v>
      </c>
      <c r="O35" s="343"/>
      <c r="P35" s="297">
        <f>+P33+P34</f>
        <v>15620.950930137715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46286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46285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46286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46285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46286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46285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46286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46285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46286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46285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46286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46285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46286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46285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46286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46285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46286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46285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46286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46285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46286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46285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46286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46285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46286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46285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46286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46285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46286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46285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46286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46285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46286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46285</v>
      </c>
      <c r="O5" s="367"/>
      <c r="P5" s="367"/>
      <c r="R5" s="85"/>
      <c r="S5" s="266"/>
    </row>
    <row r="6" spans="1:22 16383:16384" ht="18.7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46286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46285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46286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46285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46286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46285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46286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46285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46286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46285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46286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46285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46286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46285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46286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46285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46286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46285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46286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46285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6" t="s">
        <v>91</v>
      </c>
      <c r="B2" s="366"/>
      <c r="C2" s="366"/>
    </row>
    <row r="3" spans="1:18 16382:16383" ht="15" customHeight="1" x14ac:dyDescent="0.35">
      <c r="A3" s="367" t="s">
        <v>92</v>
      </c>
      <c r="B3" s="367"/>
      <c r="C3" s="367"/>
      <c r="F3" s="85"/>
      <c r="G3" s="1"/>
      <c r="J3" s="368" t="s">
        <v>43</v>
      </c>
      <c r="K3" s="368"/>
      <c r="L3" s="368"/>
      <c r="M3" s="367"/>
      <c r="N3" s="367"/>
      <c r="O3" s="367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7" t="s">
        <v>65</v>
      </c>
      <c r="B4" s="367"/>
      <c r="C4" s="367"/>
      <c r="F4" s="85"/>
      <c r="G4" s="1"/>
      <c r="J4" s="368" t="s">
        <v>44</v>
      </c>
      <c r="K4" s="368"/>
      <c r="L4" s="368"/>
      <c r="M4" s="398">
        <f ca="1">TODAY()+1</f>
        <v>46289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5" t="s">
        <v>93</v>
      </c>
      <c r="B5" s="395"/>
      <c r="C5" s="395"/>
      <c r="F5" s="85"/>
      <c r="G5" s="1"/>
      <c r="J5" s="368" t="s">
        <v>45</v>
      </c>
      <c r="K5" s="368"/>
      <c r="L5" s="368"/>
      <c r="M5" s="398">
        <f ca="1">M4-1</f>
        <v>46288</v>
      </c>
      <c r="N5" s="367"/>
      <c r="O5" s="367"/>
      <c r="Q5" s="85"/>
      <c r="R5" s="1"/>
    </row>
    <row r="6" spans="1:18 16382:16383" ht="15" customHeight="1" x14ac:dyDescent="0.35">
      <c r="A6" s="368" t="s">
        <v>94</v>
      </c>
      <c r="B6" s="368"/>
      <c r="C6" s="368"/>
      <c r="F6" s="85"/>
      <c r="G6" s="86"/>
      <c r="J6" s="368" t="s">
        <v>69</v>
      </c>
      <c r="K6" s="368"/>
      <c r="L6" s="368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8" t="s">
        <v>73</v>
      </c>
      <c r="B7" s="368"/>
      <c r="C7" s="368"/>
      <c r="F7" s="85"/>
      <c r="G7" s="86"/>
      <c r="J7" s="368" t="s">
        <v>66</v>
      </c>
      <c r="K7" s="368"/>
      <c r="L7" s="368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4" t="s">
        <v>95</v>
      </c>
      <c r="B8" s="394"/>
      <c r="C8" s="394"/>
      <c r="F8" s="85"/>
      <c r="G8" s="86"/>
      <c r="J8" s="368" t="s">
        <v>67</v>
      </c>
      <c r="K8" s="368"/>
      <c r="L8" s="368"/>
      <c r="M8" s="397" t="s">
        <v>71</v>
      </c>
      <c r="N8" s="397"/>
      <c r="O8" s="397"/>
      <c r="Q8" s="85"/>
      <c r="R8" s="86"/>
    </row>
    <row r="9" spans="1:18 16382:16383" x14ac:dyDescent="0.35">
      <c r="A9" s="394" t="s">
        <v>96</v>
      </c>
      <c r="B9" s="394"/>
      <c r="C9" s="394"/>
      <c r="F9" s="85"/>
      <c r="G9" s="86"/>
      <c r="J9" s="368" t="s">
        <v>68</v>
      </c>
      <c r="K9" s="368"/>
      <c r="L9" s="368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394" t="s">
        <v>97</v>
      </c>
      <c r="B10" s="394"/>
      <c r="C10" s="394"/>
      <c r="F10" s="85"/>
      <c r="G10" s="1"/>
      <c r="J10" s="368" t="s">
        <v>46</v>
      </c>
      <c r="K10" s="368"/>
      <c r="L10" s="368"/>
      <c r="M10" s="367" t="s">
        <v>47</v>
      </c>
      <c r="N10" s="367"/>
      <c r="O10" s="367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8" t="s">
        <v>48</v>
      </c>
      <c r="K11" s="368"/>
      <c r="L11" s="368"/>
      <c r="M11" s="367" t="s">
        <v>49</v>
      </c>
      <c r="N11" s="367"/>
      <c r="O11" s="367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8" t="s">
        <v>50</v>
      </c>
      <c r="K12" s="368"/>
      <c r="L12" s="368"/>
      <c r="M12" s="367"/>
      <c r="N12" s="367"/>
      <c r="O12" s="367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7" t="s">
        <v>51</v>
      </c>
      <c r="B14" s="359"/>
      <c r="C14" s="389" t="s">
        <v>90</v>
      </c>
      <c r="D14" s="88" t="s">
        <v>52</v>
      </c>
      <c r="E14" s="95" t="s">
        <v>74</v>
      </c>
      <c r="F14" s="115" t="s">
        <v>53</v>
      </c>
      <c r="G14" s="363" t="s">
        <v>54</v>
      </c>
      <c r="H14" s="365"/>
      <c r="I14" s="393" t="s">
        <v>77</v>
      </c>
      <c r="J14" s="364" t="s">
        <v>55</v>
      </c>
      <c r="K14" s="365"/>
      <c r="L14" s="39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8"/>
      <c r="B15" s="360"/>
      <c r="C15" s="39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2"/>
      <c r="J15" s="144" t="s">
        <v>39</v>
      </c>
      <c r="K15" s="145" t="s">
        <v>59</v>
      </c>
      <c r="L15" s="362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4"/>
      <c r="M28" s="381" t="s">
        <v>60</v>
      </c>
      <c r="N28" s="382"/>
      <c r="O28" s="139">
        <f>I25</f>
        <v>1452.8</v>
      </c>
    </row>
    <row r="29" spans="1:18 16383:16383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7"/>
      <c r="M29" s="383" t="s">
        <v>85</v>
      </c>
      <c r="N29" s="384"/>
      <c r="O29" s="140">
        <f>K25</f>
        <v>0</v>
      </c>
    </row>
    <row r="30" spans="1:18 16383:16383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7"/>
      <c r="M30" s="383" t="s">
        <v>86</v>
      </c>
      <c r="N30" s="384"/>
      <c r="O30" s="140">
        <f>J25</f>
        <v>50.848000000000006</v>
      </c>
    </row>
    <row r="31" spans="1:18 16383:16383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7"/>
      <c r="L31" s="131"/>
      <c r="M31" s="383" t="s">
        <v>87</v>
      </c>
      <c r="N31" s="384"/>
      <c r="O31" s="140">
        <f>O28-O29-O30</f>
        <v>1401.952</v>
      </c>
    </row>
    <row r="32" spans="1:18 16383:16383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7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7"/>
      <c r="L33" s="131"/>
      <c r="M33" s="385" t="s">
        <v>76</v>
      </c>
      <c r="N33" s="386"/>
      <c r="O33" s="140">
        <f>O31+O32</f>
        <v>1710.3814400000001</v>
      </c>
    </row>
    <row r="34" spans="2:15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80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2" t="s">
        <v>88</v>
      </c>
      <c r="N35" s="343"/>
      <c r="O35" s="141">
        <f>O28-O29+O31+O34</f>
        <v>2897.511536</v>
      </c>
    </row>
    <row r="36" spans="2:15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1" t="s">
        <v>439</v>
      </c>
      <c r="E1" s="334" t="s">
        <v>58</v>
      </c>
      <c r="F1" s="334"/>
      <c r="G1" s="335" t="s">
        <v>440</v>
      </c>
      <c r="H1" s="335"/>
      <c r="I1" s="408" t="s">
        <v>441</v>
      </c>
      <c r="J1" s="408"/>
      <c r="K1" s="408" t="s">
        <v>442</v>
      </c>
      <c r="L1" s="408"/>
      <c r="M1" s="403" t="s">
        <v>484</v>
      </c>
      <c r="N1" s="404"/>
      <c r="O1" s="405"/>
    </row>
    <row r="2" spans="3:24" ht="29" x14ac:dyDescent="0.35">
      <c r="C2" s="334"/>
      <c r="D2" s="401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2" t="s">
        <v>58</v>
      </c>
      <c r="F7" s="402"/>
      <c r="G7" s="400" t="s">
        <v>440</v>
      </c>
      <c r="H7" s="335"/>
      <c r="I7" s="336" t="s">
        <v>441</v>
      </c>
      <c r="J7" s="337"/>
      <c r="K7" s="336" t="s">
        <v>442</v>
      </c>
      <c r="L7" s="337"/>
      <c r="M7" s="403" t="s">
        <v>484</v>
      </c>
      <c r="N7" s="404"/>
      <c r="O7" s="405"/>
      <c r="P7" s="256" t="s">
        <v>475</v>
      </c>
      <c r="Q7" s="242" t="s">
        <v>473</v>
      </c>
      <c r="R7" s="401" t="s">
        <v>475</v>
      </c>
      <c r="S7" s="401" t="s">
        <v>485</v>
      </c>
      <c r="T7" s="399" t="s">
        <v>486</v>
      </c>
      <c r="U7" s="399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1"/>
      <c r="S8" s="401"/>
      <c r="T8" s="400"/>
      <c r="U8" s="40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403" t="s">
        <v>484</v>
      </c>
      <c r="N13" s="404"/>
      <c r="O13" s="405"/>
      <c r="P13" s="256" t="s">
        <v>475</v>
      </c>
      <c r="Q13" s="242" t="s">
        <v>473</v>
      </c>
      <c r="R13" s="401" t="s">
        <v>475</v>
      </c>
      <c r="S13" s="401" t="s">
        <v>485</v>
      </c>
      <c r="T13" s="399" t="s">
        <v>486</v>
      </c>
      <c r="U13" s="399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1"/>
      <c r="S14" s="401"/>
      <c r="T14" s="400"/>
      <c r="U14" s="40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403" t="s">
        <v>484</v>
      </c>
      <c r="N20" s="404"/>
      <c r="O20" s="405"/>
      <c r="P20" s="256" t="s">
        <v>475</v>
      </c>
      <c r="Q20" s="242" t="s">
        <v>473</v>
      </c>
      <c r="R20" s="401" t="s">
        <v>475</v>
      </c>
      <c r="S20" s="401" t="s">
        <v>485</v>
      </c>
      <c r="T20" s="399" t="s">
        <v>486</v>
      </c>
      <c r="U20" s="399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1"/>
      <c r="S21" s="401"/>
      <c r="T21" s="400"/>
      <c r="U21" s="40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403" t="s">
        <v>484</v>
      </c>
      <c r="N27" s="404"/>
      <c r="O27" s="405"/>
      <c r="P27" s="256" t="s">
        <v>475</v>
      </c>
      <c r="Q27" s="242" t="s">
        <v>473</v>
      </c>
      <c r="R27" s="401" t="s">
        <v>475</v>
      </c>
      <c r="S27" s="401" t="s">
        <v>485</v>
      </c>
      <c r="T27" s="399" t="s">
        <v>486</v>
      </c>
      <c r="U27" s="399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1"/>
      <c r="S28" s="401"/>
      <c r="T28" s="400"/>
      <c r="U28" s="40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1" t="s">
        <v>439</v>
      </c>
      <c r="D1" s="334" t="s">
        <v>58</v>
      </c>
      <c r="E1" s="334"/>
      <c r="F1" s="335" t="s">
        <v>440</v>
      </c>
      <c r="G1" s="335"/>
      <c r="H1" s="408" t="s">
        <v>441</v>
      </c>
      <c r="I1" s="408"/>
      <c r="J1" s="408" t="s">
        <v>442</v>
      </c>
      <c r="K1" s="408"/>
      <c r="L1" s="403" t="s">
        <v>484</v>
      </c>
      <c r="M1" s="404"/>
      <c r="N1" s="405"/>
    </row>
    <row r="2" spans="2:17" ht="29" x14ac:dyDescent="0.35">
      <c r="B2" s="334"/>
      <c r="C2" s="401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0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0"/>
      <c r="G60" s="160" t="s">
        <v>195</v>
      </c>
      <c r="H60" s="161" t="s">
        <v>100</v>
      </c>
    </row>
    <row r="61" spans="5:8" x14ac:dyDescent="0.35">
      <c r="E61" s="159" t="s">
        <v>192</v>
      </c>
      <c r="F61" s="410"/>
      <c r="G61" s="160" t="s">
        <v>196</v>
      </c>
      <c r="H61" s="161" t="s">
        <v>98</v>
      </c>
    </row>
    <row r="62" spans="5:8" x14ac:dyDescent="0.35">
      <c r="E62" s="159" t="s">
        <v>192</v>
      </c>
      <c r="F62" s="410"/>
      <c r="G62" s="160" t="s">
        <v>197</v>
      </c>
      <c r="H62" s="161" t="s">
        <v>101</v>
      </c>
    </row>
    <row r="63" spans="5:8" x14ac:dyDescent="0.35">
      <c r="E63" s="159" t="s">
        <v>192</v>
      </c>
      <c r="F63" s="410"/>
      <c r="G63" s="160" t="s">
        <v>198</v>
      </c>
      <c r="H63" s="161" t="s">
        <v>102</v>
      </c>
    </row>
    <row r="64" spans="5:8" x14ac:dyDescent="0.35">
      <c r="E64" s="159" t="s">
        <v>192</v>
      </c>
      <c r="F64" s="410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0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0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0"/>
      <c r="G121" s="160" t="s">
        <v>273</v>
      </c>
      <c r="H121" s="161" t="s">
        <v>98</v>
      </c>
    </row>
    <row r="122" spans="5:8" x14ac:dyDescent="0.35">
      <c r="E122" s="159" t="s">
        <v>269</v>
      </c>
      <c r="F122" s="410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0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0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0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0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0"/>
      <c r="G241" s="160" t="s">
        <v>432</v>
      </c>
      <c r="H241" s="161" t="s">
        <v>98</v>
      </c>
    </row>
    <row r="242" spans="5:8" x14ac:dyDescent="0.35">
      <c r="E242" s="159" t="s">
        <v>428</v>
      </c>
      <c r="F242" s="410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0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0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2026-09-23T05:04:57Z</dcterms:modified>
</cp:coreProperties>
</file>