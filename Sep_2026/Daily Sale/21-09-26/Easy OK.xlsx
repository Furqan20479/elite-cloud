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CB63244-3BAA-4CE0-AFC2-016F64E7A157}" xr6:coauthVersionLast="47" xr6:coauthVersionMax="47" xr10:uidLastSave="{00000000-0000-0000-0000-000000000000}"/>
  <bookViews>
    <workbookView xWindow="-110" yWindow="-110" windowWidth="19420" windowHeight="10420" tabRatio="948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  <definedName name="_xlnm.Print_Area" localSheetId="5">'2'!$A$1:$P$36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3"/>
  <c r="N4" i="61"/>
  <c r="N4" i="70"/>
  <c r="N4" i="46"/>
  <c r="N4" i="58"/>
  <c r="N4" i="63"/>
  <c r="N4" i="67"/>
  <c r="N5" i="67" s="1"/>
  <c r="N4" i="59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4" i="68"/>
  <c r="N5" i="68" s="1"/>
  <c r="N5" i="11"/>
  <c r="N4" i="51"/>
  <c r="N5" i="51" s="1"/>
  <c r="N4" i="50"/>
  <c r="N5" i="50" s="1"/>
  <c r="N4" i="57"/>
  <c r="N4" i="55"/>
  <c r="N5" i="55" s="1"/>
  <c r="N4" i="69"/>
  <c r="N5" i="69" s="1"/>
  <c r="N4" i="65"/>
  <c r="N5" i="65" s="1"/>
  <c r="N4" i="60"/>
  <c r="N4" i="52"/>
  <c r="N5" i="52" s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J25" i="61"/>
  <c r="P29" i="61" s="1"/>
  <c r="J7" i="62"/>
  <c r="M16" i="59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<sst xmlns="http://schemas.openxmlformats.org/spreadsheetml/2006/main" count="3918" uniqueCount="518">
  <si>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</si>
  <si>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</si>
  <si>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</si>
  <si>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</si>
  <si>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</si>
  <si>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</si>
  <si>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</si>
  <si>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</si>
  <si>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</si>
  <si>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</si>
  <si>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</si>
  <si>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</si>
  <si>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</si>
  <si>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</si>
  <si>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</si>
  <si>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</si>
  <si>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</si>
  <si>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</si>
  <si>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</si>
  <si>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</si>
  <si>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</si>
  <si>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</si>
  <si>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</si>
  <si>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</si>
  <si>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</si>
  <si>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</si>
  <si>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</si>
  <si>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</si>
  <si>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</si>
  <si>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</si>
  <si>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</si>
  <si>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</si>
  <si>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</si>
  <si>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</si>
  <si>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</si>
  <si>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</si>
  <si>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</si>
  <si>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</si>
  <si>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</si>
  <si>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</si>
  <si>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</si>
  <si>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</si>
  <si>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</si>
  <si>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</si>
  <si>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</si>
  <si>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</si>
  <si>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</si>
  <si>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</si>
  <si>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</si>
  <si>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</si>
  <si>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</si>
  <si>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</si>
  <si>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</si>
  <si>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</si>
  <si>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</si>
  <si>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</si>
  <si>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</si>
  <si>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</si>
  <si>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</si>
  <si>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</si>
  <si>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</si>
  <si>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</si>
  <si>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</si>
  <si>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</si>
  <si>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</si>
  <si>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</si>
  <si>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</si>
  <si>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</si>
  <si>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</si>
  <si>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</si>
  <si>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</si>
  <si>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</si>
  <si>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</si>
  <si>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</si>
  <si>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</si>
  <si>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</si>
  <si>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</si>
  <si>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</si>
  <si>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</si>
  <si>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</si>
  <si>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</si>
  <si>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</si>
  <si>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</si>
  <si>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</si>
  <si>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</si>
  <si>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</si>
  <si>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</si>
  <si>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</si>
  <si>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</si>
  <si>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</si>
  <si>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</si>
  <si>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</si>
  <si>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</si>
  <si>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</si>
  <si>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</si>
  <si>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</si>
  <si>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</si>
  <si>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</si>
  <si>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</si>
  <si>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</si>
  <si>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</si>
  <si>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</si>
  <si>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</si>
  <si>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</si>
  <si>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</si>
  <si>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</si>
  <si>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</si>
  <si>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</si>
  <si>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</si>
  <si>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</si>
  <si>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</si>
  <si>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</si>
  <si>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</si>
  <si>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</si>
  <si>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</si>
  <si>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</si>
  <si>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</si>
  <si>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</si>
  <si>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</si>
  <si>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</si>
  <si>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</si>
  <si>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</si>
  <si>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</si>
  <si>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</si>
  <si>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</si>
  <si>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</si>
  <si>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</si>
  <si>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</si>
  <si>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</si>
  <si>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</si>
  <si>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</si>
  <si>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</si>
  <si>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</si>
  <si>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</si>
  <si>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</si>
  <si>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</si>
  <si>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</si>
  <si>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</si>
  <si>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</si>
  <si>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</si>
  <si>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</si>
  <si>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</si>
  <si>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</si>
  <si>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</si>
  <si>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</si>
  <si>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</si>
  <si>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</si>
  <si>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</si>
  <si>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</si>
  <si>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</si>
  <si>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</si>
  <si>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</si>
  <si>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</si>
  <si>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</si>
  <si>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</si>
  <si>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</si>
  <si>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</si>
  <si>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</si>
  <si>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</si>
  <si>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</si>
  <si>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</si>
  <si>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</si>
  <si>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</si>
  <si>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</si>
  <si>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</si>
  <si>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</si>
  <si>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</si>
  <si>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</si>
  <si>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</si>
  <si>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</si>
  <si>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</si>
  <si>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</si>
  <si>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</si>
  <si>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</si>
  <si>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</si>
  <si>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</si>
  <si>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</si>
  <si>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</si>
  <si>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</si>
  <si>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</si>
  <si>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</si>
  <si>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</si>
  <si>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</si>
  <si>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</si>
  <si>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</si>
  <si>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</si>
  <si>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</si>
  <si>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</si>
  <si>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</si>
  <si>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</si>
  <si>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</si>
  <si>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</si>
  <si>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</si>
  <si>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</si>
  <si>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</si>
  <si>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</si>
  <si>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</si>
  <si>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</si>
  <si>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</si>
  <si>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</si>
  <si>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</si>
  <si>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</si>
  <si>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</si>
  <si>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</si>
  <si>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</si>
  <si>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</si>
  <si>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</si>
  <si>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</si>
  <si>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</si>
  <si>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</si>
  <si>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</si>
  <si>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</si>
  <si>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</si>
  <si>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</si>
  <si>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</si>
  <si>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</si>
  <si>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</si>
  <si>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</si>
  <si>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</si>
  <si>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</si>
  <si>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</si>
  <si>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</si>
  <si>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</si>
  <si>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</si>
  <si>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</si>
  <si>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</si>
  <si>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</si>
  <si>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</si>
  <si>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</si>
  <si>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</si>
  <si>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</si>
  <si>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</si>
  <si>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</si>
  <si>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</si>
  <si>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</si>
  <si>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</si>
  <si>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</si>
  <si>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</si>
  <si>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</si>
  <si>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</si>
  <si>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</si>
  <si>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</si>
  <si>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</si>
  <si>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</si>
  <si>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</si>
  <si>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</si>
  <si>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</si>
  <si>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</si>
  <si>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</si>
  <si>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</si>
  <si>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</si>
  <si>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</si>
  <si>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</si>
  <si>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</si>
  <si>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</si>
  <si>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</si>
  <si>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</si>
  <si>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</si>
  <si>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</si>
  <si>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</si>
  <si>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</si>
  <si>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</si>
  <si>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</si>
  <si>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</si>
  <si>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</si>
  <si>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</si>
  <si>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</si>
  <si>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</si>
  <si>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</si>
  <si>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</si>
  <si>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</si>
  <si>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</si>
  <si>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</si>
  <si>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</si>
  <si>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</si>
  <si>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</si>
  <si>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</si>
  <si>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</si>
  <si>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</si>
  <si>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</si>
  <si>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</si>
  <si>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</si>
  <si>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</si>
  <si>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</si>
  <si>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</si>
  <si>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</si>
  <si>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</si>
  <si>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</si>
  <si>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</si>
  <si>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</si>
  <si>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</si>
  <si>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</si>
  <si>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</si>
  <si>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</si>
  <si>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</si>
  <si>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</si>
  <si>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</si>
  <si>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</si>
  <si>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</si>
  <si>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</si>
  <si>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</si>
  <si>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</si>
  <si>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</si>
  <si>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</si>
  <si>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</si>
  <si>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</si>
  <si>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</si>
  <si>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</si>
  <si>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</si>
  <si>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</si>
  <si>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</si>
  <si>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</si>
  <si>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</si>
  <si>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</si>
  <si>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</si>
  <si>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</si>
  <si>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</si>
  <si>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</si>
  <si>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</si>
  <si>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</si>
  <si>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</si>
  <si>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</si>
  <si>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</si>
  <si>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</si>
  <si>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</si>
  <si>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</si>
  <si>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</si>
  <si>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</si>
  <si>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</si>
  <si>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</si>
  <si>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</si>
  <si>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</si>
  <si>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</si>
  <si>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</si>
  <si>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</si>
  <si>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</si>
  <si>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</si>
  <si>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</si>
  <si>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</si>
  <si>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</si>
  <si>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</si>
  <si>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</si>
  <si>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</si>
  <si>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</si>
  <si>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</si>
  <si>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</si>
  <si>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</si>
  <si>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</si>
  <si>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</si>
  <si>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</si>
  <si>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</si>
  <si>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</si>
  <si>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</si>
  <si>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</si>
  <si>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</si>
  <si>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</si>
  <si>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</si>
  <si>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</si>
  <si>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</si>
  <si>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</si>
  <si>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</si>
  <si>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</si>
  <si>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</si>
  <si>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</si>
  <si>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</si>
  <si>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</si>
  <si>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</si>
  <si>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</si>
  <si>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</si>
  <si>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</si>
  <si>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</si>
  <si>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</si>
  <si>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</si>
  <si>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</si>
  <si>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</si>
  <si>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</si>
  <si>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</si>
  <si>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</si>
  <si>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</si>
  <si>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</si>
  <si>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</si>
  <si>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</si>
  <si>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</si>
  <si>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</si>
  <si>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</si>
  <si>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</si>
  <si>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</si>
  <si>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</si>
  <si>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</si>
  <si>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</si>
  <si>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</si>
  <si>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</si>
  <si>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</si>
  <si>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</si>
  <si>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</si>
  <si>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</si>
  <si>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</si>
  <si>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</si>
  <si>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</si>
  <si>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</si>
  <si>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</si>
  <si>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</si>
  <si>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</si>
  <si>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</si>
  <si>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</si>
  <si>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</si>
  <si>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</si>
  <si>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</si>
  <si>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</si>
  <si>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</si>
  <si>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</si>
  <si>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</si>
  <si>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</si>
  <si>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</si>
  <si>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</si>
  <si>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</si>
  <si>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</si>
  <si>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</si>
  <si>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</si>
  <si>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</si>
  <si>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</si>
  <si>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</si>
  <si>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</si>
  <si>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</si>
  <si>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</si>
  <si>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</si>
  <si>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</si>
  <si>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</si>
  <si>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</si>
  <si>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</si>
  <si>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</si>
  <si>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</si>
  <si>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</si>
  <si>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</si>
  <si>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</si>
  <si>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</si>
  <si>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</si>
  <si>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</si>
  <si>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</si>
  <si>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</si>
  <si>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</si>
  <si>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</si>
  <si>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</si>
  <si>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</si>
  <si>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</si>
  <si>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</si>
  <si>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</si>
  <si>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</si>
  <si>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</si>
  <si>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</si>
  <si>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</si>
  <si>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</si>
  <si>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</si>
  <si>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</si>
  <si>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</si>
  <si>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</si>
  <si>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</si>
  <si>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</si>
  <si>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</si>
  <si>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</si>
  <si>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</si>
  <si>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</si>
  <si>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</si>
  <si>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</si>
  <si>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</si>
  <si>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</si>
  <si>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</si>
  <si>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</si>
  <si>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</si>
  <si>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</si>
  <si>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</si>
  <si>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</si>
  <si>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</si>
  <si>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</si>
  <si>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</si>
  <si>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</si>
  <si>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</si>
  <si>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</si>
  <si>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</si>
  <si>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</si>
  <si>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</si>
  <si>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</si>
  <si>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</si>
  <si>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</si>
  <si>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</si>
  <si>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</si>
  <si>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</si>
  <si>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</si>
  <si>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</si>
  <si>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</si>
  <si>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</si>
  <si>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</si>
  <si>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</si>
  <si>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</si>
  <si>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</si>
  <si>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</si>
  <si>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</si>
  <si>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</si>
  <si>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</si>
  <si>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</si>
  <si>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</si>
  <si>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</si>
  <si>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</si>
  <si>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</si>
  <si>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</si>
  <si>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</si>
  <si>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</si>
  <si>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</si>
  <si>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</si>
  <si>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</si>
  <si>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</si>
  <si>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</si>
  <si>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</si>
  <si>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Easy Mart </t>
  </si>
  <si>
    <t xml:space="preserve">Address: Behria Town </t>
  </si>
  <si>
    <t>Invoice No # :0001</t>
  </si>
  <si>
    <t>NTN #: 6606374-5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</si>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</sst>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46286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Easy Mart </v>
      </c>
      <c r="T3" s="301">
        <f>+'1'!P35</f>
        <v>26649.035145762711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Easy Mart </v>
      </c>
      <c r="T4" s="301">
        <f>+'2'!P35</f>
        <v>17766.023430508474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Easy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Easy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Easy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Easy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Easy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73.656813559322018</v>
      </c>
      <c r="P10" s="311">
        <f t="shared" si="2"/>
        <v>14805.01952542373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Easy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73.656813559322018</v>
      </c>
      <c r="P11" s="311">
        <f t="shared" si="2"/>
        <v>14805.01952542373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Easy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73.656813559322018</v>
      </c>
      <c r="P12" s="311">
        <f t="shared" si="2"/>
        <v>14805.01952542373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Easy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Easy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Easy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Easy Mart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15</v>
      </c>
      <c r="H16" s="113">
        <f t="shared" ref="H16:M16" si="3">SUM(H7:H15)</f>
        <v>600</v>
      </c>
      <c r="I16" s="114">
        <f t="shared" si="3"/>
        <v>43584</v>
      </c>
      <c r="J16" s="274">
        <f>SUM(J7:J15)</f>
        <v>6101.76</v>
      </c>
      <c r="K16" s="275">
        <f t="shared" si="3"/>
        <v>1525.44</v>
      </c>
      <c r="L16" s="276">
        <f t="shared" si="3"/>
        <v>0</v>
      </c>
      <c r="M16" s="232">
        <f t="shared" si="3"/>
        <v>35956.800000000003</v>
      </c>
      <c r="N16" s="233">
        <f>SUM(N7:N15)</f>
        <v>8237.2881355932204</v>
      </c>
      <c r="O16" s="101">
        <f>SUM(O7:O15)</f>
        <v>220.97044067796605</v>
      </c>
      <c r="P16" s="113">
        <f>SUM(P7:P15)</f>
        <v>44415.058576271185</v>
      </c>
      <c r="Q16" s="128">
        <f>SUM(Q7:Q15)</f>
        <v>0</v>
      </c>
      <c r="R16" s="313">
        <v>14</v>
      </c>
      <c r="S16" s="315" t="str">
        <f>+'14'!A6:A6</f>
        <v xml:space="preserve">Easy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Easy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Easy Mart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43584</v>
      </c>
      <c r="R19" s="299">
        <v>17</v>
      </c>
      <c r="S19" s="300" t="str">
        <f>+'17'!A6:A6</f>
        <v xml:space="preserve">Easy Mart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6101.76</v>
      </c>
      <c r="R20" s="299">
        <v>18</v>
      </c>
      <c r="S20" s="300" t="str">
        <f>+'18'!A6:A6</f>
        <v xml:space="preserve">Easy Mart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1525.44</v>
      </c>
      <c r="R21" s="299">
        <v>19</v>
      </c>
      <c r="S21" s="300" t="str">
        <f>+'19'!A6:A6</f>
        <v xml:space="preserve">Easy Mart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35956.799999999996</v>
      </c>
      <c r="R22" s="299">
        <v>20</v>
      </c>
      <c r="S22" s="300" t="str">
        <f>+'20'!A6:A6</f>
        <v xml:space="preserve">Easy Mart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8237.2881355932204</v>
      </c>
      <c r="R23" s="299">
        <v>21</v>
      </c>
      <c r="S23" s="300" t="str">
        <f>+'21'!A6:A6</f>
        <v xml:space="preserve">Easy Mart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44194.088135593214</v>
      </c>
      <c r="R24" s="299">
        <v>22</v>
      </c>
      <c r="S24" s="300" t="str">
        <f>+'22'!A6:A6</f>
        <v xml:space="preserve">Easy Mart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220.97044067796605</v>
      </c>
      <c r="R25" s="299">
        <v>23</v>
      </c>
      <c r="S25" s="300" t="str">
        <f>+'23'!A6:A6</f>
        <v xml:space="preserve">Easy Mart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44415.058576271178</v>
      </c>
      <c r="R26" s="299">
        <v>24</v>
      </c>
      <c r="S26" s="300" t="str">
        <f>+'24'!A6:A6</f>
        <v xml:space="preserve">Easy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Easy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Easy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Easy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Easy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Easy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Easy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44415.058576271185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26150.399999999998</v>
      </c>
      <c r="J25" s="274">
        <f>SUM(J16:J24)</f>
        <v>3661.0560000000005</v>
      </c>
      <c r="K25" s="275">
        <f t="shared" si="10"/>
        <v>915.26400000000012</v>
      </c>
      <c r="L25" s="276">
        <f t="shared" si="10"/>
        <v>0</v>
      </c>
      <c r="M25" s="232">
        <f t="shared" si="10"/>
        <v>21574.079999999994</v>
      </c>
      <c r="N25" s="233">
        <f>SUM(N16:N24)</f>
        <v>4942.3728813559328</v>
      </c>
      <c r="O25" s="101">
        <f>SUM(O16:O24)</f>
        <v>132.58226440677964</v>
      </c>
      <c r="P25" s="234">
        <f>SUM(P16:P24)</f>
        <v>26649.035145762704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26150.399999999998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3661.0560000000005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915.26400000000012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21574.079999999998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4942.3728813559328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26516.45288135593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132.58226440677964</v>
      </c>
    </row>
    <row r="35" spans="2:16" ht="15.75" customHeight="1" thickBot="1" x14ac:dyDescent="0.4">
      <c r="N35" s="346" t="s">
        <v>88</v>
      </c>
      <c r="O35" s="347"/>
      <c r="P35" s="297">
        <f>+P33+P34</f>
        <v>26649.035145762711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K5" sqref="K5:M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2440.7040000000002</v>
      </c>
      <c r="K25" s="275">
        <f t="shared" si="7"/>
        <v>610.17600000000004</v>
      </c>
      <c r="L25" s="276">
        <f t="shared" si="7"/>
        <v>0</v>
      </c>
      <c r="M25" s="232">
        <f t="shared" si="7"/>
        <v>14382.72</v>
      </c>
      <c r="N25" s="233">
        <f>SUM(N16:N24)</f>
        <v>3294.9152542372885</v>
      </c>
      <c r="O25" s="101">
        <f>SUM(O16:O24)</f>
        <v>88.388176271186438</v>
      </c>
      <c r="P25" s="234">
        <f>SUM(P16:P24)</f>
        <v>17766.023430508474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17433.599999999999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2440.7040000000002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610.17600000000004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14382.72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17677.635254237288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88.388176271186438</v>
      </c>
    </row>
    <row r="35" spans="2:16" ht="15.75" customHeight="1" thickBot="1" x14ac:dyDescent="0.4">
      <c r="N35" s="346" t="s">
        <v>88</v>
      </c>
      <c r="O35" s="347"/>
      <c r="P35" s="297">
        <f>+P33+P34</f>
        <v>17766.023430508474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46289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46288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</vt:i4>
      </vt:variant>
    </vt:vector>
  </HeadingPairs>
  <TitlesOfParts>
    <vt:vector size="40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2026-09-23T05:03:36Z</dcterms:modified>
</cp:coreProperties>
</file>