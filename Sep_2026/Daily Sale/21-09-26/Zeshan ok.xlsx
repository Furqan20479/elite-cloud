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649D433-82B5-4186-BE7D-7BEE0AD132D0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9" l="1"/>
  <c r="N4" i="58"/>
  <c r="N4" i="61"/>
  <c r="N4" i="68"/>
  <c r="N5" i="68" s="1"/>
  <c r="N5" i="11"/>
  <c r="N4" i="51"/>
  <c r="N5" i="51" s="1"/>
  <c r="N4" i="50"/>
  <c r="N5" i="50" s="1"/>
  <c r="N4" i="57"/>
  <c r="N5" i="57" s="1"/>
  <c r="N4" i="55"/>
  <c r="N5" i="55" s="1"/>
  <c r="N4" i="67"/>
  <c r="N5" i="67" s="1"/>
  <c r="N4" i="46"/>
  <c r="N5" i="46" s="1"/>
  <c r="N4" i="53"/>
  <c r="N5" i="53" s="1"/>
  <c r="N4" i="69"/>
  <c r="N5" i="69" s="1"/>
  <c r="N4" i="64"/>
  <c r="N5" i="64" s="1"/>
  <c r="N4" i="63"/>
  <c r="N5" i="63" s="1"/>
  <c r="N4" i="70"/>
  <c r="N5" i="70" s="1"/>
  <c r="N4" i="45"/>
  <c r="N5" i="45" s="1"/>
  <c r="N4" i="60"/>
  <c r="N4" i="65"/>
  <c r="N5" i="65" s="1"/>
  <c r="N4" i="52"/>
  <c r="N5" i="52" s="1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8" i="48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<sst xmlns="http://schemas.openxmlformats.org/spreadsheetml/2006/main" count="3948" uniqueCount="527">
  <si>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</si>
  <si>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</si>
  <si>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</si>
  <si>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</si>
  <si>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</si>
  <si>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</si>
  <si>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</si>
  <si>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</si>
  <si>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</si>
  <si>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</si>
  <si>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</si>
  <si>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</si>
  <si>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</si>
  <si>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</si>
  <si>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</si>
  <si>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</si>
  <si>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</si>
  <si>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</si>
  <si>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</si>
  <si>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</si>
  <si>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</si>
  <si>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</si>
  <si>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</si>
  <si>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</si>
  <si>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</si>
  <si>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</si>
  <si>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</si>
  <si>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</si>
  <si>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</si>
  <si>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</si>
  <si>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</si>
  <si>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</si>
  <si>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</si>
  <si>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</si>
  <si>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</si>
  <si>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</si>
  <si>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</si>
  <si>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</si>
  <si>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</si>
  <si>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</si>
  <si>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</si>
  <si>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</si>
  <si>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</si>
  <si>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</si>
  <si>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</si>
  <si>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</si>
  <si>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</si>
  <si>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</si>
  <si>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</si>
  <si>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</si>
  <si>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</si>
  <si>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</si>
  <si>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</si>
  <si>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</si>
  <si>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</si>
  <si>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</si>
  <si>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</si>
  <si>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</si>
  <si>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</si>
  <si>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</si>
  <si>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</si>
  <si>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</si>
  <si>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</si>
  <si>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</si>
  <si>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</si>
  <si>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</si>
  <si>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</si>
  <si>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</si>
  <si>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</si>
  <si>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</si>
  <si>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</si>
  <si>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</si>
  <si>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</si>
  <si>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</si>
  <si>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</si>
  <si>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</si>
  <si>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</si>
  <si>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</si>
  <si>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</si>
  <si>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</si>
  <si>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</si>
  <si>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</si>
  <si>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</si>
  <si>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</si>
  <si>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</si>
  <si>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</si>
  <si>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</si>
  <si>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</si>
  <si>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</si>
  <si>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</si>
  <si>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</si>
  <si>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</si>
  <si>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</si>
  <si>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</si>
  <si>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</si>
  <si>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</si>
  <si>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</si>
  <si>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</si>
  <si>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</si>
  <si>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</si>
  <si>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</si>
  <si>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</si>
  <si>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</si>
  <si>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</si>
  <si>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</si>
  <si>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</si>
  <si>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</si>
  <si>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</si>
  <si>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</si>
  <si>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</si>
  <si>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</si>
  <si>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</si>
  <si>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</si>
  <si>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</si>
  <si>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</si>
  <si>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</si>
  <si>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</si>
  <si>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</si>
  <si>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</si>
  <si>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</si>
  <si>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</si>
  <si>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</si>
  <si>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</si>
  <si>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</si>
  <si>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</si>
  <si>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</si>
  <si>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</si>
  <si>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</si>
  <si>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</si>
  <si>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</si>
  <si>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</si>
  <si>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</si>
  <si>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</si>
  <si>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</si>
  <si>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</si>
  <si>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</si>
  <si>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</si>
  <si>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</si>
  <si>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</si>
  <si>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</si>
  <si>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</si>
  <si>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</si>
  <si>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</si>
  <si>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</si>
  <si>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</si>
  <si>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</si>
  <si>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</si>
  <si>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</si>
  <si>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</si>
  <si>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</si>
  <si>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</si>
  <si>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</si>
  <si>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</si>
  <si>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</si>
  <si>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</si>
  <si>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</si>
  <si>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</si>
  <si>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</si>
  <si>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</si>
  <si>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</si>
  <si>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</si>
  <si>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</si>
  <si>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</si>
  <si>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</si>
  <si>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</si>
  <si>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</si>
  <si>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</si>
  <si>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</si>
  <si>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</si>
  <si>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</si>
  <si>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</si>
  <si>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</si>
  <si>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</si>
  <si>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</si>
  <si>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</si>
  <si>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</si>
  <si>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</si>
  <si>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</si>
  <si>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</si>
  <si>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</si>
  <si>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</si>
  <si>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</si>
  <si>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</si>
  <si>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</si>
  <si>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</si>
  <si>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</si>
  <si>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</si>
  <si>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</si>
  <si>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</si>
  <si>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</si>
  <si>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</si>
  <si>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</si>
  <si>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</si>
  <si>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</si>
  <si>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</si>
  <si>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</si>
  <si>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</si>
  <si>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</si>
  <si>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</si>
  <si>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</si>
  <si>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</si>
  <si>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</si>
  <si>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</si>
  <si>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</si>
  <si>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</si>
  <si>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</si>
  <si>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</si>
  <si>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</si>
  <si>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</si>
  <si>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</si>
  <si>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</si>
  <si>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</si>
  <si>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</si>
  <si>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</si>
  <si>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</si>
  <si>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</si>
  <si>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</si>
  <si>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</si>
  <si>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</si>
  <si>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</si>
  <si>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</si>
  <si>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</si>
  <si>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</si>
  <si>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</si>
  <si>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</si>
  <si>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</si>
  <si>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</si>
  <si>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</si>
  <si>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</si>
  <si>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</si>
  <si>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</si>
  <si>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</si>
  <si>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</si>
  <si>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</si>
  <si>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</si>
  <si>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</si>
  <si>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</si>
  <si>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</si>
  <si>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</si>
  <si>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</si>
  <si>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</si>
  <si>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</si>
  <si>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</si>
  <si>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</si>
  <si>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</si>
  <si>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</si>
  <si>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</si>
  <si>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</si>
  <si>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</si>
  <si>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</si>
  <si>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</si>
  <si>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</si>
  <si>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</si>
  <si>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</si>
  <si>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</si>
  <si>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</si>
  <si>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</si>
  <si>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</si>
  <si>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</si>
  <si>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</si>
  <si>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</si>
  <si>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</si>
  <si>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</si>
  <si>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</si>
  <si>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</si>
  <si>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</si>
  <si>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</si>
  <si>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</si>
  <si>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</si>
  <si>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</si>
  <si>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</si>
  <si>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</si>
  <si>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</si>
  <si>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</si>
  <si>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</si>
  <si>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</si>
  <si>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</si>
  <si>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</si>
  <si>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</si>
  <si>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</si>
  <si>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</si>
  <si>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</si>
  <si>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</si>
  <si>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</si>
  <si>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</si>
  <si>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</si>
  <si>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</si>
  <si>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</si>
  <si>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</si>
  <si>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</si>
  <si>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</si>
  <si>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</si>
  <si>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</si>
  <si>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</si>
  <si>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</si>
  <si>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</si>
  <si>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</si>
  <si>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</si>
  <si>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</si>
  <si>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</si>
  <si>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</si>
  <si>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</si>
  <si>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</si>
  <si>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</si>
  <si>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</si>
  <si>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</si>
  <si>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</si>
  <si>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</si>
  <si>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</si>
  <si>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</si>
  <si>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</si>
  <si>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</si>
  <si>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</si>
  <si>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</si>
  <si>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</si>
  <si>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</si>
  <si>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</si>
  <si>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</si>
  <si>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</si>
  <si>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</si>
  <si>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</si>
  <si>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</si>
  <si>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</si>
  <si>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</si>
  <si>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</si>
  <si>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</si>
  <si>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</si>
  <si>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</si>
  <si>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</si>
  <si>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</si>
  <si>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</si>
  <si>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</si>
  <si>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</si>
  <si>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</si>
  <si>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</si>
  <si>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</si>
  <si>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</si>
  <si>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</si>
  <si>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</si>
  <si>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</si>
  <si>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</si>
  <si>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</si>
  <si>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</si>
  <si>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</si>
  <si>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</si>
  <si>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</si>
  <si>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</si>
  <si>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</si>
  <si>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</si>
  <si>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</si>
  <si>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</si>
  <si>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</si>
  <si>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</si>
  <si>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</si>
  <si>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</si>
  <si>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</si>
  <si>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</si>
  <si>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</si>
  <si>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</si>
  <si>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</si>
  <si>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</si>
  <si>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</si>
  <si>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</si>
  <si>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</si>
  <si>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</si>
  <si>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</si>
  <si>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</si>
  <si>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</si>
  <si>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</si>
  <si>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</si>
  <si>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</si>
  <si>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</si>
  <si>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</si>
  <si>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</si>
  <si>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</si>
  <si>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</si>
  <si>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</si>
  <si>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</si>
  <si>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</si>
  <si>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</si>
  <si>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</si>
  <si>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</si>
  <si>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</si>
  <si>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</si>
  <si>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</si>
  <si>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</si>
  <si>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</si>
  <si>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</si>
  <si>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</si>
  <si>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</si>
  <si>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</si>
  <si>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</si>
  <si>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</si>
  <si>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</si>
  <si>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</si>
  <si>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</si>
  <si>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</si>
  <si>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</si>
  <si>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</si>
  <si>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</si>
  <si>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</si>
  <si>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</si>
  <si>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</si>
  <si>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</si>
  <si>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</si>
  <si>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</si>
  <si>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</si>
  <si>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</si>
  <si>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</si>
  <si>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</si>
  <si>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</si>
  <si>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</si>
  <si>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</si>
  <si>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</si>
  <si>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</si>
  <si>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</si>
  <si>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</si>
  <si>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</si>
  <si>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</si>
  <si>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</si>
  <si>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</si>
  <si>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</si>
  <si>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</si>
  <si>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</si>
  <si>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</si>
  <si>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</si>
  <si>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</si>
  <si>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</si>
  <si>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</si>
  <si>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</si>
  <si>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</si>
  <si>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</si>
  <si>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</si>
  <si>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</si>
  <si>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</si>
  <si>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</si>
  <si>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</si>
  <si>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</si>
  <si>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</si>
  <si>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</si>
  <si>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</si>
  <si>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</si>
  <si>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</si>
  <si>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</si>
  <si>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</si>
  <si>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</si>
  <si>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</si>
  <si>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</si>
  <si>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</si>
  <si>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</si>
  <si>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</si>
  <si>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</si>
  <si>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</si>
  <si>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</si>
  <si>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</si>
  <si>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</si>
  <si>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</si>
  <si>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</si>
  <si>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</si>
  <si>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</si>
  <si>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</si>
  <si>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</si>
  <si>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</si>
  <si>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</si>
  <si>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</si>
  <si>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</si>
  <si>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</si>
  <si>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</si>
  <si>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</si>
  <si>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</si>
  <si>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</si>
  <si>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</si>
  <si>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</si>
  <si>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</si>
  <si>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</si>
  <si>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</si>
  <si>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</si>
  <si>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</si>
  <si>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</si>
  <si>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</si>
  <si>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</si>
  <si>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</si>
  <si>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</si>
  <si>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</si>
  <si>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</si>
  <si>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</si>
  <si>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</si>
  <si>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</si>
  <si>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</si>
  <si>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</si>
  <si>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</si>
  <si>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</si>
  <si>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</si>
  <si>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</si>
  <si>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</si>
  <si>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</si>
  <si>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</si>
  <si>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</si>
  <si>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</si>
  <si>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</si>
  <si>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</si>
  <si>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</si>
  <si>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</si>
  <si>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</si>
  <si>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</si>
  <si>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</si>
  <si>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</si>
  <si>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</si>
  <si>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</si>
  <si>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</si>
  <si>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</si>
  <si>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</si>
  <si>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</si>
  <si>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Zeshan</t>
  </si>
  <si>
    <t>Mian Store</t>
  </si>
  <si>
    <t>Address: Bedian Road</t>
  </si>
  <si>
    <t>Fakhir Store</t>
  </si>
  <si>
    <t>Malik Store</t>
  </si>
  <si>
    <t>Khalil Store</t>
  </si>
  <si>
    <t>Luqaman Store</t>
  </si>
  <si>
    <t>Nadeem Store</t>
  </si>
  <si>
    <t>Irfan store</t>
  </si>
  <si>
    <t>Iqbal Store</t>
  </si>
  <si>
    <t>Ali Store</t>
  </si>
  <si>
    <t>Ghani Store</t>
  </si>
  <si>
    <t>Rana Store</t>
  </si>
  <si>
    <t>786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</si>
</sst>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D2" sqref="D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f ca="1">TODAY()</f>
        <v>46286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Mian Store</v>
      </c>
      <c r="T3" s="301">
        <f>+'1'!P35</f>
        <v>784.05289627118646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Fakhir Store</v>
      </c>
      <c r="T4" s="301">
        <f>+'2'!P35</f>
        <v>784.05289627118646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Malik Store</v>
      </c>
      <c r="T5" s="301">
        <f>+'3'!P35</f>
        <v>784.05289627118646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Khalil Store</v>
      </c>
      <c r="T6" s="301">
        <f>+'4'!P35</f>
        <v>784.05289627118646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</v>
      </c>
      <c r="I7" s="235">
        <f>(G7*D7)*F7+H7*F7</f>
        <v>1049.25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83.94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36.723750000000003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928.58625000000006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198.30508474576263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5.6344566737288133</v>
      </c>
      <c r="P7" s="310">
        <f>M7+N7+O7</f>
        <v>1132.5257914194915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Luqaman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</v>
      </c>
      <c r="I8" s="236">
        <f t="shared" ref="I8:I14" si="0">(G8*D8)*F8+H8*F8</f>
        <v>1049.25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83.94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36.723750000000003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928.58625000000006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198.30508474576263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5.6344566737288133</v>
      </c>
      <c r="P8" s="311">
        <f t="shared" ref="P8:P15" si="2">M8+N8+O8</f>
        <v>1132.5257914194915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Nadeem Store</v>
      </c>
      <c r="T8" s="301">
        <f>+'6'!P35</f>
        <v>566.26289570974575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167.88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73.447500000000005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1857.1725000000001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11.268913347457627</v>
      </c>
      <c r="P9" s="311">
        <f t="shared" si="2"/>
        <v>2265.051582838983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80</v>
      </c>
      <c r="R9" s="313">
        <v>7</v>
      </c>
      <c r="S9" s="300" t="str">
        <f>+'7'!A6:A6</f>
        <v>Irfan store</v>
      </c>
      <c r="T9" s="301">
        <f>+'7'!P35</f>
        <v>566.26289570974575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20</v>
      </c>
      <c r="I10" s="236">
        <f t="shared" si="0"/>
        <v>1452.8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116.224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50.848000000000006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1285.7280000000001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274.57627118644069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7.8015213559322039</v>
      </c>
      <c r="P10" s="311">
        <f t="shared" si="2"/>
        <v>1568.1057925423729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Iqbal Store</v>
      </c>
      <c r="T10" s="301">
        <f>+'8'!P35</f>
        <v>566.26289570974575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</v>
      </c>
      <c r="I11" s="236">
        <f t="shared" si="0"/>
        <v>1452.8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116.224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50.848000000000006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1285.7280000000001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274.57627118644069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7.8015213559322039</v>
      </c>
      <c r="P11" s="311">
        <f t="shared" si="2"/>
        <v>1568.1057925423729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Ali Store</v>
      </c>
      <c r="T11" s="301">
        <f>+'9'!P35</f>
        <v>566.26289570974575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Ghani Store</v>
      </c>
      <c r="T12" s="301">
        <f>+'10'!P35</f>
        <v>849.39434356461845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Rana Store</v>
      </c>
      <c r="T13" s="301">
        <f>+'11'!P35</f>
        <v>849.39434356461845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786 Store</v>
      </c>
      <c r="T14" s="301">
        <f>+'12'!P35</f>
        <v>566.26289570974575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3</v>
      </c>
      <c r="H16" s="113">
        <f t="shared" ref="H16:M16" si="3">SUM(H7:H15)</f>
        <v>120</v>
      </c>
      <c r="I16" s="114">
        <f t="shared" si="3"/>
        <v>7102.6</v>
      </c>
      <c r="J16" s="274">
        <f>SUM(J7:J15)</f>
        <v>568.20799999999997</v>
      </c>
      <c r="K16" s="275">
        <f t="shared" si="3"/>
        <v>248.59100000000004</v>
      </c>
      <c r="L16" s="276">
        <f t="shared" si="3"/>
        <v>0</v>
      </c>
      <c r="M16" s="232">
        <f t="shared" si="3"/>
        <v>6285.8010000000004</v>
      </c>
      <c r="N16" s="233">
        <f>SUM(N7:N15)</f>
        <v>1342.3728813559319</v>
      </c>
      <c r="O16" s="101">
        <f>SUM(O7:O15)</f>
        <v>38.140869406779657</v>
      </c>
      <c r="P16" s="113">
        <f>SUM(P7:P15)</f>
        <v>7666.3147507627118</v>
      </c>
      <c r="Q16" s="128">
        <f>SUM(Q7:Q15)</f>
        <v>80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7102.6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568.20799999999997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248.59100000000004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6285.8010000000004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1342.3728813559319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7628.1738813559323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38.140869406779657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7666.3147507627118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7666.3147507627127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9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Summary!H3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7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10</v>
      </c>
      <c r="I25" s="114">
        <f t="shared" ref="I25:M25" si="10">SUM(I16:I24)</f>
        <v>726.4</v>
      </c>
      <c r="J25" s="274">
        <f>SUM(J16:J24)</f>
        <v>58.112000000000002</v>
      </c>
      <c r="K25" s="275">
        <f t="shared" si="10"/>
        <v>25.424000000000003</v>
      </c>
      <c r="L25" s="276">
        <f t="shared" si="10"/>
        <v>0</v>
      </c>
      <c r="M25" s="232">
        <f t="shared" si="10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6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80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'1'!N4:P5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15</v>
      </c>
      <c r="I25" s="114">
        <f t="shared" si="7"/>
        <v>786.9375</v>
      </c>
      <c r="J25" s="274">
        <f>SUM(J16:J24)</f>
        <v>62.954999999999998</v>
      </c>
      <c r="K25" s="275">
        <f t="shared" si="7"/>
        <v>27.542812500000004</v>
      </c>
      <c r="L25" s="276">
        <f t="shared" si="7"/>
        <v>0</v>
      </c>
      <c r="M25" s="232">
        <f t="shared" si="7"/>
        <v>696.43968749999999</v>
      </c>
      <c r="N25" s="233">
        <f>SUM(N16:N24)</f>
        <v>148.72881355932196</v>
      </c>
      <c r="O25" s="101">
        <f>SUM(O16:O24)</f>
        <v>4.22584250529661</v>
      </c>
      <c r="P25" s="234">
        <f>SUM(P16:P24)</f>
        <v>849.39434356461845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786.9375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62.954999999999998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27.542812500000004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696.43968749999999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148.72881355932196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845.1685010593219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4.22584250529661</v>
      </c>
    </row>
    <row r="35" spans="2:16" ht="15.75" customHeight="1" thickBot="1" x14ac:dyDescent="0.4">
      <c r="N35" s="345" t="s">
        <v>88</v>
      </c>
      <c r="O35" s="346"/>
      <c r="P35" s="297">
        <f>+P33+P34</f>
        <v>849.39434356461845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15</v>
      </c>
      <c r="I17" s="236">
        <f t="shared" ref="I17:I23" si="0">(G17*D17)*F17+H17*F17</f>
        <v>786.9375</v>
      </c>
      <c r="J17" s="272">
        <f t="shared" ref="J17:L24" si="1">$I17*S17</f>
        <v>62.954999999999998</v>
      </c>
      <c r="K17" s="128">
        <f>$I17*T17</f>
        <v>27.542812500000004</v>
      </c>
      <c r="L17" s="119">
        <f>$I17*U17</f>
        <v>0</v>
      </c>
      <c r="M17" s="230">
        <f t="shared" ref="M17:M24" si="2">I17-SUM(J17:L17)</f>
        <v>696.43968749999999</v>
      </c>
      <c r="N17" s="277">
        <f t="shared" ref="N17:N24" si="3">+(G17*D17+H17)*V17</f>
        <v>148.72881355932196</v>
      </c>
      <c r="O17" s="239">
        <f t="shared" ref="O17:O24" si="4">(N17+M17)*$O$15</f>
        <v>4.22584250529661</v>
      </c>
      <c r="P17" s="119">
        <f t="shared" ref="P17:P24" si="5">M17+N17+O17</f>
        <v>849.39434356461845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15</v>
      </c>
      <c r="I25" s="114">
        <f t="shared" si="7"/>
        <v>786.9375</v>
      </c>
      <c r="J25" s="274">
        <f>SUM(J16:J24)</f>
        <v>62.954999999999998</v>
      </c>
      <c r="K25" s="275">
        <f t="shared" si="7"/>
        <v>27.542812500000004</v>
      </c>
      <c r="L25" s="276">
        <f t="shared" si="7"/>
        <v>0</v>
      </c>
      <c r="M25" s="232">
        <f t="shared" si="7"/>
        <v>696.43968749999999</v>
      </c>
      <c r="N25" s="233">
        <f>SUM(N16:N24)</f>
        <v>148.72881355932196</v>
      </c>
      <c r="O25" s="101">
        <f>SUM(O16:O24)</f>
        <v>4.22584250529661</v>
      </c>
      <c r="P25" s="234">
        <f>SUM(P16:P24)</f>
        <v>849.39434356461845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786.9375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62.954999999999998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27.542812500000004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696.43968749999999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148.72881355932196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845.1685010593219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4.22584250529661</v>
      </c>
    </row>
    <row r="35" spans="2:16" ht="15.75" customHeight="1" thickBot="1" x14ac:dyDescent="0.4">
      <c r="N35" s="345" t="s">
        <v>88</v>
      </c>
      <c r="O35" s="346"/>
      <c r="P35" s="297">
        <f>+P33+P34</f>
        <v>849.39434356461845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46287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46286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2026-09-21T10:56:34Z</dcterms:modified>
</cp:coreProperties>
</file>