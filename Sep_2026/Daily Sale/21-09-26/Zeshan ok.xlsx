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6BB59D-5221-4FD9-960A-1260FA65C5E6}" xr6:coauthVersionLast="47" xr6:coauthVersionMax="47" xr10:uidLastSave="{00000000-0000-0000-0000-000000000000}"/>
  <bookViews>
    <workbookView xWindow="-110" yWindow="-110" windowWidth="19420" windowHeight="10420" tabRatio="94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9" l="1"/>
  <c r="N4" i="58"/>
  <c r="N4" i="61"/>
  <c r="N4" i="68"/>
  <c r="N5" i="68" s="1"/>
  <c r="N5" i="11"/>
  <c r="N4" i="51"/>
  <c r="N5" i="51" s="1"/>
  <c r="N4" i="50"/>
  <c r="N5" i="50" s="1"/>
  <c r="N4" i="57"/>
  <c r="N5" i="57" s="1"/>
  <c r="N4" i="55"/>
  <c r="N5" i="55" s="1"/>
  <c r="N4" i="67"/>
  <c r="N5" i="67" s="1"/>
  <c r="N4" i="46"/>
  <c r="N5" i="46" s="1"/>
  <c r="N4" i="53"/>
  <c r="N5" i="53" s="1"/>
  <c r="N4" i="69"/>
  <c r="N5" i="69" s="1"/>
  <c r="N4" i="64"/>
  <c r="N5" i="64" s="1"/>
  <c r="N4" i="63"/>
  <c r="N5" i="63" s="1"/>
  <c r="N4" i="70"/>
  <c r="N5" i="70" s="1"/>
  <c r="N4" i="45"/>
  <c r="N5" i="45" s="1"/>
  <c r="N4" i="60"/>
  <c r="N4" i="65"/>
  <c r="N5" i="65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<sst xmlns="http://schemas.openxmlformats.org/spreadsheetml/2006/main" count="3948" uniqueCount="527">
  <si>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</si>
  <si>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</si>
  <si>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</si>
  <si>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</si>
  <si>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</si>
  <si>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</si>
  <si>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</si>
  <si>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</si>
  <si>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</si>
  <si>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</si>
  <si>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</si>
  <si>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</si>
  <si>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</si>
  <si>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</si>
  <si>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</si>
  <si>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</si>
  <si>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</si>
  <si>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</si>
  <si>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</si>
  <si>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</si>
  <si>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</si>
  <si>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</si>
  <si>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</si>
  <si>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</si>
  <si>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</si>
  <si>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</si>
  <si>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</si>
  <si>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</si>
  <si>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</si>
  <si>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</si>
  <si>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</si>
  <si>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</si>
  <si>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</si>
  <si>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</si>
  <si>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</si>
  <si>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</si>
  <si>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</si>
  <si>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</si>
  <si>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</si>
  <si>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</si>
  <si>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</si>
  <si>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</si>
  <si>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</si>
  <si>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</si>
  <si>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</si>
  <si>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</si>
  <si>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</si>
  <si>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</si>
  <si>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</si>
  <si>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</si>
  <si>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</si>
  <si>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</si>
  <si>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</si>
  <si>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</si>
  <si>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</si>
  <si>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</si>
  <si>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</si>
  <si>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</si>
  <si>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</si>
  <si>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</si>
  <si>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</si>
  <si>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</si>
  <si>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</si>
  <si>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</si>
  <si>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</si>
  <si>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</si>
  <si>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</si>
  <si>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</si>
  <si>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</si>
  <si>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</si>
  <si>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</si>
  <si>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</si>
  <si>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</si>
  <si>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</si>
  <si>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</si>
  <si>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</si>
  <si>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</si>
  <si>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</si>
  <si>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</si>
  <si>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</si>
  <si>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</si>
  <si>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</si>
  <si>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</si>
  <si>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</si>
  <si>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</si>
  <si>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</si>
  <si>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</si>
  <si>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</si>
  <si>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</si>
  <si>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</si>
  <si>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</si>
  <si>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</si>
  <si>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</si>
  <si>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</si>
  <si>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</si>
  <si>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</si>
  <si>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</si>
  <si>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</si>
  <si>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</si>
  <si>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</si>
  <si>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</si>
  <si>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</si>
  <si>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</si>
  <si>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</si>
  <si>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</si>
  <si>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</si>
  <si>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</si>
  <si>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</si>
  <si>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</si>
  <si>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</si>
  <si>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</si>
  <si>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</si>
  <si>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</si>
  <si>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</si>
  <si>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</si>
  <si>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</si>
  <si>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</si>
  <si>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</si>
  <si>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</si>
  <si>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</si>
  <si>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</si>
  <si>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</si>
  <si>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</si>
  <si>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</si>
  <si>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</si>
  <si>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</si>
  <si>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</si>
  <si>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</si>
  <si>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</si>
  <si>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</si>
  <si>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</si>
  <si>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</si>
  <si>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</si>
  <si>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</si>
  <si>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</si>
  <si>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</si>
  <si>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</si>
  <si>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</si>
  <si>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</si>
  <si>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</si>
  <si>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</si>
  <si>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</si>
  <si>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</si>
  <si>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</si>
  <si>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</si>
  <si>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</si>
  <si>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</si>
  <si>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</si>
  <si>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</si>
  <si>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</si>
  <si>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</si>
  <si>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</si>
  <si>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</si>
  <si>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</si>
  <si>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</si>
  <si>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</si>
  <si>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</si>
  <si>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</si>
  <si>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</si>
  <si>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</si>
  <si>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</si>
  <si>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</si>
  <si>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</si>
  <si>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</si>
  <si>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</si>
  <si>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</si>
  <si>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</si>
  <si>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</si>
  <si>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</si>
  <si>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</si>
  <si>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</si>
  <si>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</si>
  <si>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</si>
  <si>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</si>
  <si>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</si>
  <si>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</si>
  <si>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</si>
  <si>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</si>
  <si>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</si>
  <si>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</si>
  <si>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</si>
  <si>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</si>
  <si>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</si>
  <si>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</si>
  <si>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</si>
  <si>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</si>
  <si>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</si>
  <si>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</si>
  <si>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</si>
  <si>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</si>
  <si>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</si>
  <si>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</si>
  <si>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</si>
  <si>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</si>
  <si>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</si>
  <si>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</si>
  <si>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</si>
  <si>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</si>
  <si>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</si>
  <si>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</si>
  <si>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</si>
  <si>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</si>
  <si>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</si>
  <si>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</si>
  <si>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</si>
  <si>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</si>
  <si>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</si>
  <si>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</si>
  <si>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</si>
  <si>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</si>
  <si>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</si>
  <si>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</si>
  <si>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</si>
  <si>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</si>
  <si>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</si>
  <si>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</si>
  <si>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</si>
  <si>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</si>
  <si>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</si>
  <si>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</si>
  <si>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</si>
  <si>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</si>
  <si>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</si>
  <si>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</si>
  <si>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</si>
  <si>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</si>
  <si>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</si>
  <si>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</si>
  <si>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</si>
  <si>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</si>
  <si>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</si>
  <si>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</si>
  <si>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</si>
  <si>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</si>
  <si>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</si>
  <si>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</si>
  <si>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</si>
  <si>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</si>
  <si>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</si>
  <si>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</si>
  <si>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</si>
  <si>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</si>
  <si>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</si>
  <si>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</si>
  <si>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</si>
  <si>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</si>
  <si>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</si>
  <si>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</si>
  <si>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</si>
  <si>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</si>
  <si>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</si>
  <si>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</si>
  <si>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</si>
  <si>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</si>
  <si>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</si>
  <si>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</si>
  <si>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</si>
  <si>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</si>
  <si>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</si>
  <si>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</si>
  <si>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</si>
  <si>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</si>
  <si>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</si>
  <si>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</si>
  <si>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</si>
  <si>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</si>
  <si>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</si>
  <si>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</si>
  <si>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</si>
  <si>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</si>
  <si>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</si>
  <si>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</si>
  <si>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</si>
  <si>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</si>
  <si>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</si>
  <si>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</si>
  <si>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</si>
  <si>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</si>
  <si>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</si>
  <si>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</si>
  <si>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</si>
  <si>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</si>
  <si>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</si>
  <si>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</si>
  <si>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</si>
  <si>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</si>
  <si>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</si>
  <si>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</si>
  <si>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</si>
  <si>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</si>
  <si>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</si>
  <si>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</si>
  <si>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</si>
  <si>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</si>
  <si>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</si>
  <si>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</si>
  <si>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</si>
  <si>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</si>
  <si>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</si>
  <si>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</si>
  <si>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</si>
  <si>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</si>
  <si>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</si>
  <si>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</si>
  <si>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</si>
  <si>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</si>
  <si>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</si>
  <si>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</si>
  <si>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</si>
  <si>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</si>
  <si>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</si>
  <si>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</si>
  <si>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</si>
  <si>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</si>
  <si>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</si>
  <si>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</si>
  <si>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</si>
  <si>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</si>
  <si>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</si>
  <si>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</si>
  <si>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</si>
  <si>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</si>
  <si>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</si>
  <si>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</si>
  <si>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</si>
  <si>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</si>
  <si>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</si>
  <si>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</si>
  <si>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</si>
  <si>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</si>
  <si>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</si>
  <si>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</si>
  <si>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</si>
  <si>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</si>
  <si>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</si>
  <si>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</si>
  <si>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</si>
  <si>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</si>
  <si>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</si>
  <si>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</si>
  <si>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</si>
  <si>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</si>
  <si>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</si>
  <si>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</si>
  <si>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</si>
  <si>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</si>
  <si>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</si>
  <si>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</si>
  <si>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</si>
  <si>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</si>
  <si>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</si>
  <si>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</si>
  <si>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</si>
  <si>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</si>
  <si>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</si>
  <si>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</si>
  <si>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</si>
  <si>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</si>
  <si>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</si>
  <si>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</si>
  <si>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</si>
  <si>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</si>
  <si>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</si>
  <si>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</si>
  <si>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</si>
  <si>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</si>
  <si>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</si>
  <si>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</si>
  <si>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</si>
  <si>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</si>
  <si>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</si>
  <si>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</si>
  <si>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</si>
  <si>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</si>
  <si>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</si>
  <si>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</si>
  <si>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</si>
  <si>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</si>
  <si>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</si>
  <si>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</si>
  <si>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</si>
  <si>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</si>
  <si>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</si>
  <si>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</si>
  <si>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</si>
  <si>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</si>
  <si>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</si>
  <si>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</si>
  <si>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</si>
  <si>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</si>
  <si>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</si>
  <si>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</si>
  <si>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</si>
  <si>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</si>
  <si>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</si>
  <si>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</si>
  <si>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</si>
  <si>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</si>
  <si>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</si>
  <si>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</si>
  <si>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</si>
  <si>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</si>
  <si>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</si>
  <si>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</si>
  <si>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</si>
  <si>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</si>
  <si>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</si>
  <si>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</si>
  <si>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</si>
  <si>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</si>
  <si>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</si>
  <si>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</si>
  <si>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</si>
  <si>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</si>
  <si>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</si>
  <si>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</si>
  <si>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</si>
  <si>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</si>
  <si>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</si>
  <si>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</si>
  <si>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</si>
  <si>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</si>
  <si>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</si>
  <si>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</si>
  <si>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</si>
  <si>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</si>
  <si>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</si>
  <si>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</si>
  <si>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</si>
  <si>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</si>
  <si>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</si>
  <si>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</si>
  <si>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</si>
  <si>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</si>
  <si>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</si>
  <si>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</si>
  <si>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</si>
  <si>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</si>
  <si>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</si>
  <si>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</si>
  <si>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</si>
  <si>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</si>
  <si>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</si>
  <si>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</si>
  <si>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</si>
  <si>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</si>
  <si>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</si>
  <si>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</si>
  <si>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</si>
  <si>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</si>
  <si>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</si>
  <si>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</si>
  <si>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</si>
  <si>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</si>
  <si>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</si>
  <si>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</si>
  <si>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</si>
  <si>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</si>
  <si>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</si>
  <si>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</si>
  <si>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</si>
  <si>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</si>
  <si>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</si>
  <si>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</si>
  <si>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</si>
  <si>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</si>
  <si>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</si>
  <si>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</si>
  <si>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</si>
  <si>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</si>
  <si>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</si>
  <si>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</si>
  <si>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</si>
  <si>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</si>
  <si>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</si>
  <si>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</si>
  <si>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</si>
  <si>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</si>
  <si>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</si>
  <si>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</si>
  <si>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</si>
  <si>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</si>
  <si>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</si>
  <si>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</si>
  <si>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</si>
  <si>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</si>
  <si>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</si>
  <si>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</si>
  <si>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</si>
  <si>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</si>
  <si>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</si>
  <si>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</si>
  <si>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</si>
  <si>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</si>
  <si>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</si>
  <si>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</si>
  <si>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</si>
  <si>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</si>
  <si>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</si>
  <si>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</si>
  <si>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</si>
  <si>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</si>
  <si>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</si>
  <si>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</si>
  <si>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</si>
  <si>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</si>
  <si>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</si>
  <si>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</si>
  <si>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</si>
  <si>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</si>
  <si>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</si>
  <si>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</si>
  <si>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</si>
  <si>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</si>
  <si>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Mian Store</t>
  </si>
  <si>
    <t>Address: Bedian Road</t>
  </si>
  <si>
    <t>Fakhir Store</t>
  </si>
  <si>
    <t>Malik Store</t>
  </si>
  <si>
    <t>Khalil Store</t>
  </si>
  <si>
    <t>Luqaman Store</t>
  </si>
  <si>
    <t>Nadeem Store</t>
  </si>
  <si>
    <t>Irfan store</t>
  </si>
  <si>
    <t>Iqbal Store</t>
  </si>
  <si>
    <t>Ali Store</t>
  </si>
  <si>
    <t>Ghani Store</t>
  </si>
  <si>
    <t>Rana Store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</si>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</sst>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4" activeCellId="7" sqref="S3:S6 S8 S9 S10 S11 S12 S13 S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Mian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Fakhir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Malik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Khalil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Luqaman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Nadeem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3">
        <v>7</v>
      </c>
      <c r="S9" s="300" t="str">
        <f>+'7'!A6:A6</f>
        <v>Irfan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311">
        <f t="shared" si="2"/>
        <v>1568.1057925423729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Iqbal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Ali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Ghani Store</v>
      </c>
      <c r="T12" s="301">
        <f>+'10'!P35</f>
        <v>849.39434356461845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Rana Store</v>
      </c>
      <c r="T13" s="301">
        <f>+'11'!P35</f>
        <v>849.39434356461845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786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7102.6</v>
      </c>
      <c r="J16" s="274">
        <f>SUM(J7:J15)</f>
        <v>568.20799999999997</v>
      </c>
      <c r="K16" s="275">
        <f t="shared" si="3"/>
        <v>248.59100000000004</v>
      </c>
      <c r="L16" s="276">
        <f t="shared" si="3"/>
        <v>0</v>
      </c>
      <c r="M16" s="232">
        <f t="shared" si="3"/>
        <v>6285.8010000000004</v>
      </c>
      <c r="N16" s="233">
        <f>SUM(N7:N15)</f>
        <v>1342.3728813559319</v>
      </c>
      <c r="O16" s="101">
        <f>SUM(O7:O15)</f>
        <v>38.140869406779657</v>
      </c>
      <c r="P16" s="113">
        <f>SUM(P7:P15)</f>
        <v>7666.3147507627118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7102.6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568.20799999999997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248.59100000000004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6285.8010000000004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1342.3728813559319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7628.1738813559323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38.140869406779657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7666.3147507627118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7666.3147507627127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C21" sqref="C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80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2026-09-30T08:39:50Z</dcterms:modified>
</cp:coreProperties>
</file>