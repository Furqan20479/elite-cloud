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FD8DD1F-C7A8-4ACB-90A7-D10BA3EC7B8F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5" l="1"/>
  <c r="N4" i="59"/>
  <c r="N4" i="58"/>
  <c r="N4" i="61"/>
  <c r="N5" i="61" s="1"/>
  <c r="N4" i="68"/>
  <c r="N5" i="68" s="1"/>
  <c r="N4" i="63"/>
  <c r="N5" i="11"/>
  <c r="N4" i="51"/>
  <c r="N5" i="51" s="1"/>
  <c r="N4" i="50"/>
  <c r="N4" i="57"/>
  <c r="N4" i="55"/>
  <c r="N5" i="55" s="1"/>
  <c r="N4" i="64"/>
  <c r="N5" i="64" s="1"/>
  <c r="N4" i="70"/>
  <c r="N5" i="70" s="1"/>
  <c r="N4" i="67"/>
  <c r="N5" i="67" s="1"/>
  <c r="N4" i="46"/>
  <c r="N5" i="46" s="1"/>
  <c r="N4" i="53"/>
  <c r="N5" i="53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<sst xmlns="http://schemas.openxmlformats.org/spreadsheetml/2006/main" count="3948" uniqueCount="517">
  <si>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</si>
  <si>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</si>
  <si>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</si>
  <si>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</si>
  <si>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</si>
  <si>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</si>
  <si>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</si>
  <si>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</si>
  <si>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</si>
  <si>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</si>
  <si>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</si>
  <si>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</si>
  <si>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</si>
  <si>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</si>
  <si>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</si>
  <si>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</si>
  <si>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</si>
  <si>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</si>
  <si>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</si>
  <si>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</si>
  <si>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</si>
  <si>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</si>
  <si>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</si>
  <si>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</si>
  <si>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</si>
  <si>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</si>
  <si>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</si>
  <si>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</si>
  <si>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</si>
  <si>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</si>
  <si>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</si>
  <si>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</si>
  <si>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</si>
  <si>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</si>
  <si>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</si>
  <si>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</si>
  <si>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</si>
  <si>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</si>
  <si>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</si>
  <si>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</si>
  <si>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</si>
  <si>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</si>
  <si>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</si>
  <si>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</si>
  <si>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</si>
  <si>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</si>
  <si>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</si>
  <si>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</si>
  <si>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</si>
  <si>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</si>
  <si>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</si>
  <si>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</si>
  <si>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</si>
  <si>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</si>
  <si>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</si>
  <si>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</si>
  <si>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</si>
  <si>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</si>
  <si>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</si>
  <si>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</si>
  <si>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</si>
  <si>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</si>
  <si>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</si>
  <si>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</si>
  <si>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</si>
  <si>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</si>
  <si>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</si>
  <si>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</si>
  <si>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</si>
  <si>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</si>
  <si>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</si>
  <si>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</si>
  <si>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</si>
  <si>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</si>
  <si>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</si>
  <si>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</si>
  <si>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</si>
  <si>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</si>
  <si>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</si>
  <si>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</si>
  <si>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</si>
  <si>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</si>
  <si>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</si>
  <si>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</si>
  <si>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</si>
  <si>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</si>
  <si>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</si>
  <si>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</si>
  <si>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</si>
  <si>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</si>
  <si>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</si>
  <si>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</si>
  <si>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</si>
  <si>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</si>
  <si>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</si>
  <si>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</si>
  <si>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</si>
  <si>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</si>
  <si>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</si>
  <si>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</si>
  <si>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</si>
  <si>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</si>
  <si>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</si>
  <si>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</si>
  <si>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</si>
  <si>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</si>
  <si>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</si>
  <si>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</si>
  <si>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</si>
  <si>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</si>
  <si>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</si>
  <si>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</si>
  <si>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</si>
  <si>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</si>
  <si>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</si>
  <si>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</si>
  <si>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</si>
  <si>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</si>
  <si>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</si>
  <si>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</si>
  <si>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</si>
  <si>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</si>
  <si>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</si>
  <si>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</si>
  <si>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</si>
  <si>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</si>
  <si>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</si>
  <si>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</si>
  <si>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</si>
  <si>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</si>
  <si>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</si>
  <si>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</si>
  <si>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</si>
  <si>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</si>
  <si>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</si>
  <si>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</si>
  <si>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</si>
  <si>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</si>
  <si>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</si>
  <si>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</si>
  <si>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</si>
  <si>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</si>
  <si>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</si>
  <si>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</si>
  <si>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</si>
  <si>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</si>
  <si>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</si>
  <si>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</si>
  <si>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</si>
  <si>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</si>
  <si>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</si>
  <si>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</si>
  <si>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</si>
  <si>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</si>
  <si>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</si>
  <si>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</si>
  <si>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</si>
  <si>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</si>
  <si>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</si>
  <si>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</si>
  <si>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</si>
  <si>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</si>
  <si>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</si>
  <si>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</si>
  <si>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</si>
  <si>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</si>
  <si>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</si>
  <si>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</si>
  <si>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</si>
  <si>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</si>
  <si>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</si>
  <si>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</si>
  <si>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</si>
  <si>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</si>
  <si>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</si>
  <si>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</si>
  <si>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</si>
  <si>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</si>
  <si>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</si>
  <si>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</si>
  <si>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</si>
  <si>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</si>
  <si>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</si>
  <si>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</si>
  <si>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</si>
  <si>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</si>
  <si>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</si>
  <si>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</si>
  <si>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</si>
  <si>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</si>
  <si>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</si>
  <si>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</si>
  <si>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</si>
  <si>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</si>
  <si>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</si>
  <si>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</si>
  <si>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</si>
  <si>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</si>
  <si>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</si>
  <si>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</si>
  <si>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</si>
  <si>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</si>
  <si>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</si>
  <si>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</si>
  <si>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</si>
  <si>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</si>
  <si>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</si>
  <si>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</si>
  <si>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</si>
  <si>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</si>
  <si>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</si>
  <si>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</si>
  <si>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</si>
  <si>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</si>
  <si>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</si>
  <si>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</si>
  <si>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</si>
  <si>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</si>
  <si>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</si>
  <si>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</si>
  <si>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</si>
  <si>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</si>
  <si>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</si>
  <si>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</si>
  <si>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</si>
  <si>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</si>
  <si>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</si>
  <si>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</si>
  <si>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</si>
  <si>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</si>
  <si>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</si>
  <si>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</si>
  <si>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</si>
  <si>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</si>
  <si>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</si>
  <si>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</si>
  <si>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</si>
  <si>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</si>
  <si>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</si>
  <si>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</si>
  <si>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</si>
  <si>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</si>
  <si>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</si>
  <si>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</si>
  <si>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</si>
  <si>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</si>
  <si>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</si>
  <si>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</si>
  <si>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</si>
  <si>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</si>
  <si>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</si>
  <si>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</si>
  <si>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</si>
  <si>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</si>
  <si>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</si>
  <si>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</si>
  <si>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</si>
  <si>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</si>
  <si>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</si>
  <si>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</si>
  <si>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</si>
  <si>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</si>
  <si>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</si>
  <si>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</si>
  <si>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</si>
  <si>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</si>
  <si>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</si>
  <si>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</si>
  <si>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</si>
  <si>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</si>
  <si>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</si>
  <si>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</si>
  <si>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</si>
  <si>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</si>
  <si>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</si>
  <si>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</si>
  <si>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</si>
  <si>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</si>
  <si>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</si>
  <si>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</si>
  <si>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</si>
  <si>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</si>
  <si>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</si>
  <si>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</si>
  <si>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</si>
  <si>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</si>
  <si>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</si>
  <si>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</si>
  <si>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</si>
  <si>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</si>
  <si>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</si>
  <si>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</si>
  <si>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</si>
  <si>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</si>
  <si>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</si>
  <si>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</si>
  <si>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</si>
  <si>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</si>
  <si>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</si>
  <si>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</si>
  <si>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</si>
  <si>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</si>
  <si>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</si>
  <si>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</si>
  <si>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</si>
  <si>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</si>
  <si>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</si>
  <si>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</si>
  <si>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</si>
  <si>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</si>
  <si>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</si>
  <si>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</si>
  <si>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</si>
  <si>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</si>
  <si>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</si>
  <si>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</si>
  <si>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</si>
  <si>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</si>
  <si>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</si>
  <si>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</si>
  <si>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</si>
  <si>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</si>
  <si>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</si>
  <si>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</si>
  <si>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</si>
  <si>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</si>
  <si>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</si>
  <si>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</si>
  <si>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</si>
  <si>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</si>
  <si>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</si>
  <si>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</si>
  <si>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</si>
  <si>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</si>
  <si>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</si>
  <si>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</si>
  <si>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</si>
  <si>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</si>
  <si>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</si>
  <si>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</si>
  <si>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</si>
  <si>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</si>
  <si>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</si>
  <si>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</si>
  <si>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</si>
  <si>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</si>
  <si>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</si>
  <si>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</si>
  <si>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</si>
  <si>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</si>
  <si>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</si>
  <si>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</si>
  <si>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</si>
  <si>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</si>
  <si>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</si>
  <si>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</si>
  <si>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</si>
  <si>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</si>
  <si>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</si>
  <si>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</si>
  <si>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</si>
  <si>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</si>
  <si>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</si>
  <si>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</si>
  <si>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</si>
  <si>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</si>
  <si>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</si>
  <si>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</si>
  <si>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</si>
  <si>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</si>
  <si>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</si>
  <si>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</si>
  <si>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</si>
  <si>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</si>
  <si>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</si>
  <si>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</si>
  <si>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</si>
  <si>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</si>
  <si>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</si>
  <si>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</si>
  <si>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</si>
  <si>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</si>
  <si>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</si>
  <si>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</si>
  <si>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</si>
  <si>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</si>
  <si>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</si>
  <si>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</si>
  <si>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</si>
  <si>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</si>
  <si>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</si>
  <si>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</si>
  <si>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</si>
  <si>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</si>
  <si>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</si>
  <si>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</si>
  <si>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</si>
  <si>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</si>
  <si>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</si>
  <si>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</si>
  <si>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</si>
  <si>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</si>
  <si>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</si>
  <si>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</si>
  <si>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</si>
  <si>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</si>
  <si>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</si>
  <si>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</si>
  <si>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</si>
  <si>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</si>
  <si>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</si>
  <si>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</si>
  <si>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</si>
  <si>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</si>
  <si>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</si>
  <si>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</si>
  <si>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</si>
  <si>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</si>
  <si>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</si>
  <si>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</si>
  <si>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</si>
  <si>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</si>
  <si>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</si>
  <si>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</si>
  <si>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</si>
  <si>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</si>
  <si>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</si>
  <si>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</si>
  <si>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</si>
  <si>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</si>
  <si>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</si>
  <si>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</si>
  <si>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</si>
  <si>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</si>
  <si>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</si>
  <si>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</si>
  <si>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</si>
  <si>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</si>
  <si>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</si>
  <si>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</si>
  <si>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</si>
  <si>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</si>
  <si>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</si>
  <si>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</si>
  <si>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</si>
  <si>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</si>
  <si>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</si>
  <si>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</si>
  <si>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</si>
  <si>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</si>
  <si>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</si>
  <si>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</si>
  <si>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</si>
  <si>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</si>
  <si>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</si>
  <si>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</si>
  <si>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</si>
  <si>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</si>
  <si>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</si>
  <si>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</si>
  <si>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</si>
  <si>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</si>
  <si>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</si>
  <si>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</si>
  <si>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</si>
  <si>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</si>
  <si>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</si>
  <si>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</si>
  <si>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</si>
  <si>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</si>
  <si>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</si>
  <si>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</si>
  <si>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</si>
  <si>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</si>
  <si>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</si>
  <si>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</si>
  <si>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</si>
  <si>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</si>
  <si>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</si>
  <si>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</si>
  <si>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</si>
  <si>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</si>
  <si>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</si>
  <si>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</si>
  <si>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</si>
  <si>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</si>
  <si>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</si>
  <si>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</si>
  <si>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</si>
  <si>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</si>
  <si>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</si>
  <si>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</si>
  <si>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</si>
  <si>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</si>
  <si>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</si>
  <si>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</si>
  <si>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</si>
  <si>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</si>
  <si>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</si>
  <si>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</si>
  <si>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</si>
  <si>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</si>
  <si>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</si>
  <si>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</si>
  <si>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</si>
  <si>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</si>
  <si>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</si>
  <si>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</si>
  <si>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</si>
  <si>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</si>
  <si>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</si>
  <si>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</si>
  <si>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Address: Adress </t>
  </si>
  <si>
    <t xml:space="preserve">Al Rehmat </t>
  </si>
  <si>
    <t>Al Rehmat Store</t>
  </si>
  <si>
    <t>NTN #: 2167476-7</t>
  </si>
  <si>
    <t>Invoice No # :412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</si>
</sst>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46295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 Rehmat Store</v>
      </c>
      <c r="T3" s="301">
        <f>+'1'!P35</f>
        <v>6801.1191775900425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Rehmat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Rehmat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Rehmat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Rehmat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Rehmat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27</v>
      </c>
      <c r="I9" s="236">
        <f t="shared" si="0"/>
        <v>1416.4875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141.64875000000001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49.577062500000004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1225.2616874999999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267.71186440677957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7.464867759533897</v>
      </c>
      <c r="P9" s="311">
        <f t="shared" si="2"/>
        <v>1500.4384196663134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13</v>
      </c>
      <c r="R9" s="313">
        <v>7</v>
      </c>
      <c r="S9" s="300" t="str">
        <f>+'7'!A6:A6</f>
        <v>Al Rehmat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Rehmat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Rehmat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Rehmat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Rehmat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Rehmat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 Rehmat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2.6749999999999998</v>
      </c>
      <c r="H16" s="113">
        <f t="shared" ref="H16:M16" si="3">SUM(H7:H15)</f>
        <v>107</v>
      </c>
      <c r="I16" s="114">
        <f t="shared" si="3"/>
        <v>6420.5874999999996</v>
      </c>
      <c r="J16" s="274">
        <f>SUM(J7:J15)</f>
        <v>642.05875000000003</v>
      </c>
      <c r="K16" s="275">
        <f t="shared" si="3"/>
        <v>224.72056250000003</v>
      </c>
      <c r="L16" s="276">
        <f t="shared" si="3"/>
        <v>0</v>
      </c>
      <c r="M16" s="232">
        <f t="shared" si="3"/>
        <v>5553.8081874999998</v>
      </c>
      <c r="N16" s="233">
        <f>SUM(N7:N15)</f>
        <v>1213.4745762711864</v>
      </c>
      <c r="O16" s="101">
        <f>SUM(O7:O15)</f>
        <v>33.836413818855931</v>
      </c>
      <c r="P16" s="113">
        <f>SUM(P7:P15)</f>
        <v>6801.1191775900425</v>
      </c>
      <c r="Q16" s="128">
        <f>SUM(Q7:Q15)</f>
        <v>13</v>
      </c>
      <c r="R16" s="313">
        <v>14</v>
      </c>
      <c r="S16" s="315" t="str">
        <f>+'14'!A6:A6</f>
        <v>Al Rehmat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Rehmat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 Rehmat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6420.5874999999996</v>
      </c>
      <c r="R19" s="299">
        <v>17</v>
      </c>
      <c r="S19" s="300" t="str">
        <f>+'17'!A6:A6</f>
        <v>Al Rehmat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642.05875000000003</v>
      </c>
      <c r="R20" s="299">
        <v>18</v>
      </c>
      <c r="S20" s="300" t="str">
        <f>+'18'!A6:A6</f>
        <v>Al Rehmat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224.72056250000003</v>
      </c>
      <c r="R21" s="299">
        <v>19</v>
      </c>
      <c r="S21" s="300" t="str">
        <f>+'19'!A6:A6</f>
        <v>Al Rehmat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5553.8081874999998</v>
      </c>
      <c r="R22" s="299">
        <v>20</v>
      </c>
      <c r="S22" s="300" t="str">
        <f>+'20'!A6:A6</f>
        <v>Al Rehmat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1213.4745762711864</v>
      </c>
      <c r="R23" s="299">
        <v>21</v>
      </c>
      <c r="S23" s="300" t="str">
        <f>+'21'!A6:A6</f>
        <v>Al Rehmat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6767.2827637711862</v>
      </c>
      <c r="R24" s="299">
        <v>22</v>
      </c>
      <c r="S24" s="300" t="str">
        <f>+'22'!A6:A6</f>
        <v>Al Rehmat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33.836413818855931</v>
      </c>
      <c r="R25" s="299">
        <v>23</v>
      </c>
      <c r="S25" s="300" t="str">
        <f>+'23'!A6:A6</f>
        <v>Al Rehmat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6801.1191775900425</v>
      </c>
      <c r="R26" s="299">
        <v>24</v>
      </c>
      <c r="S26" s="300" t="str">
        <f>+'24'!A6:A6</f>
        <v>Al Rehmat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Al Rehmat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Al Rehmat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Al Rehmat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Al Rehmat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Al Rehmat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Al Rehmat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6801.1191775900425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Summary!H3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27</v>
      </c>
      <c r="I18" s="236">
        <f t="shared" ref="I18:I21" si="7">(G18*D18)*F18+H18*F18</f>
        <v>1416.4875</v>
      </c>
      <c r="J18" s="272">
        <f t="shared" si="1"/>
        <v>141.64875000000001</v>
      </c>
      <c r="K18" s="128">
        <f t="shared" si="1"/>
        <v>49.577062500000004</v>
      </c>
      <c r="L18" s="119">
        <f t="shared" si="1"/>
        <v>0</v>
      </c>
      <c r="M18" s="230">
        <f t="shared" si="2"/>
        <v>1225.2616874999999</v>
      </c>
      <c r="N18" s="277">
        <f t="shared" si="3"/>
        <v>267.71186440677957</v>
      </c>
      <c r="O18" s="239">
        <f t="shared" si="4"/>
        <v>7.464867759533897</v>
      </c>
      <c r="P18" s="119">
        <f t="shared" si="5"/>
        <v>1500.4384196663134</v>
      </c>
      <c r="Q18" s="319">
        <v>13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107</v>
      </c>
      <c r="I25" s="114">
        <f t="shared" ref="I25:M25" si="10">SUM(I16:I24)</f>
        <v>6420.5874999999996</v>
      </c>
      <c r="J25" s="274">
        <f>SUM(J16:J24)</f>
        <v>642.05875000000003</v>
      </c>
      <c r="K25" s="275">
        <f t="shared" si="10"/>
        <v>224.72056250000003</v>
      </c>
      <c r="L25" s="276">
        <f t="shared" si="10"/>
        <v>0</v>
      </c>
      <c r="M25" s="232">
        <f t="shared" si="10"/>
        <v>5553.8081874999998</v>
      </c>
      <c r="N25" s="233">
        <f>SUM(N16:N24)</f>
        <v>1213.4745762711864</v>
      </c>
      <c r="O25" s="101">
        <f>SUM(O16:O24)</f>
        <v>33.836413818855931</v>
      </c>
      <c r="P25" s="234">
        <f>SUM(P16:P24)</f>
        <v>6801.1191775900425</v>
      </c>
      <c r="Q25" s="239">
        <f>SUM(Q16:Q24)</f>
        <v>13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6420.5874999999996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642.05875000000003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224.72056250000003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5553.8081874999998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1213.4745762711864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6767.2827637711862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33.836413818855931</v>
      </c>
    </row>
    <row r="35" spans="2:16" ht="15.75" customHeight="1" thickBot="1" x14ac:dyDescent="0.4">
      <c r="N35" s="374" t="s">
        <v>88</v>
      </c>
      <c r="O35" s="375"/>
      <c r="P35" s="297">
        <f>+P33+P34</f>
        <v>6801.1191775900425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'1'!N4:P5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Al Rehmat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2026-09-30T08:26:49Z</dcterms:modified>
</cp:coreProperties>
</file>