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5BED47-D555-498C-8CDE-E54E5352CFB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46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0" l="1"/>
  <c r="N5" i="70" s="1"/>
  <c r="N4" i="69"/>
  <c r="N5" i="69" s="1"/>
  <c r="N4" i="67"/>
  <c r="N5" i="67" s="1"/>
  <c r="N4" i="53"/>
  <c r="N5" i="53" s="1"/>
  <c r="N4" i="63"/>
  <c r="N5" i="63" s="1"/>
  <c r="N4" i="45"/>
  <c r="N5" i="45" s="1"/>
  <c r="N4" i="59"/>
  <c r="N5" i="59" s="1"/>
  <c r="N4" i="58"/>
  <c r="N5" i="58" s="1"/>
  <c r="N4" i="61"/>
  <c r="N5" i="61" s="1"/>
  <c r="N4" i="68"/>
  <c r="N5" i="68" s="1"/>
  <c r="N5" i="11"/>
  <c r="N4" i="51"/>
  <c r="N5" i="51" s="1"/>
  <c r="N4" i="50"/>
  <c r="N5" i="50" s="1"/>
  <c r="N4" i="57"/>
  <c r="N5" i="57" s="1"/>
  <c r="N4" i="55"/>
  <c r="N5" i="55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<sst xmlns="http://schemas.openxmlformats.org/spreadsheetml/2006/main" count="3918" uniqueCount="516">
  <si>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</si>
  <si>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</si>
  <si>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</si>
  <si>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</si>
  <si>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</si>
  <si>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</si>
  <si>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</si>
  <si>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</si>
  <si>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</si>
  <si>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</si>
  <si>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</si>
  <si>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</si>
  <si>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</si>
  <si>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</si>
  <si>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</si>
  <si>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</si>
  <si>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</si>
  <si>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</si>
  <si>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</si>
  <si>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</si>
  <si>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</si>
  <si>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</si>
  <si>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</si>
  <si>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</si>
  <si>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</si>
  <si>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</si>
  <si>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</si>
  <si>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</si>
  <si>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</si>
  <si>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</si>
  <si>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</si>
  <si>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</si>
  <si>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</si>
  <si>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</si>
  <si>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</si>
  <si>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</si>
  <si>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</si>
  <si>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</si>
  <si>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</si>
  <si>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</si>
  <si>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</si>
  <si>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</si>
  <si>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</si>
  <si>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</si>
  <si>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</si>
  <si>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</si>
  <si>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</si>
  <si>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</si>
  <si>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</si>
  <si>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</si>
  <si>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</si>
  <si>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</si>
  <si>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</si>
  <si>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</si>
  <si>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</si>
  <si>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</si>
  <si>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</si>
  <si>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</si>
  <si>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</si>
  <si>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</si>
  <si>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</si>
  <si>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</si>
  <si>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</si>
  <si>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</si>
  <si>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</si>
  <si>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</si>
  <si>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</si>
  <si>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</si>
  <si>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</si>
  <si>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</si>
  <si>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</si>
  <si>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</si>
  <si>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</si>
  <si>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</si>
  <si>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</si>
  <si>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</si>
  <si>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</si>
  <si>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</si>
  <si>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</si>
  <si>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</si>
  <si>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</si>
  <si>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</si>
  <si>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</si>
  <si>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</si>
  <si>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</si>
  <si>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</si>
  <si>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</si>
  <si>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</si>
  <si>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</si>
  <si>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</si>
  <si>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</si>
  <si>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</si>
  <si>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</si>
  <si>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</si>
  <si>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</si>
  <si>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</si>
  <si>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</si>
  <si>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</si>
  <si>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</si>
  <si>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</si>
  <si>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</si>
  <si>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</si>
  <si>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</si>
  <si>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</si>
  <si>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</si>
  <si>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</si>
  <si>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</si>
  <si>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</si>
  <si>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</si>
  <si>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</si>
  <si>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</si>
  <si>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</si>
  <si>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</si>
  <si>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</si>
  <si>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</si>
  <si>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</si>
  <si>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</si>
  <si>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</si>
  <si>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</si>
  <si>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</si>
  <si>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</si>
  <si>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</si>
  <si>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</si>
  <si>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</si>
  <si>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</si>
  <si>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</si>
  <si>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</si>
  <si>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</si>
  <si>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</si>
  <si>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</si>
  <si>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</si>
  <si>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</si>
  <si>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</si>
  <si>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</si>
  <si>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</si>
  <si>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</si>
  <si>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</si>
  <si>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</si>
  <si>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</si>
  <si>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</si>
  <si>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</si>
  <si>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</si>
  <si>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</si>
  <si>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</si>
  <si>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</si>
  <si>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</si>
  <si>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</si>
  <si>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</si>
  <si>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</si>
  <si>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</si>
  <si>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</si>
  <si>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</si>
  <si>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</si>
  <si>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</si>
  <si>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</si>
  <si>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</si>
  <si>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</si>
  <si>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</si>
  <si>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</si>
  <si>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</si>
  <si>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</si>
  <si>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</si>
  <si>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</si>
  <si>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</si>
  <si>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</si>
  <si>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</si>
  <si>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</si>
  <si>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</si>
  <si>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</si>
  <si>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</si>
  <si>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</si>
  <si>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</si>
  <si>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</si>
  <si>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</si>
  <si>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</si>
  <si>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</si>
  <si>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</si>
  <si>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</si>
  <si>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</si>
  <si>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</si>
  <si>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</si>
  <si>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</si>
  <si>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</si>
  <si>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</si>
  <si>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</si>
  <si>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</si>
  <si>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</si>
  <si>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</si>
  <si>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</si>
  <si>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</si>
  <si>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</si>
  <si>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</si>
  <si>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</si>
  <si>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</si>
  <si>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</si>
  <si>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</si>
  <si>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</si>
  <si>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</si>
  <si>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</si>
  <si>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</si>
  <si>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</si>
  <si>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</si>
  <si>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</si>
  <si>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</si>
  <si>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</si>
  <si>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</si>
  <si>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</si>
  <si>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</si>
  <si>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</si>
  <si>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</si>
  <si>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</si>
  <si>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</si>
  <si>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</si>
  <si>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</si>
  <si>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</si>
  <si>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</si>
  <si>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</si>
  <si>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</si>
  <si>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</si>
  <si>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</si>
  <si>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</si>
  <si>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</si>
  <si>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</si>
  <si>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</si>
  <si>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</si>
  <si>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</si>
  <si>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</si>
  <si>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</si>
  <si>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</si>
  <si>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</si>
  <si>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</si>
  <si>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</si>
  <si>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</si>
  <si>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</si>
  <si>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</si>
  <si>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</si>
  <si>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</si>
  <si>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</si>
  <si>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</si>
  <si>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</si>
  <si>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</si>
  <si>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</si>
  <si>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</si>
  <si>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</si>
  <si>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</si>
  <si>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</si>
  <si>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</si>
  <si>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</si>
  <si>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</si>
  <si>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</si>
  <si>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</si>
  <si>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</si>
  <si>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</si>
  <si>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</si>
  <si>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</si>
  <si>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</si>
  <si>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</si>
  <si>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</si>
  <si>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</si>
  <si>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</si>
  <si>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</si>
  <si>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</si>
  <si>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</si>
  <si>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</si>
  <si>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</si>
  <si>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</si>
  <si>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</si>
  <si>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</si>
  <si>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</si>
  <si>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</si>
  <si>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</si>
  <si>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</si>
  <si>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</si>
  <si>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</si>
  <si>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</si>
  <si>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</si>
  <si>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</si>
  <si>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</si>
  <si>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</si>
  <si>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</si>
  <si>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</si>
  <si>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</si>
  <si>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</si>
  <si>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</si>
  <si>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</si>
  <si>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</si>
  <si>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</si>
  <si>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</si>
  <si>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</si>
  <si>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</si>
  <si>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</si>
  <si>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</si>
  <si>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</si>
  <si>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</si>
  <si>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</si>
  <si>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</si>
  <si>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</si>
  <si>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</si>
  <si>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</si>
  <si>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</si>
  <si>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</si>
  <si>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</si>
  <si>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</si>
  <si>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</si>
  <si>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</si>
  <si>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</si>
  <si>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</si>
  <si>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</si>
  <si>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</si>
  <si>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</si>
  <si>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</si>
  <si>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</si>
  <si>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</si>
  <si>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</si>
  <si>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</si>
  <si>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</si>
  <si>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</si>
  <si>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</si>
  <si>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</si>
  <si>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</si>
  <si>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</si>
  <si>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</si>
  <si>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</si>
  <si>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</si>
  <si>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</si>
  <si>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</si>
  <si>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</si>
  <si>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</si>
  <si>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</si>
  <si>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</si>
  <si>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</si>
  <si>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</si>
  <si>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</si>
  <si>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</si>
  <si>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</si>
  <si>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</si>
  <si>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</si>
  <si>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</si>
  <si>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</si>
  <si>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</si>
  <si>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</si>
  <si>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</si>
  <si>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</si>
  <si>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</si>
  <si>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</si>
  <si>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</si>
  <si>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</si>
  <si>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</si>
  <si>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</si>
  <si>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</si>
  <si>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</si>
  <si>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</si>
  <si>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</si>
  <si>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</si>
  <si>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</si>
  <si>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</si>
  <si>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</si>
  <si>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</si>
  <si>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</si>
  <si>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</si>
  <si>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</si>
  <si>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</si>
  <si>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</si>
  <si>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</si>
  <si>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</si>
  <si>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</si>
  <si>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</si>
  <si>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</si>
  <si>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</si>
  <si>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</si>
  <si>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</si>
  <si>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</si>
  <si>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</si>
  <si>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</si>
  <si>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</si>
  <si>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</si>
  <si>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</si>
  <si>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</si>
  <si>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</si>
  <si>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</si>
  <si>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</si>
  <si>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</si>
  <si>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</si>
  <si>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</si>
  <si>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</si>
  <si>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</si>
  <si>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</si>
  <si>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</si>
  <si>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</si>
  <si>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</si>
  <si>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</si>
  <si>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</si>
  <si>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</si>
  <si>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</si>
  <si>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</si>
  <si>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</si>
  <si>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</si>
  <si>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</si>
  <si>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</si>
  <si>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</si>
  <si>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</si>
  <si>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</si>
  <si>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</si>
  <si>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</si>
  <si>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</si>
  <si>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</si>
  <si>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</si>
  <si>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</si>
  <si>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</si>
  <si>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</si>
  <si>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</si>
  <si>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</si>
  <si>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</si>
  <si>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</si>
  <si>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</si>
  <si>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</si>
  <si>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</si>
  <si>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</si>
  <si>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</si>
  <si>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</si>
  <si>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</si>
  <si>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</si>
  <si>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</si>
  <si>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</si>
  <si>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</si>
  <si>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</si>
  <si>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</si>
  <si>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</si>
  <si>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</si>
  <si>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</si>
  <si>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</si>
  <si>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</si>
  <si>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</si>
  <si>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</si>
  <si>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</si>
  <si>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</si>
  <si>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</si>
  <si>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</si>
  <si>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</si>
  <si>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</si>
  <si>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</si>
  <si>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</si>
  <si>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</si>
  <si>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</si>
  <si>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</si>
  <si>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</si>
  <si>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</si>
  <si>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</si>
  <si>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</si>
  <si>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</si>
  <si>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</si>
  <si>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</si>
  <si>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</si>
  <si>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</si>
  <si>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</si>
  <si>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</si>
  <si>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</si>
  <si>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</si>
  <si>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</si>
  <si>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</si>
  <si>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</si>
  <si>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</si>
  <si>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</si>
  <si>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</si>
  <si>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</si>
  <si>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</si>
  <si>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</si>
  <si>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</si>
  <si>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</si>
  <si>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</si>
  <si>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</si>
  <si>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</si>
  <si>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</si>
  <si>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</si>
  <si>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</si>
  <si>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</si>
  <si>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</si>
  <si>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</si>
  <si>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</si>
  <si>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</si>
  <si>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</si>
  <si>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</si>
  <si>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</si>
  <si>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</si>
  <si>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</si>
  <si>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</si>
  <si>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</si>
  <si>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</si>
  <si>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</si>
  <si>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</si>
  <si>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</si>
  <si>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</si>
  <si>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</si>
  <si>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</si>
  <si>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</si>
  <si>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</si>
  <si>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</si>
  <si>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</si>
  <si>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</si>
  <si>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</si>
  <si>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</si>
  <si>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</si>
  <si>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</si>
  <si>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</si>
  <si>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</si>
  <si>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</si>
  <si>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</si>
  <si>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</si>
  <si>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</si>
  <si>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</si>
  <si>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</si>
  <si>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</si>
  <si>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</si>
  <si>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Shehwar Mega Mart</t>
  </si>
  <si>
    <t>Address: Jublee Mart</t>
  </si>
  <si>
    <t>Invoice No # :156165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</si>
</sst>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46286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Shehwar Mega Mart</v>
      </c>
      <c r="T3" s="301">
        <f>+'1'!P35</f>
        <v>81220.085953347458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Shehwar Mega Mart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Shehwar Mega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Shehwar Mega Mart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Shehwar Mega Mart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839.40000000000009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7260.8099999999995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44.236253389830502</v>
      </c>
      <c r="P8" s="311">
        <f t="shared" ref="P8:P15" si="2">M8+N8+O8</f>
        <v>8891.4869313559302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Shehwar Mega Mart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1259.1000000000001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440.68500000000006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10891.215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66.354380084745756</v>
      </c>
      <c r="P9" s="311">
        <f t="shared" si="2"/>
        <v>13337.230397033896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Shehwar Mega Mart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10053.376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61.249930847457627</v>
      </c>
      <c r="P10" s="311">
        <f t="shared" si="2"/>
        <v>12311.236100338983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Shehwar Mega Mart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7540.0319999999992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45.937448135593222</v>
      </c>
      <c r="P11" s="311">
        <f t="shared" si="2"/>
        <v>9233.4270752542379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Shehwar Mega Mart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2905.6000000000004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25133.439999999999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153.12482711864408</v>
      </c>
      <c r="P12" s="311">
        <f t="shared" si="2"/>
        <v>30778.090250847457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Shehwar Mega Mart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Shehwar Mega Mart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Shehwar Mega Mart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Shehwar Mega Mart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30</v>
      </c>
      <c r="H16" s="113">
        <f t="shared" ref="H16:M16" si="3">SUM(H7:H15)</f>
        <v>1200</v>
      </c>
      <c r="I16" s="114">
        <f t="shared" si="3"/>
        <v>76675.7</v>
      </c>
      <c r="J16" s="274">
        <f>SUM(J7:J15)</f>
        <v>7667.5700000000006</v>
      </c>
      <c r="K16" s="275">
        <f t="shared" si="3"/>
        <v>2683.6495000000004</v>
      </c>
      <c r="L16" s="276">
        <f t="shared" si="3"/>
        <v>0</v>
      </c>
      <c r="M16" s="232">
        <f t="shared" si="3"/>
        <v>66324.480499999991</v>
      </c>
      <c r="N16" s="233">
        <f>SUM(N7:N15)</f>
        <v>14491.52542372881</v>
      </c>
      <c r="O16" s="101">
        <f>SUM(O7:O15)</f>
        <v>404.08002961864406</v>
      </c>
      <c r="P16" s="113">
        <f>SUM(P7:P15)</f>
        <v>81220.085953347443</v>
      </c>
      <c r="Q16" s="128">
        <f>SUM(Q7:Q15)</f>
        <v>0</v>
      </c>
      <c r="R16" s="313">
        <v>14</v>
      </c>
      <c r="S16" s="315" t="str">
        <f>+'14'!A6:A6</f>
        <v>Shehwar Mega Mart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Shehwar Mega Mart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Shehwar Mega Mart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76675.7</v>
      </c>
      <c r="R19" s="299">
        <v>17</v>
      </c>
      <c r="S19" s="300" t="str">
        <f>+'17'!A6:A6</f>
        <v>Shehwar Mega Mart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7667.5700000000006</v>
      </c>
      <c r="R20" s="299">
        <v>18</v>
      </c>
      <c r="S20" s="300" t="str">
        <f>+'18'!A6:A6</f>
        <v>Shehwar Mega Mart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2683.6495000000004</v>
      </c>
      <c r="R21" s="299">
        <v>19</v>
      </c>
      <c r="S21" s="300" t="str">
        <f>+'19'!A6:A6</f>
        <v>Shehwar Mega Mart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66324.480499999991</v>
      </c>
      <c r="R22" s="299">
        <v>20</v>
      </c>
      <c r="S22" s="300" t="str">
        <f>+'20'!A6:A6</f>
        <v>Shehwar Mega Mart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14491.52542372881</v>
      </c>
      <c r="R23" s="299">
        <v>21</v>
      </c>
      <c r="S23" s="300" t="str">
        <f>+'21'!A6:A6</f>
        <v>Shehwar Mega Mart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80816.005923728808</v>
      </c>
      <c r="R24" s="299">
        <v>22</v>
      </c>
      <c r="S24" s="300" t="str">
        <f>+'22'!A6:A6</f>
        <v>Shehwar Mega Mart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404.08002961864406</v>
      </c>
      <c r="R25" s="299">
        <v>23</v>
      </c>
      <c r="S25" s="300" t="str">
        <f>+'23'!A6:A6</f>
        <v>Shehwar Mega Mart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81220.085953347458</v>
      </c>
      <c r="R26" s="299">
        <v>24</v>
      </c>
      <c r="S26" s="300" t="str">
        <f>+'24'!A6:A6</f>
        <v>Shehwar Mega Mart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Shehwar Mega Mart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Shehwar Mega Mart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Shehwar Mega Mart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Shehwar Mega Mart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Shehwar Mega Mart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Shehwar Mega Mart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81220.085953347458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" zoomScale="85" zoomScaleNormal="85" workbookViewId="0">
      <selection activeCell="J15" sqref="J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" bestFit="1" customWidth="1"/>
    <col min="10" max="11" width="7.90625" bestFit="1" customWidth="1"/>
    <col min="12" max="12" width="4.7265625" bestFit="1" customWidth="1"/>
    <col min="13" max="13" width="6.26953125" bestFit="1" customWidth="1"/>
    <col min="14" max="14" width="11.54296875" style="61" customWidth="1"/>
    <col min="15" max="15" width="6.81640625" bestFit="1" customWidth="1"/>
    <col min="16" max="16" width="9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118">
        <f>M16+N16+O16</f>
        <v>6668.6151985169481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839.40000000000009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7260.8099999999995</v>
      </c>
      <c r="N17" s="277">
        <f t="shared" ref="N17:N24" si="3">+(G17*D17+H17)*V17</f>
        <v>1586.440677966101</v>
      </c>
      <c r="O17" s="239">
        <f t="shared" ref="O17:O24" si="4">(N17+M17)*$O$15</f>
        <v>44.236253389830502</v>
      </c>
      <c r="P17" s="119">
        <f t="shared" ref="P17:P24" si="5">M17+N17+O17</f>
        <v>8891.4869313559302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240</v>
      </c>
      <c r="I18" s="236">
        <f t="shared" ref="I18:I21" si="7">(G18*D18)*F18+H18*F18</f>
        <v>12591</v>
      </c>
      <c r="J18" s="272">
        <f t="shared" si="1"/>
        <v>1259.1000000000001</v>
      </c>
      <c r="K18" s="128">
        <f t="shared" si="1"/>
        <v>440.68500000000006</v>
      </c>
      <c r="L18" s="119">
        <f t="shared" si="1"/>
        <v>0</v>
      </c>
      <c r="M18" s="230">
        <f t="shared" si="2"/>
        <v>10891.215</v>
      </c>
      <c r="N18" s="277">
        <f t="shared" si="3"/>
        <v>2379.6610169491514</v>
      </c>
      <c r="O18" s="239">
        <f t="shared" si="4"/>
        <v>66.354380084745756</v>
      </c>
      <c r="P18" s="119">
        <f t="shared" si="5"/>
        <v>13337.230397033896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1162.24</v>
      </c>
      <c r="K19" s="128">
        <f t="shared" si="1"/>
        <v>406.78400000000005</v>
      </c>
      <c r="L19" s="119">
        <f t="shared" si="1"/>
        <v>0</v>
      </c>
      <c r="M19" s="230">
        <f t="shared" si="2"/>
        <v>10053.376</v>
      </c>
      <c r="N19" s="277">
        <f t="shared" si="3"/>
        <v>2196.6101694915255</v>
      </c>
      <c r="O19" s="239">
        <f t="shared" si="4"/>
        <v>61.249930847457627</v>
      </c>
      <c r="P19" s="119">
        <f t="shared" si="5"/>
        <v>12311.236100338983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871.68</v>
      </c>
      <c r="K20" s="128">
        <f t="shared" si="1"/>
        <v>305.08800000000002</v>
      </c>
      <c r="L20" s="119">
        <f t="shared" si="1"/>
        <v>0</v>
      </c>
      <c r="M20" s="230">
        <f t="shared" si="2"/>
        <v>7540.0319999999992</v>
      </c>
      <c r="N20" s="277">
        <f t="shared" si="3"/>
        <v>1647.4576271186443</v>
      </c>
      <c r="O20" s="239">
        <f t="shared" si="4"/>
        <v>45.937448135593222</v>
      </c>
      <c r="P20" s="119">
        <f t="shared" si="5"/>
        <v>9233.4270752542379</v>
      </c>
      <c r="Q20" s="319"/>
      <c r="R20">
        <f>P20/21</f>
        <v>439.68700358353516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2905.6000000000004</v>
      </c>
      <c r="K21" s="128">
        <f t="shared" si="1"/>
        <v>1016.9600000000002</v>
      </c>
      <c r="L21" s="119">
        <f t="shared" si="1"/>
        <v>0</v>
      </c>
      <c r="M21" s="230">
        <f t="shared" si="2"/>
        <v>25133.439999999999</v>
      </c>
      <c r="N21" s="277">
        <f t="shared" si="3"/>
        <v>5491.5254237288136</v>
      </c>
      <c r="O21" s="239">
        <f t="shared" si="4"/>
        <v>153.12482711864408</v>
      </c>
      <c r="P21" s="119">
        <f t="shared" si="5"/>
        <v>30778.090250847457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76675.7</v>
      </c>
      <c r="J25" s="274">
        <f>SUM(J16:J24)</f>
        <v>7667.5700000000006</v>
      </c>
      <c r="K25" s="275">
        <f t="shared" si="10"/>
        <v>2683.6495000000004</v>
      </c>
      <c r="L25" s="276">
        <f t="shared" si="10"/>
        <v>0</v>
      </c>
      <c r="M25" s="232">
        <f t="shared" si="10"/>
        <v>66324.480499999991</v>
      </c>
      <c r="N25" s="233">
        <f>SUM(N16:N24)</f>
        <v>14491.52542372881</v>
      </c>
      <c r="O25" s="101">
        <f>SUM(O16:O24)</f>
        <v>404.08002961864406</v>
      </c>
      <c r="P25" s="234">
        <f>SUM(P16:P24)</f>
        <v>81220.085953347443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76675.7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7667.5700000000006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2683.6495000000004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66324.480499999991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14491.52542372881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80816.005923728808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404.08002961864406</v>
      </c>
    </row>
    <row r="35" spans="2:16" ht="15.75" customHeight="1" thickBot="1" x14ac:dyDescent="0.4">
      <c r="N35" s="375" t="s">
        <v>88</v>
      </c>
      <c r="O35" s="376"/>
      <c r="P35" s="297">
        <f>+P33+P34</f>
        <v>81220.085953347458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46287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46286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2026-09-21T08:14:25Z</dcterms:modified>
</cp:coreProperties>
</file>