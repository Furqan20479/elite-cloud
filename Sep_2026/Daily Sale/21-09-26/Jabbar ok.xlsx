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8424212-7CBB-49B4-B2A5-1FE3E0E003E7}" xr6:coauthVersionLast="47" xr6:coauthVersionMax="47" xr10:uidLastSave="{00000000-0000-0000-0000-000000000000}"/>
  <bookViews>
    <workbookView xWindow="-110" yWindow="-110" windowWidth="19420" windowHeight="10420" tabRatio="948" firstSheet="3" activeTab="9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<sst xmlns="http://schemas.openxmlformats.org/spreadsheetml/2006/main" count="3948" uniqueCount="523">
  <si>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</si>
  <si>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</si>
  <si>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</si>
  <si>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</si>
  <si>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</si>
  <si>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</si>
  <si>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</si>
  <si>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</si>
  <si>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</si>
  <si>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</si>
  <si>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</si>
  <si>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</si>
  <si>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</si>
  <si>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</si>
  <si>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</si>
  <si>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</si>
  <si>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</si>
  <si>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</si>
  <si>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</si>
  <si>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</si>
  <si>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</si>
  <si>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</si>
  <si>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</si>
  <si>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</si>
  <si>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</si>
  <si>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</si>
  <si>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</si>
  <si>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</si>
  <si>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</si>
  <si>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</si>
  <si>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</si>
  <si>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</si>
  <si>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</si>
  <si>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</si>
  <si>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</si>
  <si>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</si>
  <si>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</si>
  <si>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</si>
  <si>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</si>
  <si>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</si>
  <si>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</si>
  <si>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</si>
  <si>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</si>
  <si>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</si>
  <si>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</si>
  <si>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</si>
  <si>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</si>
  <si>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</si>
  <si>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</si>
  <si>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</si>
  <si>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</si>
  <si>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</si>
  <si>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</si>
  <si>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</si>
  <si>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</si>
  <si>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</si>
  <si>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</si>
  <si>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</si>
  <si>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</si>
  <si>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</si>
  <si>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</si>
  <si>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</si>
  <si>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</si>
  <si>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</si>
  <si>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</si>
  <si>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</si>
  <si>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</si>
  <si>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</si>
  <si>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</si>
  <si>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</si>
  <si>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</si>
  <si>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</si>
  <si>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</si>
  <si>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</si>
  <si>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</si>
  <si>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</si>
  <si>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</si>
  <si>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</si>
  <si>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</si>
  <si>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</si>
  <si>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</si>
  <si>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</si>
  <si>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</si>
  <si>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</si>
  <si>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</si>
  <si>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</si>
  <si>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</si>
  <si>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</si>
  <si>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</si>
  <si>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</si>
  <si>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</si>
  <si>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</si>
  <si>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</si>
  <si>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</si>
  <si>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</si>
  <si>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</si>
  <si>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</si>
  <si>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</si>
  <si>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</si>
  <si>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</si>
  <si>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</si>
  <si>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</si>
  <si>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</si>
  <si>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</si>
  <si>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</si>
  <si>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</si>
  <si>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</si>
  <si>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</si>
  <si>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</si>
  <si>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</si>
  <si>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</si>
  <si>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</si>
  <si>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</si>
  <si>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</si>
  <si>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</si>
  <si>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</si>
  <si>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</si>
  <si>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</si>
  <si>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</si>
  <si>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</si>
  <si>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</si>
  <si>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</si>
  <si>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</si>
  <si>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</si>
  <si>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</si>
  <si>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</si>
  <si>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</si>
  <si>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</si>
  <si>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</si>
  <si>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</si>
  <si>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</si>
  <si>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</si>
  <si>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</si>
  <si>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</si>
  <si>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</si>
  <si>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</si>
  <si>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</si>
  <si>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</si>
  <si>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</si>
  <si>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</si>
  <si>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</si>
  <si>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</si>
  <si>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</si>
  <si>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</si>
  <si>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</si>
  <si>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</si>
  <si>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</si>
  <si>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</si>
  <si>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</si>
  <si>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</si>
  <si>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</si>
  <si>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</si>
  <si>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</si>
  <si>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</si>
  <si>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</si>
  <si>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</si>
  <si>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</si>
  <si>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</si>
  <si>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</si>
  <si>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</si>
  <si>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</si>
  <si>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</si>
  <si>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</si>
  <si>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</si>
  <si>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</si>
  <si>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</si>
  <si>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</si>
  <si>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</si>
  <si>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</si>
  <si>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</si>
  <si>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</si>
  <si>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</si>
  <si>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</si>
  <si>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</si>
  <si>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</si>
  <si>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</si>
  <si>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</si>
  <si>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</si>
  <si>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</si>
  <si>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</si>
  <si>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</si>
  <si>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</si>
  <si>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</si>
  <si>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</si>
  <si>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</si>
  <si>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</si>
  <si>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</si>
  <si>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</si>
  <si>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</si>
  <si>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</si>
  <si>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</si>
  <si>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</si>
  <si>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</si>
  <si>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</si>
  <si>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</si>
  <si>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</si>
  <si>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</si>
  <si>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</si>
  <si>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</si>
  <si>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</si>
  <si>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</si>
  <si>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</si>
  <si>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</si>
  <si>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</si>
  <si>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</si>
  <si>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</si>
  <si>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</si>
  <si>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</si>
  <si>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</si>
  <si>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</si>
  <si>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</si>
  <si>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</si>
  <si>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</si>
  <si>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</si>
  <si>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</si>
  <si>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</si>
  <si>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</si>
  <si>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</si>
  <si>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</si>
  <si>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</si>
  <si>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</si>
  <si>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</si>
  <si>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</si>
  <si>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</si>
  <si>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</si>
  <si>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</si>
  <si>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</si>
  <si>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</si>
  <si>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</si>
  <si>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</si>
  <si>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</si>
  <si>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</si>
  <si>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</si>
  <si>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</si>
  <si>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</si>
  <si>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</si>
  <si>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</si>
  <si>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</si>
  <si>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</si>
  <si>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</si>
  <si>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</si>
  <si>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</si>
  <si>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</si>
  <si>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</si>
  <si>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</si>
  <si>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</si>
  <si>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</si>
  <si>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</si>
  <si>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</si>
  <si>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</si>
  <si>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</si>
  <si>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</si>
  <si>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</si>
  <si>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</si>
  <si>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</si>
  <si>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</si>
  <si>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</si>
  <si>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</si>
  <si>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</si>
  <si>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</si>
  <si>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</si>
  <si>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</si>
  <si>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</si>
  <si>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</si>
  <si>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</si>
  <si>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</si>
  <si>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</si>
  <si>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</si>
  <si>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</si>
  <si>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</si>
  <si>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</si>
  <si>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</si>
  <si>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</si>
  <si>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</si>
  <si>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</si>
  <si>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</si>
  <si>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</si>
  <si>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</si>
  <si>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</si>
  <si>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</si>
  <si>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</si>
  <si>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</si>
  <si>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</si>
  <si>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</si>
  <si>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</si>
  <si>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</si>
  <si>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</si>
  <si>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</si>
  <si>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</si>
  <si>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</si>
  <si>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</si>
  <si>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</si>
  <si>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</si>
  <si>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</si>
  <si>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</si>
  <si>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</si>
  <si>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</si>
  <si>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</si>
  <si>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</si>
  <si>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</si>
  <si>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</si>
  <si>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</si>
  <si>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</si>
  <si>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</si>
  <si>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</si>
  <si>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</si>
  <si>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</si>
  <si>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</si>
  <si>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</si>
  <si>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</si>
  <si>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</si>
  <si>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</si>
  <si>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</si>
  <si>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</si>
  <si>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</si>
  <si>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</si>
  <si>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</si>
  <si>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</si>
  <si>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</si>
  <si>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</si>
  <si>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</si>
  <si>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</si>
  <si>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</si>
  <si>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</si>
  <si>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</si>
  <si>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</si>
  <si>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</si>
  <si>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</si>
  <si>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</si>
  <si>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</si>
  <si>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</si>
  <si>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</si>
  <si>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</si>
  <si>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</si>
  <si>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</si>
  <si>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</si>
  <si>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</si>
  <si>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</si>
  <si>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</si>
  <si>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</si>
  <si>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</si>
  <si>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</si>
  <si>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</si>
  <si>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</si>
  <si>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</si>
  <si>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</si>
  <si>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</si>
  <si>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</si>
  <si>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</si>
  <si>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</si>
  <si>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</si>
  <si>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</si>
  <si>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</si>
  <si>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</si>
  <si>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</si>
  <si>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</si>
  <si>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</si>
  <si>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</si>
  <si>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</si>
  <si>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</si>
  <si>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</si>
  <si>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</si>
  <si>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</si>
  <si>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</si>
  <si>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</si>
  <si>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</si>
  <si>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</si>
  <si>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</si>
  <si>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</si>
  <si>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</si>
  <si>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</si>
  <si>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</si>
  <si>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</si>
  <si>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</si>
  <si>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</si>
  <si>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</si>
  <si>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</si>
  <si>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</si>
  <si>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</si>
  <si>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</si>
  <si>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</si>
  <si>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</si>
  <si>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</si>
  <si>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</si>
  <si>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</si>
  <si>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</si>
  <si>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</si>
  <si>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</si>
  <si>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</si>
  <si>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</si>
  <si>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</si>
  <si>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</si>
  <si>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</si>
  <si>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</si>
  <si>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</si>
  <si>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</si>
  <si>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</si>
  <si>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</si>
  <si>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</si>
  <si>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</si>
  <si>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</si>
  <si>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</si>
  <si>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</si>
  <si>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</si>
  <si>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</si>
  <si>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</si>
  <si>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</si>
  <si>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</si>
  <si>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</si>
  <si>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</si>
  <si>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</si>
  <si>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</si>
  <si>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</si>
  <si>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</si>
  <si>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</si>
  <si>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</si>
  <si>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</si>
  <si>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</si>
  <si>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</si>
  <si>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</si>
  <si>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</si>
  <si>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</si>
  <si>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</si>
  <si>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</si>
  <si>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</si>
  <si>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</si>
  <si>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</si>
  <si>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</si>
  <si>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</si>
  <si>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</si>
  <si>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</si>
  <si>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</si>
  <si>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</si>
  <si>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</si>
  <si>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</si>
  <si>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</si>
  <si>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</si>
  <si>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</si>
  <si>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</si>
  <si>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</si>
  <si>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</si>
  <si>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</si>
  <si>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</si>
  <si>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</si>
  <si>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</si>
  <si>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</si>
  <si>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</si>
  <si>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</si>
  <si>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</si>
  <si>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</si>
  <si>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</si>
  <si>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</si>
  <si>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</si>
  <si>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</si>
  <si>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</si>
  <si>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</si>
  <si>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</si>
  <si>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</si>
  <si>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</si>
  <si>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</si>
  <si>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</si>
  <si>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</si>
  <si>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</si>
  <si>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</si>
  <si>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</si>
  <si>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</si>
  <si>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</si>
  <si>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</si>
  <si>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</si>
  <si>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</si>
  <si>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</si>
  <si>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</si>
  <si>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</si>
  <si>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</si>
  <si>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</si>
  <si>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</si>
  <si>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</si>
  <si>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</si>
  <si>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</si>
  <si>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</si>
  <si>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</si>
  <si>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</si>
  <si>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</si>
  <si>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</si>
  <si>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</si>
  <si>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</si>
  <si>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</si>
  <si>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</si>
  <si>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</si>
  <si>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</si>
  <si>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</si>
  <si>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</si>
  <si>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</si>
  <si>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</si>
  <si>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</si>
  <si>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</si>
  <si>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</si>
  <si>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</si>
  <si>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</si>
  <si>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</si>
  <si>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</si>
  <si>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</si>
  <si>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</si>
  <si>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</si>
  <si>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</si>
  <si>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</si>
  <si>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</si>
  <si>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</si>
  <si>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</si>
  <si>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</si>
  <si>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</si>
  <si>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</si>
  <si>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</si>
  <si>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</si>
  <si>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</si>
  <si>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 xml:space="preserve">MK Foods </t>
  </si>
  <si>
    <t xml:space="preserve">Address: Mazang Hostal </t>
  </si>
  <si>
    <t xml:space="preserve">Shell Pump </t>
  </si>
  <si>
    <t xml:space="preserve">Address: Shilma Pahari </t>
  </si>
  <si>
    <t>Address: Feroz pur Road</t>
  </si>
  <si>
    <t xml:space="preserve">Ali Con Ice creem </t>
  </si>
  <si>
    <t>Azan Store</t>
  </si>
  <si>
    <t xml:space="preserve">Address: Perdesi Hotel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</si>
</sst>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7" activeCellId="1" sqref="S3:S5 S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MK Foods </v>
      </c>
      <c r="T3" s="301">
        <f>+'1'!P35</f>
        <v>16203.789503771184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Shell Pump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Shell Pump </v>
      </c>
      <c r="T5" s="301">
        <f>+'3'!P35</f>
        <v>5401.2631679237293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Ali Con Ice creem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Azan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335.76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3714.3450000000003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22.537826694915253</v>
      </c>
      <c r="P9" s="311">
        <f t="shared" si="2"/>
        <v>4530.103165677966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60</v>
      </c>
      <c r="I10" s="236">
        <f t="shared" si="0"/>
        <v>4358.3999999999996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348.67200000000003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152.54400000000001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3857.1839999999997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823.72881355932202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23.40456406779661</v>
      </c>
      <c r="P10" s="311">
        <f t="shared" si="2"/>
        <v>4704.3173776271187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35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823.72881355932202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</v>
      </c>
      <c r="P11" s="311">
        <f t="shared" si="2"/>
        <v>4704.3173776271187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35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697.34400000000005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7714.3679999999995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46.80912813559322</v>
      </c>
      <c r="P12" s="311">
        <f t="shared" si="2"/>
        <v>9408.6347552542375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50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10</v>
      </c>
      <c r="H16" s="113">
        <f t="shared" ref="H16:M16" si="3">SUM(H7:H15)</f>
        <v>400</v>
      </c>
      <c r="I16" s="114">
        <f t="shared" si="3"/>
        <v>25827.599999999999</v>
      </c>
      <c r="J16" s="274">
        <f>SUM(J7:J15)</f>
        <v>2066.2080000000001</v>
      </c>
      <c r="K16" s="275">
        <f t="shared" si="3"/>
        <v>903.96600000000012</v>
      </c>
      <c r="L16" s="276">
        <f t="shared" si="3"/>
        <v>0</v>
      </c>
      <c r="M16" s="232">
        <f t="shared" si="3"/>
        <v>22857.425999999999</v>
      </c>
      <c r="N16" s="233">
        <f>SUM(N7:N15)</f>
        <v>4881.3559322033889</v>
      </c>
      <c r="O16" s="101">
        <f>SUM(O7:O15)</f>
        <v>138.69390966101696</v>
      </c>
      <c r="P16" s="113">
        <f>SUM(P7:P15)</f>
        <v>27877.475841864405</v>
      </c>
      <c r="Q16" s="128">
        <f>SUM(Q7:Q15)</f>
        <v>120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25827.599999999999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2066.2080000000001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903.96600000000012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22857.425999999999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4881.3559322033889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27738.78193220339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138.69390966101696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27877.475841864409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27877.475841864405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1200.9839999999999</v>
      </c>
      <c r="K25" s="275">
        <f t="shared" si="10"/>
        <v>525.43050000000005</v>
      </c>
      <c r="L25" s="276">
        <f t="shared" si="10"/>
        <v>0</v>
      </c>
      <c r="M25" s="232">
        <f t="shared" si="10"/>
        <v>13285.8855</v>
      </c>
      <c r="N25" s="233">
        <f>SUM(N16:N24)</f>
        <v>2837.2881355932195</v>
      </c>
      <c r="O25" s="101">
        <f>SUM(O16:O24)</f>
        <v>80.615868177966092</v>
      </c>
      <c r="P25" s="234">
        <f>SUM(P16:P24)</f>
        <v>16203.789503771186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15012.300000000001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1200.9839999999999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525.43050000000005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13285.8855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16123.173635593219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80.615868177966092</v>
      </c>
    </row>
    <row r="35" spans="2:16" ht="15.75" customHeight="1" thickBot="1" x14ac:dyDescent="0.4">
      <c r="N35" s="345" t="s">
        <v>88</v>
      </c>
      <c r="O35" s="346"/>
      <c r="P35" s="297">
        <f>+P33+P34</f>
        <v>16203.789503771184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>
        <v>10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4428.6285000000007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1" workbookViewId="0">
      <selection activeCell="H21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25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25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30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2026-09-30T08:31:37Z</dcterms:modified>
</cp:coreProperties>
</file>