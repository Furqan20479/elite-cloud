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F7968C-B4CC-479E-9D21-823C266782B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4" l="1"/>
  <c r="M17" i="61"/>
  <c r="O17" i="61" s="1"/>
  <c r="P17" i="61" s="1"/>
  <c r="M16" i="59"/>
  <c r="M21" i="51"/>
  <c r="M18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<sst xmlns="http://schemas.openxmlformats.org/spreadsheetml/2006/main" count="3948" uniqueCount="536">
  <si>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</si>
  <si>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</si>
  <si>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</si>
  <si>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</si>
  <si>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</si>
  <si>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</si>
  <si>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</si>
  <si>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</si>
  <si>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</si>
  <si>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</si>
  <si>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</si>
  <si>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</si>
  <si>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</si>
  <si>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</si>
  <si>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</si>
  <si>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</si>
  <si>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</si>
  <si>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</si>
  <si>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</si>
  <si>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</si>
  <si>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</si>
  <si>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</si>
  <si>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</si>
  <si>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</si>
  <si>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</si>
  <si>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</si>
  <si>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</si>
  <si>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</si>
  <si>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</si>
  <si>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</si>
  <si>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</si>
  <si>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</si>
  <si>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</si>
  <si>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</si>
  <si>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</si>
  <si>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</si>
  <si>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</si>
  <si>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</si>
  <si>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</si>
  <si>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</si>
  <si>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</si>
  <si>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</si>
  <si>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</si>
  <si>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</si>
  <si>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</si>
  <si>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</si>
  <si>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</si>
  <si>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</si>
  <si>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</si>
  <si>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</si>
  <si>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</si>
  <si>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</si>
  <si>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</si>
  <si>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</si>
  <si>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</si>
  <si>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</si>
  <si>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</si>
  <si>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</si>
  <si>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</si>
  <si>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</si>
  <si>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</si>
  <si>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</si>
  <si>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</si>
  <si>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</si>
  <si>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</si>
  <si>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</si>
  <si>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</si>
  <si>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</si>
  <si>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</si>
  <si>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</si>
  <si>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</si>
  <si>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</si>
  <si>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</si>
  <si>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</si>
  <si>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</si>
  <si>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</si>
  <si>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</si>
  <si>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</si>
  <si>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</si>
  <si>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</si>
  <si>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</si>
  <si>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</si>
  <si>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</si>
  <si>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</si>
  <si>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</si>
  <si>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</si>
  <si>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</si>
  <si>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</si>
  <si>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</si>
  <si>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</si>
  <si>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</si>
  <si>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</si>
  <si>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</si>
  <si>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</si>
  <si>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</si>
  <si>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</si>
  <si>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</si>
  <si>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</si>
  <si>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</si>
  <si>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</si>
  <si>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</si>
  <si>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</si>
  <si>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</si>
  <si>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</si>
  <si>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</si>
  <si>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</si>
  <si>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</si>
  <si>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</si>
  <si>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</si>
  <si>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</si>
  <si>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</si>
  <si>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</si>
  <si>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</si>
  <si>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</si>
  <si>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</si>
  <si>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</si>
  <si>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</si>
  <si>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</si>
  <si>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</si>
  <si>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</si>
  <si>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</si>
  <si>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</si>
  <si>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</si>
  <si>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</si>
  <si>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</si>
  <si>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</si>
  <si>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</si>
  <si>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</si>
  <si>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</si>
  <si>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</si>
  <si>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</si>
  <si>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</si>
  <si>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</si>
  <si>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</si>
  <si>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</si>
  <si>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</si>
  <si>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</si>
  <si>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</si>
  <si>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</si>
  <si>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</si>
  <si>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</si>
  <si>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</si>
  <si>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</si>
  <si>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</si>
  <si>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</si>
  <si>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</si>
  <si>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</si>
  <si>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</si>
  <si>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</si>
  <si>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</si>
  <si>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</si>
  <si>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</si>
  <si>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</si>
  <si>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</si>
  <si>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</si>
  <si>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</si>
  <si>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</si>
  <si>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</si>
  <si>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</si>
  <si>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</si>
  <si>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</si>
  <si>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</si>
  <si>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</si>
  <si>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</si>
  <si>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</si>
  <si>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</si>
  <si>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</si>
  <si>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</si>
  <si>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</si>
  <si>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</si>
  <si>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</si>
  <si>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</si>
  <si>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</si>
  <si>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</si>
  <si>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</si>
  <si>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</si>
  <si>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</si>
  <si>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</si>
  <si>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</si>
  <si>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</si>
  <si>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</si>
  <si>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</si>
  <si>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</si>
  <si>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</si>
  <si>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</si>
  <si>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</si>
  <si>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</si>
  <si>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</si>
  <si>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</si>
  <si>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</si>
  <si>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</si>
  <si>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</si>
  <si>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</si>
  <si>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</si>
  <si>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</si>
  <si>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</si>
  <si>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</si>
  <si>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</si>
  <si>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</si>
  <si>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</si>
  <si>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</si>
  <si>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</si>
  <si>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</si>
  <si>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</si>
  <si>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</si>
  <si>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</si>
  <si>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</si>
  <si>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</si>
  <si>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</si>
  <si>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</si>
  <si>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</si>
  <si>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</si>
  <si>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</si>
  <si>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</si>
  <si>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</si>
  <si>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</si>
  <si>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</si>
  <si>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</si>
  <si>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</si>
  <si>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</si>
  <si>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</si>
  <si>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</si>
  <si>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</si>
  <si>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</si>
  <si>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</si>
  <si>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</si>
  <si>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</si>
  <si>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</si>
  <si>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</si>
  <si>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</si>
  <si>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</si>
  <si>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</si>
  <si>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</si>
  <si>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</si>
  <si>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</si>
  <si>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</si>
  <si>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</si>
  <si>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</si>
  <si>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</si>
  <si>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</si>
  <si>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</si>
  <si>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</si>
  <si>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</si>
  <si>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</si>
  <si>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</si>
  <si>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</si>
  <si>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</si>
  <si>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</si>
  <si>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</si>
  <si>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</si>
  <si>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</si>
  <si>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</si>
  <si>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</si>
  <si>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</si>
  <si>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</si>
  <si>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</si>
  <si>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</si>
  <si>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</si>
  <si>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</si>
  <si>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</si>
  <si>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</si>
  <si>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</si>
  <si>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</si>
  <si>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</si>
  <si>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</si>
  <si>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</si>
  <si>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</si>
  <si>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</si>
  <si>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</si>
  <si>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</si>
  <si>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</si>
  <si>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</si>
  <si>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</si>
  <si>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</si>
  <si>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</si>
  <si>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</si>
  <si>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</si>
  <si>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</si>
  <si>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</si>
  <si>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</si>
  <si>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</si>
  <si>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</si>
  <si>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</si>
  <si>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</si>
  <si>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</si>
  <si>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</si>
  <si>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</si>
  <si>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</si>
  <si>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</si>
  <si>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</si>
  <si>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</si>
  <si>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</si>
  <si>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</si>
  <si>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</si>
  <si>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</si>
  <si>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</si>
  <si>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</si>
  <si>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</si>
  <si>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</si>
  <si>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</si>
  <si>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</si>
  <si>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</si>
  <si>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</si>
  <si>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</si>
  <si>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</si>
  <si>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</si>
  <si>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</si>
  <si>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</si>
  <si>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</si>
  <si>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</si>
  <si>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</si>
  <si>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</si>
  <si>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</si>
  <si>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</si>
  <si>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</si>
  <si>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</si>
  <si>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</si>
  <si>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</si>
  <si>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</si>
  <si>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</si>
  <si>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</si>
  <si>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</si>
  <si>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</si>
  <si>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</si>
  <si>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</si>
  <si>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</si>
  <si>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</si>
  <si>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</si>
  <si>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</si>
  <si>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</si>
  <si>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</si>
  <si>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</si>
  <si>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</si>
  <si>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</si>
  <si>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</si>
  <si>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</si>
  <si>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</si>
  <si>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</si>
  <si>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</si>
  <si>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</si>
  <si>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</si>
  <si>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</si>
  <si>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</si>
  <si>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</si>
  <si>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</si>
  <si>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</si>
  <si>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</si>
  <si>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</si>
  <si>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</si>
  <si>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</si>
  <si>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</si>
  <si>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</si>
  <si>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</si>
  <si>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</si>
  <si>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</si>
  <si>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</si>
  <si>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</si>
  <si>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</si>
  <si>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</si>
  <si>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</si>
  <si>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</si>
  <si>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</si>
  <si>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</si>
  <si>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</si>
  <si>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</si>
  <si>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</si>
  <si>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</si>
  <si>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</si>
  <si>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</si>
  <si>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</si>
  <si>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</si>
  <si>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</si>
  <si>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</si>
  <si>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</si>
  <si>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</si>
  <si>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</si>
  <si>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</si>
  <si>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</si>
  <si>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</si>
  <si>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</si>
  <si>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</si>
  <si>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</si>
  <si>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</si>
  <si>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</si>
  <si>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</si>
  <si>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</si>
  <si>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</si>
  <si>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</si>
  <si>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</si>
  <si>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</si>
  <si>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</si>
  <si>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</si>
  <si>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</si>
  <si>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</si>
  <si>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</si>
  <si>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</si>
  <si>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</si>
  <si>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</si>
  <si>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</si>
  <si>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</si>
  <si>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</si>
  <si>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</si>
  <si>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</si>
  <si>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</si>
  <si>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</si>
  <si>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</si>
  <si>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</si>
  <si>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</si>
  <si>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</si>
  <si>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</si>
  <si>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</si>
  <si>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</si>
  <si>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</si>
  <si>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</si>
  <si>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</si>
  <si>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</si>
  <si>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</si>
  <si>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</si>
  <si>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</si>
  <si>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</si>
  <si>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</si>
  <si>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</si>
  <si>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</si>
  <si>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</si>
  <si>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</si>
  <si>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</si>
  <si>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</si>
  <si>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</si>
  <si>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</si>
  <si>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</si>
  <si>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</si>
  <si>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</si>
  <si>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</si>
  <si>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</si>
  <si>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</si>
  <si>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</si>
  <si>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</si>
  <si>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</si>
  <si>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</si>
  <si>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</si>
  <si>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</si>
  <si>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</si>
  <si>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</si>
  <si>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</si>
  <si>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</si>
  <si>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</si>
  <si>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</si>
  <si>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</si>
  <si>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</si>
  <si>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</si>
  <si>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</si>
  <si>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</si>
  <si>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</si>
  <si>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</si>
  <si>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</si>
  <si>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</si>
  <si>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</si>
  <si>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</si>
  <si>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</si>
  <si>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</si>
  <si>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</si>
  <si>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</si>
  <si>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</si>
  <si>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</si>
  <si>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</si>
  <si>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</si>
  <si>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</si>
  <si>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</si>
  <si>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</si>
  <si>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</si>
  <si>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</si>
  <si>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</si>
  <si>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</si>
  <si>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</si>
  <si>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</si>
  <si>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</si>
  <si>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</si>
  <si>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</si>
  <si>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</si>
  <si>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</si>
  <si>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</si>
  <si>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</si>
  <si>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</si>
  <si>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</si>
  <si>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</si>
  <si>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</si>
  <si>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</si>
  <si>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</si>
  <si>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</si>
  <si>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</si>
  <si>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</si>
  <si>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</si>
  <si>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</si>
  <si>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</si>
  <si>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</si>
  <si>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</si>
  <si>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</si>
  <si>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</si>
  <si>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</si>
  <si>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</si>
  <si>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</si>
  <si>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</si>
  <si>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</si>
  <si>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</si>
  <si>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</si>
  <si>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</si>
  <si>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</si>
  <si>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</si>
  <si>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</si>
  <si>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</si>
  <si>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</si>
  <si>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</si>
  <si>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</si>
  <si>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</si>
  <si>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Pepsi Road</t>
  </si>
  <si>
    <t>Mahfooz Store</t>
  </si>
  <si>
    <t>Ali Waris Store</t>
  </si>
  <si>
    <t>Imdad Store</t>
  </si>
  <si>
    <t>Wasif Store</t>
  </si>
  <si>
    <t>Nisar Store</t>
  </si>
  <si>
    <t>Iqra Store</t>
  </si>
  <si>
    <t>Saif GS</t>
  </si>
  <si>
    <t>Farman Store</t>
  </si>
  <si>
    <t>Akram Store</t>
  </si>
  <si>
    <t>Khan Store</t>
  </si>
  <si>
    <t>Sabir Store</t>
  </si>
  <si>
    <t>Walayat store</t>
  </si>
  <si>
    <t>Ahmad Store]</t>
  </si>
  <si>
    <t>Huzaifa Store</t>
  </si>
  <si>
    <t>Shah G Store</t>
  </si>
  <si>
    <t xml:space="preserve">Smart pharmacy </t>
  </si>
  <si>
    <t xml:space="preserve">Classic Mart </t>
  </si>
  <si>
    <t>United Store</t>
  </si>
  <si>
    <t xml:space="preserve">Bin Dawood Mart </t>
  </si>
  <si>
    <t xml:space="preserve">Best One Mart </t>
  </si>
  <si>
    <t>Cantt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</si>
</sst>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G41" sqref="G4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Mahfooz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Ali Waris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Imdad Store</v>
      </c>
      <c r="T5" s="301">
        <f>+'3'!P35</f>
        <v>675.15789599046616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Wasif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</v>
      </c>
      <c r="I7" s="235">
        <f>(G7*D7)*F7+H7*F7</f>
        <v>419.7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33.576000000000001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14.689500000000001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371.43449999999996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79.322033898305051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2.2537826694915251</v>
      </c>
      <c r="P7" s="310">
        <f>M7+N7+O7</f>
        <v>453.01031656779651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Nisar Store</v>
      </c>
      <c r="T7" s="301">
        <f>+'5'!P35</f>
        <v>675.15789599046616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Iqra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114</v>
      </c>
      <c r="I9" s="236">
        <f t="shared" si="0"/>
        <v>5980.7249999999995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478.45799999999997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209.32537500000001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5292.9416249999995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1130.338983050847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32.116403040254241</v>
      </c>
      <c r="P9" s="311">
        <f t="shared" si="2"/>
        <v>6455.3970110911005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Saif GS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86</v>
      </c>
      <c r="I10" s="236">
        <f t="shared" si="0"/>
        <v>6247.04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499.76320000000004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218.64640000000003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5528.6304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1180.6779661016949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33.546541830508474</v>
      </c>
      <c r="P10" s="311">
        <f t="shared" si="2"/>
        <v>6742.8549079322038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Farman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Akram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Khan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Sabir Store</v>
      </c>
      <c r="T13" s="301">
        <f>+'11'!P35</f>
        <v>675.15789599046616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Walayat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Ahmad Store]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9.1</v>
      </c>
      <c r="H16" s="113">
        <f t="shared" ref="H16:M16" si="3">SUM(H7:H15)</f>
        <v>364</v>
      </c>
      <c r="I16" s="114">
        <f t="shared" si="3"/>
        <v>23777.53</v>
      </c>
      <c r="J16" s="274">
        <f>SUM(J7:J15)</f>
        <v>1902.2024000000001</v>
      </c>
      <c r="K16" s="275">
        <f t="shared" si="3"/>
        <v>832.21355000000017</v>
      </c>
      <c r="L16" s="276">
        <f t="shared" si="3"/>
        <v>0</v>
      </c>
      <c r="M16" s="232">
        <f t="shared" si="3"/>
        <v>21043.11405</v>
      </c>
      <c r="N16" s="233">
        <f>SUM(N7:N15)</f>
        <v>4493.8983050847455</v>
      </c>
      <c r="O16" s="101">
        <f>SUM(O7:O15)</f>
        <v>127.68506177542373</v>
      </c>
      <c r="P16" s="113">
        <f>SUM(P7:P15)</f>
        <v>25664.697416860166</v>
      </c>
      <c r="Q16" s="128">
        <f>SUM(Q7:Q15)</f>
        <v>0</v>
      </c>
      <c r="R16" s="313">
        <v>14</v>
      </c>
      <c r="S16" s="315" t="str">
        <f>+'14'!A6:A6</f>
        <v>Huzaifa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Shah G Store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Smart pharmacy </v>
      </c>
      <c r="T18" s="301">
        <f>+'16'!P35</f>
        <v>1132.5257914194915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23777.53</v>
      </c>
      <c r="R19" s="299">
        <v>17</v>
      </c>
      <c r="S19" s="300" t="str">
        <f>+'17'!A6:A6</f>
        <v xml:space="preserve">Classic Mart </v>
      </c>
      <c r="T19" s="301">
        <f>+'17'!P35</f>
        <v>1620.3789503771186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1902.2024000000001</v>
      </c>
      <c r="R20" s="299">
        <v>18</v>
      </c>
      <c r="S20" s="300" t="str">
        <f>+'18'!A6:A6</f>
        <v>United Store</v>
      </c>
      <c r="T20" s="301">
        <f>+'18'!P35</f>
        <v>2700.6315839618646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832.21355000000017</v>
      </c>
      <c r="R21" s="299">
        <v>19</v>
      </c>
      <c r="S21" s="300" t="str">
        <f>+'19'!A6:A6</f>
        <v xml:space="preserve">Bin Dawood Mart </v>
      </c>
      <c r="T21" s="301">
        <f>+'19'!P35</f>
        <v>3136.2115850847458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21043.114049999996</v>
      </c>
      <c r="R22" s="299">
        <v>20</v>
      </c>
      <c r="S22" s="300" t="str">
        <f>+'20'!A6:A6</f>
        <v xml:space="preserve">Best One Mart </v>
      </c>
      <c r="T22" s="301">
        <f>+'20'!P35</f>
        <v>8537.4747530084751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4493.8983050847455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25537.012355084742</v>
      </c>
      <c r="R24" s="299">
        <v>22</v>
      </c>
      <c r="S24" s="300" t="str">
        <f>+'22'!A6:A6</f>
        <v>Cantt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127.68506177542373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25664.697416860166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25664.69741686017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8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928.58624999999995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1501.23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120.0984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52.543050000000008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1328.5885499999999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1612.3173635593221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74" t="s">
        <v>88</v>
      </c>
      <c r="O35" s="375"/>
      <c r="P35" s="297">
        <f>+P33+P34</f>
        <v>1620.3789503771186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13.435978029661015</v>
      </c>
      <c r="P25" s="234">
        <f>SUM(P16:P24)</f>
        <v>2700.6315839618642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42.474998771186435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4" t="s">
        <v>88</v>
      </c>
      <c r="O35" s="375"/>
      <c r="P35" s="297">
        <f>+P33+P34</f>
        <v>8537.4747530084751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2026-09-21T11:51:15Z</dcterms:modified>
</cp:coreProperties>
</file>