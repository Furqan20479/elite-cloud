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B905885-B5C0-417C-868E-0746DC21BD7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<sst xmlns="http://schemas.openxmlformats.org/spreadsheetml/2006/main" count="3947" uniqueCount="516">
  <si>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</si>
  <si>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</si>
  <si>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</si>
  <si>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</si>
  <si>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</si>
  <si>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</si>
  <si>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</si>
  <si>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</si>
  <si>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</si>
  <si>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</si>
  <si>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</si>
  <si>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</si>
  <si>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</si>
  <si>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</si>
  <si>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</si>
  <si>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</si>
  <si>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</si>
  <si>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</si>
  <si>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</si>
  <si>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</si>
  <si>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</si>
  <si>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</si>
  <si>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</si>
  <si>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</si>
  <si>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</si>
  <si>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</si>
  <si>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</si>
  <si>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</si>
  <si>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</si>
  <si>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</si>
  <si>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</si>
  <si>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</si>
  <si>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</si>
  <si>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</si>
  <si>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</si>
  <si>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</si>
  <si>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</si>
  <si>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</si>
  <si>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</si>
  <si>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</si>
  <si>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</si>
  <si>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</si>
  <si>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</si>
  <si>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</si>
  <si>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</si>
  <si>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</si>
  <si>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</si>
  <si>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</si>
  <si>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</si>
  <si>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</si>
  <si>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</si>
  <si>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</si>
  <si>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</si>
  <si>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</si>
  <si>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</si>
  <si>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</si>
  <si>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</si>
  <si>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</si>
  <si>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</si>
  <si>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</si>
  <si>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</si>
  <si>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</si>
  <si>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</si>
  <si>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</si>
  <si>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</si>
  <si>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</si>
  <si>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</si>
  <si>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</si>
  <si>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</si>
  <si>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</si>
  <si>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</si>
  <si>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</si>
  <si>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</si>
  <si>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</si>
  <si>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</si>
  <si>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</si>
  <si>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</si>
  <si>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</si>
  <si>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</si>
  <si>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</si>
  <si>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</si>
  <si>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</si>
  <si>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</si>
  <si>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</si>
  <si>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</si>
  <si>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</si>
  <si>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</si>
  <si>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</si>
  <si>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</si>
  <si>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</si>
  <si>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</si>
  <si>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</si>
  <si>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</si>
  <si>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</si>
  <si>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</si>
  <si>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</si>
  <si>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</si>
  <si>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</si>
  <si>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</si>
  <si>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</si>
  <si>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</si>
  <si>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</si>
  <si>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</si>
  <si>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</si>
  <si>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</si>
  <si>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</si>
  <si>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</si>
  <si>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</si>
  <si>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</si>
  <si>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</si>
  <si>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</si>
  <si>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</si>
  <si>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</si>
  <si>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</si>
  <si>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</si>
  <si>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</si>
  <si>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</si>
  <si>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</si>
  <si>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</si>
  <si>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</si>
  <si>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</si>
  <si>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</si>
  <si>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</si>
  <si>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</si>
  <si>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</si>
  <si>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</si>
  <si>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</si>
  <si>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</si>
  <si>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</si>
  <si>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</si>
  <si>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</si>
  <si>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</si>
  <si>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</si>
  <si>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</si>
  <si>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</si>
  <si>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</si>
  <si>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</si>
  <si>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</si>
  <si>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</si>
  <si>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</si>
  <si>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</si>
  <si>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</si>
  <si>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</si>
  <si>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</si>
  <si>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</si>
  <si>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</si>
  <si>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</si>
  <si>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</si>
  <si>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</si>
  <si>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</si>
  <si>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</si>
  <si>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</si>
  <si>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</si>
  <si>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</si>
  <si>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</si>
  <si>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</si>
  <si>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</si>
  <si>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</si>
  <si>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</si>
  <si>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</si>
  <si>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</si>
  <si>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</si>
  <si>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</si>
  <si>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</si>
  <si>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</si>
  <si>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</si>
  <si>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</si>
  <si>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</si>
  <si>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</si>
  <si>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</si>
  <si>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</si>
  <si>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</si>
  <si>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</si>
  <si>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</si>
  <si>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</si>
  <si>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</si>
  <si>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</si>
  <si>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</si>
  <si>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</si>
  <si>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</si>
  <si>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</si>
  <si>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</si>
  <si>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</si>
  <si>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</si>
  <si>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</si>
  <si>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</si>
  <si>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</si>
  <si>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</si>
  <si>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</si>
  <si>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</si>
  <si>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</si>
  <si>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</si>
  <si>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</si>
  <si>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</si>
  <si>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</si>
  <si>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</si>
  <si>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</si>
  <si>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</si>
  <si>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</si>
  <si>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</si>
  <si>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</si>
  <si>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</si>
  <si>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</si>
  <si>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</si>
  <si>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</si>
  <si>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</si>
  <si>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</si>
  <si>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</si>
  <si>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</si>
  <si>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</si>
  <si>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</si>
  <si>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</si>
  <si>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</si>
  <si>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</si>
  <si>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</si>
  <si>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</si>
  <si>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</si>
  <si>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</si>
  <si>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</si>
  <si>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</si>
  <si>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</si>
  <si>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</si>
  <si>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</si>
  <si>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</si>
  <si>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</si>
  <si>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</si>
  <si>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</si>
  <si>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</si>
  <si>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</si>
  <si>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</si>
  <si>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</si>
  <si>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</si>
  <si>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</si>
  <si>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</si>
  <si>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</si>
  <si>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</si>
  <si>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</si>
  <si>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</si>
  <si>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</si>
  <si>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</si>
  <si>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</si>
  <si>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</si>
  <si>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</si>
  <si>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</si>
  <si>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</si>
  <si>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</si>
  <si>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</si>
  <si>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</si>
  <si>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</si>
  <si>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</si>
  <si>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</si>
  <si>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</si>
  <si>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</si>
  <si>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</si>
  <si>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</si>
  <si>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</si>
  <si>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</si>
  <si>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</si>
  <si>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</si>
  <si>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</si>
  <si>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</si>
  <si>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</si>
  <si>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</si>
  <si>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</si>
  <si>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</si>
  <si>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</si>
  <si>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</si>
  <si>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</si>
  <si>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</si>
  <si>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</si>
  <si>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</si>
  <si>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</si>
  <si>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</si>
  <si>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</si>
  <si>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</si>
  <si>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</si>
  <si>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</si>
  <si>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</si>
  <si>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</si>
  <si>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</si>
  <si>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</si>
  <si>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</si>
  <si>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</si>
  <si>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</si>
  <si>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</si>
  <si>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</si>
  <si>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</si>
  <si>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</si>
  <si>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</si>
  <si>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</si>
  <si>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</si>
  <si>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</si>
  <si>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</si>
  <si>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</si>
  <si>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</si>
  <si>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</si>
  <si>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</si>
  <si>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</si>
  <si>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</si>
  <si>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</si>
  <si>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</si>
  <si>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</si>
  <si>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</si>
  <si>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</si>
  <si>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</si>
  <si>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</si>
  <si>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</si>
  <si>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</si>
  <si>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</si>
  <si>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</si>
  <si>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</si>
  <si>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</si>
  <si>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</si>
  <si>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</si>
  <si>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</si>
  <si>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</si>
  <si>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</si>
  <si>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</si>
  <si>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</si>
  <si>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</si>
  <si>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</si>
  <si>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</si>
  <si>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</si>
  <si>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</si>
  <si>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</si>
  <si>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</si>
  <si>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</si>
  <si>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</si>
  <si>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</si>
  <si>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</si>
  <si>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</si>
  <si>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</si>
  <si>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</si>
  <si>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</si>
  <si>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</si>
  <si>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</si>
  <si>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</si>
  <si>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</si>
  <si>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</si>
  <si>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</si>
  <si>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</si>
  <si>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</si>
  <si>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</si>
  <si>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</si>
  <si>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</si>
  <si>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</si>
  <si>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</si>
  <si>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</si>
  <si>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</si>
  <si>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</si>
  <si>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</si>
  <si>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</si>
  <si>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</si>
  <si>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</si>
  <si>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</si>
  <si>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</si>
  <si>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</si>
  <si>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</si>
  <si>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</si>
  <si>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</si>
  <si>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</si>
  <si>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</si>
  <si>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</si>
  <si>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</si>
  <si>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</si>
  <si>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</si>
  <si>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</si>
  <si>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</si>
  <si>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</si>
  <si>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</si>
  <si>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</si>
  <si>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</si>
  <si>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</si>
  <si>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</si>
  <si>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</si>
  <si>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</si>
  <si>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</si>
  <si>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</si>
  <si>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</si>
  <si>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</si>
  <si>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</si>
  <si>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</si>
  <si>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</si>
  <si>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</si>
  <si>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</si>
  <si>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</si>
  <si>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</si>
  <si>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</si>
  <si>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</si>
  <si>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</si>
  <si>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</si>
  <si>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</si>
  <si>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</si>
  <si>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</si>
  <si>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</si>
  <si>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</si>
  <si>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</si>
  <si>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</si>
  <si>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</si>
  <si>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</si>
  <si>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</si>
  <si>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</si>
  <si>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</si>
  <si>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</si>
  <si>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</si>
  <si>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</si>
  <si>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</si>
  <si>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</si>
  <si>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</si>
  <si>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</si>
  <si>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</si>
  <si>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</si>
  <si>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</si>
  <si>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</si>
  <si>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</si>
  <si>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</si>
  <si>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</si>
  <si>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</si>
  <si>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</si>
  <si>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</si>
  <si>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</si>
  <si>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</si>
  <si>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</si>
  <si>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</si>
  <si>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</si>
  <si>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</si>
  <si>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</si>
  <si>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</si>
  <si>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</si>
  <si>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</si>
  <si>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</si>
  <si>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</si>
  <si>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</si>
  <si>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</si>
  <si>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</si>
  <si>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</si>
  <si>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</si>
  <si>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</si>
  <si>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</si>
  <si>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</si>
  <si>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</si>
  <si>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</si>
  <si>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</si>
  <si>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</si>
  <si>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</si>
  <si>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</si>
  <si>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</si>
  <si>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</si>
  <si>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</si>
  <si>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</si>
  <si>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</si>
  <si>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</si>
  <si>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</si>
  <si>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</si>
  <si>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</si>
  <si>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</si>
  <si>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</si>
  <si>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</si>
  <si>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</si>
  <si>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</si>
  <si>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</si>
  <si>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</si>
  <si>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</si>
  <si>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</si>
  <si>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</si>
  <si>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</si>
  <si>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</si>
  <si>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</si>
  <si>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</si>
  <si>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</si>
  <si>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</si>
  <si>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</si>
  <si>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</si>
  <si>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</si>
  <si>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</si>
  <si>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</si>
  <si>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</si>
  <si>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</si>
  <si>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</si>
  <si>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</si>
  <si>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</si>
  <si>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</si>
  <si>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</si>
  <si>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</si>
  <si>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</si>
  <si>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</si>
  <si>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</si>
  <si>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</si>
  <si>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</si>
  <si>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</si>
  <si>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</si>
  <si>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</si>
  <si>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</si>
  <si>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</si>
  <si>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</si>
  <si>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</si>
  <si>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</si>
  <si>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</si>
  <si>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</si>
  <si>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</si>
  <si>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</si>
  <si>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</si>
  <si>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</si>
  <si>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</si>
  <si>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</si>
  <si>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</si>
  <si>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</si>
  <si>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</si>
  <si>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</si>
  <si>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</si>
  <si>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</si>
  <si>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</si>
  <si>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 Ranger Head Quarter</t>
  </si>
  <si>
    <t>Invoice No # :0003</t>
  </si>
  <si>
    <t xml:space="preserve">LUTF Mega  Mart </t>
  </si>
  <si>
    <t>NTN #: 2388169-7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</si>
</sst>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9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46286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LUTF Mega  Mart </v>
      </c>
      <c r="T3" s="301">
        <f>+'1'!P35</f>
        <v>37959.702597711868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Mega 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Mega 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Mega 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Mega 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Mega 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Mega 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Mega 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Mega 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2324.48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20106.752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122.49986169491525</v>
      </c>
      <c r="P12" s="311">
        <f t="shared" si="2"/>
        <v>24622.472200677967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Mega 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Mega 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Mega 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Mega 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14</v>
      </c>
      <c r="H16" s="113">
        <f t="shared" ref="H16:M16" si="3">SUM(H7:H15)</f>
        <v>560</v>
      </c>
      <c r="I16" s="114">
        <f t="shared" si="3"/>
        <v>35835.800000000003</v>
      </c>
      <c r="J16" s="274">
        <f>SUM(J7:J15)</f>
        <v>3583.58</v>
      </c>
      <c r="K16" s="275">
        <f t="shared" si="3"/>
        <v>1254.2530000000002</v>
      </c>
      <c r="L16" s="276">
        <f t="shared" si="3"/>
        <v>0</v>
      </c>
      <c r="M16" s="232">
        <f t="shared" si="3"/>
        <v>30997.967000000001</v>
      </c>
      <c r="N16" s="233">
        <f>SUM(N7:N15)</f>
        <v>6772.8813559322025</v>
      </c>
      <c r="O16" s="101">
        <f>SUM(O7:O15)</f>
        <v>188.85424177966101</v>
      </c>
      <c r="P16" s="113">
        <f>SUM(P7:P15)</f>
        <v>37959.702597711861</v>
      </c>
      <c r="Q16" s="128">
        <f>SUM(Q7:Q15)</f>
        <v>0</v>
      </c>
      <c r="R16" s="314">
        <v>14</v>
      </c>
      <c r="S16" s="300" t="str">
        <f>+'14'!A6:A6</f>
        <v xml:space="preserve">LUTF Mega 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Mega 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Mega 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35835.800000000003</v>
      </c>
      <c r="R19" s="299">
        <v>17</v>
      </c>
      <c r="S19" s="300" t="str">
        <f>+'17'!A6:A6</f>
        <v xml:space="preserve">LUTF Mega 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3583.58</v>
      </c>
      <c r="R20" s="299">
        <v>18</v>
      </c>
      <c r="S20" s="300" t="str">
        <f>+'18'!A6:A6</f>
        <v xml:space="preserve">LUTF Mega 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1254.2530000000002</v>
      </c>
      <c r="R21" s="299">
        <v>19</v>
      </c>
      <c r="S21" s="300" t="str">
        <f>+'19'!A6:A6</f>
        <v xml:space="preserve">LUTF Mega 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30997.967000000001</v>
      </c>
      <c r="R22" s="299">
        <v>20</v>
      </c>
      <c r="S22" s="300" t="str">
        <f>+'20'!A6:A6</f>
        <v xml:space="preserve">LUTF Mega 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6772.8813559322025</v>
      </c>
      <c r="R23" s="299">
        <v>21</v>
      </c>
      <c r="S23" s="300" t="str">
        <f>+'21'!A6:A6</f>
        <v xml:space="preserve">LUTF Mega 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37770.848355932205</v>
      </c>
      <c r="R24" s="299">
        <v>22</v>
      </c>
      <c r="S24" s="300" t="str">
        <f>+'22'!A6:A6</f>
        <v xml:space="preserve">LUTF Mega 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188.85424177966101</v>
      </c>
      <c r="R25" s="299">
        <v>23</v>
      </c>
      <c r="S25" s="300" t="str">
        <f>+'23'!A6:A6</f>
        <v xml:space="preserve">LUTF Mega 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37959.702597711868</v>
      </c>
      <c r="R26" s="299">
        <v>24</v>
      </c>
      <c r="S26" s="300" t="str">
        <f>+'24'!A6:A6</f>
        <v xml:space="preserve">LUTF Mega 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LUTF Mega 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Mega 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Mega 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Mega 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Mega 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Mega 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37959.702597711868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46287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46286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2324.48</v>
      </c>
      <c r="K21" s="128">
        <f t="shared" si="1"/>
        <v>813.5680000000001</v>
      </c>
      <c r="L21" s="119">
        <f t="shared" si="1"/>
        <v>0</v>
      </c>
      <c r="M21" s="230">
        <f t="shared" si="2"/>
        <v>20106.752</v>
      </c>
      <c r="N21" s="277">
        <f t="shared" si="3"/>
        <v>4393.2203389830511</v>
      </c>
      <c r="O21" s="239">
        <f t="shared" si="4"/>
        <v>122.49986169491525</v>
      </c>
      <c r="P21" s="311">
        <f t="shared" si="5"/>
        <v>24622.472200677967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35835.800000000003</v>
      </c>
      <c r="J25" s="274">
        <f>SUM(J16:J24)</f>
        <v>3583.58</v>
      </c>
      <c r="K25" s="275">
        <f t="shared" si="10"/>
        <v>1254.2530000000002</v>
      </c>
      <c r="L25" s="276">
        <f t="shared" si="10"/>
        <v>0</v>
      </c>
      <c r="M25" s="232">
        <f t="shared" si="10"/>
        <v>30997.967000000001</v>
      </c>
      <c r="N25" s="233">
        <f>SUM(N16:N24)</f>
        <v>6772.8813559322025</v>
      </c>
      <c r="O25" s="101">
        <f>SUM(O16:O24)</f>
        <v>188.85424177966101</v>
      </c>
      <c r="P25" s="113">
        <f>SUM(P16:P24)</f>
        <v>37959.702597711861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35835.800000000003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3583.58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1254.2530000000002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30997.967000000001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6772.8813559322025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37770.848355932205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188.85424177966104</v>
      </c>
    </row>
    <row r="35" spans="2:16" ht="15.75" customHeight="1" thickBot="1" x14ac:dyDescent="0.4">
      <c r="N35" s="372" t="s">
        <v>88</v>
      </c>
      <c r="O35" s="373"/>
      <c r="P35" s="297">
        <f>+P33+P34</f>
        <v>37959.702597711868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46287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46286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2026-09-21T12:27:01Z</dcterms:modified>
</cp:coreProperties>
</file>