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C919AD6-C1D2-45C9-9E83-C5727083195F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0" l="1"/>
  <c r="N4" i="46"/>
  <c r="N4" i="70"/>
  <c r="N5" i="70" s="1"/>
  <c r="N4" i="61"/>
  <c r="N5" i="61" s="1"/>
  <c r="N4" i="57"/>
  <c r="N5" i="57" s="1"/>
  <c r="N4" i="53"/>
  <c r="N5" i="53" s="1"/>
  <c r="N4" i="45"/>
  <c r="N5" i="45" s="1"/>
  <c r="N4" i="68"/>
  <c r="N5" i="68" s="1"/>
  <c r="N4" i="55"/>
  <c r="N5" i="55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K12" i="62"/>
  <c r="M21" i="47"/>
  <c r="O21" i="47" s="1"/>
  <c r="P21" i="47" s="1"/>
  <c r="M20" i="47"/>
  <c r="O20" i="47" s="1"/>
  <c r="P20" i="47" s="1"/>
  <c r="R20" i="47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<sst xmlns="http://schemas.openxmlformats.org/spreadsheetml/2006/main" count="3948" uniqueCount="524">
  <si>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</si>
  <si>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</si>
  <si>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</si>
  <si>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</si>
  <si>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</si>
  <si>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</si>
  <si>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</si>
  <si>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</si>
  <si>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</si>
  <si>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</si>
  <si>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</si>
  <si>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</si>
  <si>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</si>
  <si>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</si>
  <si>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</si>
  <si>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</si>
  <si>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</si>
  <si>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</si>
  <si>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</si>
  <si>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</si>
  <si>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</si>
  <si>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</si>
  <si>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</si>
  <si>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</si>
  <si>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</si>
  <si>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</si>
  <si>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</si>
  <si>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</si>
  <si>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</si>
  <si>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</si>
  <si>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</si>
  <si>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</si>
  <si>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</si>
  <si>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</si>
  <si>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</si>
  <si>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</si>
  <si>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</si>
  <si>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</si>
  <si>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</si>
  <si>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</si>
  <si>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</si>
  <si>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</si>
  <si>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</si>
  <si>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</si>
  <si>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</si>
  <si>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</si>
  <si>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</si>
  <si>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</si>
  <si>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</si>
  <si>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</si>
  <si>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</si>
  <si>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</si>
  <si>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</si>
  <si>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</si>
  <si>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</si>
  <si>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</si>
  <si>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</si>
  <si>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</si>
  <si>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</si>
  <si>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</si>
  <si>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</si>
  <si>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</si>
  <si>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</si>
  <si>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</si>
  <si>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</si>
  <si>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</si>
  <si>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</si>
  <si>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</si>
  <si>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</si>
  <si>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</si>
  <si>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</si>
  <si>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</si>
  <si>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</si>
  <si>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</si>
  <si>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</si>
  <si>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</si>
  <si>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</si>
  <si>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</si>
  <si>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</si>
  <si>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</si>
  <si>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</si>
  <si>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</si>
  <si>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</si>
  <si>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</si>
  <si>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</si>
  <si>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</si>
  <si>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</si>
  <si>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</si>
  <si>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</si>
  <si>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</si>
  <si>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</si>
  <si>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</si>
  <si>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</si>
  <si>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</si>
  <si>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</si>
  <si>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</si>
  <si>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</si>
  <si>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</si>
  <si>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</si>
  <si>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</si>
  <si>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</si>
  <si>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</si>
  <si>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</si>
  <si>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</si>
  <si>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</si>
  <si>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</si>
  <si>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</si>
  <si>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</si>
  <si>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</si>
  <si>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</si>
  <si>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</si>
  <si>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</si>
  <si>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</si>
  <si>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</si>
  <si>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</si>
  <si>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</si>
  <si>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</si>
  <si>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</si>
  <si>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</si>
  <si>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</si>
  <si>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</si>
  <si>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</si>
  <si>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</si>
  <si>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</si>
  <si>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</si>
  <si>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</si>
  <si>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</si>
  <si>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</si>
  <si>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</si>
  <si>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</si>
  <si>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</si>
  <si>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</si>
  <si>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</si>
  <si>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</si>
  <si>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</si>
  <si>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</si>
  <si>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</si>
  <si>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</si>
  <si>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</si>
  <si>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</si>
  <si>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</si>
  <si>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</si>
  <si>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</si>
  <si>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</si>
  <si>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</si>
  <si>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</si>
  <si>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</si>
  <si>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</si>
  <si>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</si>
  <si>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</si>
  <si>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</si>
  <si>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</si>
  <si>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</si>
  <si>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</si>
  <si>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</si>
  <si>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</si>
  <si>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</si>
  <si>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</si>
  <si>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</si>
  <si>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</si>
  <si>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</si>
  <si>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</si>
  <si>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</si>
  <si>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</si>
  <si>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</si>
  <si>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</si>
  <si>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</si>
  <si>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</si>
  <si>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</si>
  <si>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</si>
  <si>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</si>
  <si>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</si>
  <si>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</si>
  <si>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</si>
  <si>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</si>
  <si>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</si>
  <si>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</si>
  <si>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</si>
  <si>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</si>
  <si>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</si>
  <si>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</si>
  <si>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</si>
  <si>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</si>
  <si>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</si>
  <si>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</si>
  <si>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</si>
  <si>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</si>
  <si>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</si>
  <si>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</si>
  <si>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</si>
  <si>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</si>
  <si>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</si>
  <si>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</si>
  <si>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</si>
  <si>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</si>
  <si>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</si>
  <si>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</si>
  <si>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</si>
  <si>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</si>
  <si>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</si>
  <si>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</si>
  <si>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</si>
  <si>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</si>
  <si>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</si>
  <si>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</si>
  <si>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</si>
  <si>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</si>
  <si>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</si>
  <si>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</si>
  <si>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</si>
  <si>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</si>
  <si>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</si>
  <si>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</si>
  <si>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</si>
  <si>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</si>
  <si>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</si>
  <si>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</si>
  <si>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</si>
  <si>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</si>
  <si>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</si>
  <si>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</si>
  <si>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</si>
  <si>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</si>
  <si>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</si>
  <si>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</si>
  <si>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</si>
  <si>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</si>
  <si>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</si>
  <si>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</si>
  <si>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</si>
  <si>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</si>
  <si>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</si>
  <si>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</si>
  <si>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</si>
  <si>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</si>
  <si>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</si>
  <si>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</si>
  <si>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</si>
  <si>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</si>
  <si>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</si>
  <si>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</si>
  <si>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</si>
  <si>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</si>
  <si>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</si>
  <si>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</si>
  <si>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</si>
  <si>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</si>
  <si>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</si>
  <si>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</si>
  <si>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</si>
  <si>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</si>
  <si>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</si>
  <si>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</si>
  <si>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</si>
  <si>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</si>
  <si>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</si>
  <si>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</si>
  <si>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</si>
  <si>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</si>
  <si>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</si>
  <si>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</si>
  <si>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</si>
  <si>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</si>
  <si>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</si>
  <si>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</si>
  <si>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</si>
  <si>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</si>
  <si>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</si>
  <si>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</si>
  <si>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</si>
  <si>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</si>
  <si>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</si>
  <si>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</si>
  <si>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</si>
  <si>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</si>
  <si>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</si>
  <si>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</si>
  <si>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</si>
  <si>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</si>
  <si>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</si>
  <si>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</si>
  <si>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</si>
  <si>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</si>
  <si>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</si>
  <si>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</si>
  <si>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</si>
  <si>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</si>
  <si>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</si>
  <si>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</si>
  <si>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</si>
  <si>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</si>
  <si>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</si>
  <si>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</si>
  <si>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</si>
  <si>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</si>
  <si>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</si>
  <si>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</si>
  <si>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</si>
  <si>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</si>
  <si>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</si>
  <si>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</si>
  <si>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</si>
  <si>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</si>
  <si>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</si>
  <si>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</si>
  <si>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</si>
  <si>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</si>
  <si>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</si>
  <si>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</si>
  <si>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</si>
  <si>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</si>
  <si>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</si>
  <si>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</si>
  <si>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</si>
  <si>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</si>
  <si>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</si>
  <si>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</si>
  <si>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</si>
  <si>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</si>
  <si>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</si>
  <si>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</si>
  <si>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</si>
  <si>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</si>
  <si>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</si>
  <si>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</si>
  <si>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</si>
  <si>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</si>
  <si>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</si>
  <si>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</si>
  <si>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</si>
  <si>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</si>
  <si>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</si>
  <si>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</si>
  <si>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</si>
  <si>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</si>
  <si>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</si>
  <si>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</si>
  <si>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</si>
  <si>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</si>
  <si>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</si>
  <si>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</si>
  <si>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</si>
  <si>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</si>
  <si>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</si>
  <si>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</si>
  <si>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</si>
  <si>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</si>
  <si>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</si>
  <si>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</si>
  <si>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</si>
  <si>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</si>
  <si>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</si>
  <si>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</si>
  <si>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</si>
  <si>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</si>
  <si>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</si>
  <si>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</si>
  <si>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</si>
  <si>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</si>
  <si>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</si>
  <si>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</si>
  <si>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</si>
  <si>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</si>
  <si>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</si>
  <si>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</si>
  <si>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</si>
  <si>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</si>
  <si>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</si>
  <si>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</si>
  <si>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</si>
  <si>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</si>
  <si>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</si>
  <si>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</si>
  <si>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</si>
  <si>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</si>
  <si>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</si>
  <si>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</si>
  <si>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</si>
  <si>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</si>
  <si>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</si>
  <si>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</si>
  <si>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</si>
  <si>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</si>
  <si>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</si>
  <si>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</si>
  <si>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</si>
  <si>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</si>
  <si>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</si>
  <si>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</si>
  <si>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</si>
  <si>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</si>
  <si>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</si>
  <si>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</si>
  <si>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</si>
  <si>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</si>
  <si>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</si>
  <si>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</si>
  <si>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</si>
  <si>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</si>
  <si>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</si>
  <si>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</si>
  <si>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</si>
  <si>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</si>
  <si>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</si>
  <si>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</si>
  <si>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</si>
  <si>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</si>
  <si>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</si>
  <si>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</si>
  <si>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</si>
  <si>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</si>
  <si>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</si>
  <si>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</si>
  <si>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</si>
  <si>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</si>
  <si>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</si>
  <si>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</si>
  <si>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</si>
  <si>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</si>
  <si>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</si>
  <si>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</si>
  <si>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</si>
  <si>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</si>
  <si>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</si>
  <si>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</si>
  <si>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</si>
  <si>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</si>
  <si>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</si>
  <si>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</si>
  <si>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</si>
  <si>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</si>
  <si>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</si>
  <si>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</si>
  <si>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</si>
  <si>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</si>
  <si>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</si>
  <si>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</si>
  <si>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</si>
  <si>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</si>
  <si>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</si>
  <si>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</si>
  <si>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</si>
  <si>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</si>
  <si>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</si>
  <si>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</si>
  <si>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</si>
  <si>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</si>
  <si>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</si>
  <si>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</si>
  <si>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</si>
  <si>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</si>
  <si>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</si>
  <si>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</si>
  <si>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</si>
  <si>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</si>
  <si>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</si>
  <si>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</si>
  <si>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</si>
  <si>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</si>
  <si>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</si>
  <si>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</si>
  <si>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</si>
  <si>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</si>
  <si>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</si>
  <si>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</si>
  <si>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</si>
  <si>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</si>
  <si>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</si>
  <si>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</si>
  <si>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</si>
  <si>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</si>
  <si>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</si>
  <si>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</si>
  <si>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</si>
  <si>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</si>
  <si>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</si>
  <si>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</si>
  <si>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</si>
  <si>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</si>
  <si>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</si>
  <si>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</si>
  <si>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</si>
  <si>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</si>
  <si>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</si>
  <si>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</si>
  <si>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</si>
  <si>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</si>
  <si>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</si>
  <si>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</si>
  <si>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</si>
  <si>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</si>
  <si>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</si>
  <si>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</si>
  <si>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</si>
  <si>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</si>
  <si>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</si>
  <si>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</si>
  <si>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</si>
  <si>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</si>
  <si>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</si>
  <si>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</si>
  <si>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</si>
  <si>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</si>
  <si>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</si>
  <si>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</si>
  <si>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</si>
  <si>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</si>
  <si>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</si>
  <si>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</si>
  <si>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</si>
  <si>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</si>
  <si>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</si>
  <si>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</si>
  <si>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</si>
  <si>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SK Store</t>
  </si>
  <si>
    <t>Address: Qanchi Bazar</t>
  </si>
  <si>
    <t xml:space="preserve">Hani Chirag Din </t>
  </si>
  <si>
    <t>Ahmad Store</t>
  </si>
  <si>
    <t xml:space="preserve">Address: Shoket Town </t>
  </si>
  <si>
    <t>Ibrahim Store</t>
  </si>
  <si>
    <t xml:space="preserve">Address: Punjab Society </t>
  </si>
  <si>
    <t>Punjab store</t>
  </si>
  <si>
    <t>Husain Store</t>
  </si>
  <si>
    <t xml:space="preserve">Urban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</si>
</sst>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0" workbookViewId="0">
      <selection activeCell="C37" sqref="C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f ca="1">TODAY()</f>
        <v>46293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SK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Hani Chirag Din </v>
      </c>
      <c r="T4" s="301">
        <f>+'2'!P35</f>
        <v>1019.2732122775423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Ahmad Store</v>
      </c>
      <c r="T5" s="301">
        <f>+'3'!P35</f>
        <v>679.51547485169476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Ibrahim Store</v>
      </c>
      <c r="T6" s="301">
        <f>+'4'!P35</f>
        <v>1568.1057925423729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92</v>
      </c>
      <c r="I7" s="235">
        <f>(G7*D7)*F7+H7*F7</f>
        <v>4826.55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386.12400000000002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168.92925000000002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4271.4967500000002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912.20338983050806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25.918500699152542</v>
      </c>
      <c r="P7" s="310">
        <f>M7+N7+O7</f>
        <v>5209.6186405296612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Punjab store</v>
      </c>
      <c r="T7" s="301">
        <f>+'5'!P35</f>
        <v>16203.789503771184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92</v>
      </c>
      <c r="I8" s="236">
        <f t="shared" ref="I8:I14" si="0">(G8*D8)*F8+H8*F8</f>
        <v>4826.55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386.12400000000002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168.92925000000002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4271.4967500000002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912.20338983050806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25.918500699152542</v>
      </c>
      <c r="P8" s="311">
        <f t="shared" ref="P8:P15" si="2">M8+N8+O8</f>
        <v>5209.6186405296612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Husain Store</v>
      </c>
      <c r="T8" s="301">
        <f>+'6'!P35</f>
        <v>3136.2115850847463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86</v>
      </c>
      <c r="I9" s="236">
        <f t="shared" si="0"/>
        <v>4511.7749999999996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360.94200000000001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157.912125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3992.9208749999998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852.71186440677934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24.228163697033899</v>
      </c>
      <c r="P9" s="311">
        <f t="shared" si="2"/>
        <v>4869.8609031038131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Urban Mart </v>
      </c>
      <c r="T9" s="301">
        <f>+'7'!P35</f>
        <v>16203.789503771184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114</v>
      </c>
      <c r="I10" s="236">
        <f t="shared" si="0"/>
        <v>8280.9600000000009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662.47680000000003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289.83360000000005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7328.6496000000006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1565.0847457627119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44.468671728813561</v>
      </c>
      <c r="P10" s="311">
        <f t="shared" si="2"/>
        <v>8938.2030174915253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113</v>
      </c>
      <c r="I11" s="236">
        <f t="shared" si="0"/>
        <v>8208.32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656.66560000000004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287.2912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7264.3631999999998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1551.3559322033898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44.078595661016955</v>
      </c>
      <c r="P11" s="311">
        <f t="shared" si="2"/>
        <v>8859.7977278644066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113</v>
      </c>
      <c r="I12" s="236">
        <f t="shared" si="0"/>
        <v>8208.32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656.66560000000004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287.2912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7264.3631999999998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1551.3559322033898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44.078595661016955</v>
      </c>
      <c r="P12" s="311">
        <f t="shared" si="2"/>
        <v>8859.7977278644066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15.25</v>
      </c>
      <c r="H16" s="113">
        <f t="shared" ref="H16:M16" si="3">SUM(H7:H15)</f>
        <v>610</v>
      </c>
      <c r="I16" s="114">
        <f t="shared" si="3"/>
        <v>38862.474999999999</v>
      </c>
      <c r="J16" s="274">
        <f>SUM(J7:J15)</f>
        <v>3108.9980000000005</v>
      </c>
      <c r="K16" s="275">
        <f t="shared" si="3"/>
        <v>1360.1866250000003</v>
      </c>
      <c r="L16" s="276">
        <f t="shared" si="3"/>
        <v>0</v>
      </c>
      <c r="M16" s="232">
        <f t="shared" si="3"/>
        <v>34393.290374999997</v>
      </c>
      <c r="N16" s="233">
        <f>SUM(N7:N15)</f>
        <v>7344.9152542372867</v>
      </c>
      <c r="O16" s="101">
        <f>SUM(O7:O15)</f>
        <v>208.69102814618645</v>
      </c>
      <c r="P16" s="113">
        <f>SUM(P7:P15)</f>
        <v>41946.896657383477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38862.474999999999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3108.9980000000005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1360.1866250000003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34393.290374999997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7344.9152542372867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41738.205629237287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208.69102814618645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41946.896657383477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41946.89665738347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Summary!H3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232.44800000000001</v>
      </c>
      <c r="K25" s="275">
        <f t="shared" si="10"/>
        <v>101.69600000000001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944.32499999999993</v>
      </c>
      <c r="J25" s="274">
        <f>SUM(J16:J24)</f>
        <v>75.545999999999992</v>
      </c>
      <c r="K25" s="275">
        <f t="shared" si="7"/>
        <v>33.051375</v>
      </c>
      <c r="L25" s="276">
        <f t="shared" si="7"/>
        <v>0</v>
      </c>
      <c r="M25" s="232">
        <f t="shared" si="7"/>
        <v>835.72762499999999</v>
      </c>
      <c r="N25" s="233">
        <f>SUM(N16:N24)</f>
        <v>178.47457627118638</v>
      </c>
      <c r="O25" s="101">
        <f>SUM(O16:O24)</f>
        <v>5.0710110063559313</v>
      </c>
      <c r="P25" s="234">
        <f>SUM(P16:P24)</f>
        <v>1019.2732122775424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944.32499999999993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75.545999999999992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33.051375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835.72762499999999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1014.2022012711864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45" t="s">
        <v>88</v>
      </c>
      <c r="O35" s="346"/>
      <c r="P35" s="297">
        <f>+P33+P34</f>
        <v>1019.2732122775423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629.54999999999995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50.363999999999997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22.03425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557.15174999999988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676.13480084745743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5" t="s">
        <v>88</v>
      </c>
      <c r="O35" s="346"/>
      <c r="P35" s="297">
        <f>+P33+P34</f>
        <v>679.51547485169476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1200.9839999999999</v>
      </c>
      <c r="K25" s="275">
        <f t="shared" si="7"/>
        <v>525.43050000000005</v>
      </c>
      <c r="L25" s="276">
        <f t="shared" si="7"/>
        <v>0</v>
      </c>
      <c r="M25" s="232">
        <f t="shared" si="7"/>
        <v>13285.8855</v>
      </c>
      <c r="N25" s="233">
        <f>SUM(N16:N24)</f>
        <v>2837.2881355932195</v>
      </c>
      <c r="O25" s="101">
        <f>SUM(O16:O24)</f>
        <v>80.615868177966092</v>
      </c>
      <c r="P25" s="234">
        <f>SUM(P16:P24)</f>
        <v>16203.789503771186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1200.9839999999999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525.43050000000005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13285.8855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16123.173635593219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80.615868177966092</v>
      </c>
    </row>
    <row r="35" spans="2:16" ht="15.75" customHeight="1" thickBot="1" x14ac:dyDescent="0.4">
      <c r="N35" s="345" t="s">
        <v>88</v>
      </c>
      <c r="O35" s="346"/>
      <c r="P35" s="297">
        <f>+P33+P34</f>
        <v>16203.789503771184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'1'!N4:P5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232.44800000000001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549.15254237288127</v>
      </c>
      <c r="O25" s="101">
        <f>SUM(O16:O24)</f>
        <v>15.603042711864408</v>
      </c>
      <c r="P25" s="234">
        <f>SUM(P16:P24)</f>
        <v>3136.2115850847463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549.15254237288127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3136.2115850847463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1200.9839999999999</v>
      </c>
      <c r="K25" s="275">
        <f t="shared" si="7"/>
        <v>525.43050000000005</v>
      </c>
      <c r="L25" s="276">
        <f t="shared" si="7"/>
        <v>0</v>
      </c>
      <c r="M25" s="232">
        <f t="shared" si="7"/>
        <v>13285.8855</v>
      </c>
      <c r="N25" s="233">
        <f>SUM(N16:N24)</f>
        <v>2837.2881355932195</v>
      </c>
      <c r="O25" s="101">
        <f>SUM(O16:O24)</f>
        <v>80.615868177966092</v>
      </c>
      <c r="P25" s="234">
        <f>SUM(P16:P24)</f>
        <v>16203.789503771186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1200.9839999999999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525.43050000000005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13285.8855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16123.173635593219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80.615868177966092</v>
      </c>
    </row>
    <row r="35" spans="2:16" ht="15.75" customHeight="1" thickBot="1" x14ac:dyDescent="0.4">
      <c r="N35" s="345" t="s">
        <v>88</v>
      </c>
      <c r="O35" s="346"/>
      <c r="P35" s="297">
        <f>+P33+P34</f>
        <v>16203.789503771184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46294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46293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2026-09-28T12:24:21Z</dcterms:modified>
</cp:coreProperties>
</file>