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DAC4F9-806D-4732-923F-0408200B84F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0" l="1"/>
  <c r="N4" i="46"/>
  <c r="N4" i="70"/>
  <c r="N5" i="70" s="1"/>
  <c r="N4" i="61"/>
  <c r="N5" i="61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K12" i="62"/>
  <c r="M21" i="47"/>
  <c r="O21" i="47" s="1"/>
  <c r="P21" i="47" s="1"/>
  <c r="M20" i="47"/>
  <c r="O20" i="47" s="1"/>
  <c r="P20" i="47" s="1"/>
  <c r="R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<sst xmlns="http://schemas.openxmlformats.org/spreadsheetml/2006/main" count="3948" uniqueCount="524">
  <si>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</si>
  <si>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</si>
  <si>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</si>
  <si>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</si>
  <si>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</si>
  <si>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</si>
  <si>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</si>
  <si>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</si>
  <si>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</si>
  <si>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</si>
  <si>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</si>
  <si>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</si>
  <si>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</si>
  <si>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</si>
  <si>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</si>
  <si>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</si>
  <si>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</si>
  <si>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</si>
  <si>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</si>
  <si>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</si>
  <si>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</si>
  <si>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</si>
  <si>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</si>
  <si>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</si>
  <si>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</si>
  <si>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</si>
  <si>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</si>
  <si>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</si>
  <si>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</si>
  <si>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</si>
  <si>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</si>
  <si>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</si>
  <si>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</si>
  <si>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</si>
  <si>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</si>
  <si>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</si>
  <si>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</si>
  <si>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</si>
  <si>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</si>
  <si>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</si>
  <si>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</si>
  <si>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</si>
  <si>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</si>
  <si>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</si>
  <si>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</si>
  <si>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</si>
  <si>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</si>
  <si>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</si>
  <si>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</si>
  <si>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</si>
  <si>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</si>
  <si>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</si>
  <si>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</si>
  <si>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</si>
  <si>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</si>
  <si>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</si>
  <si>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</si>
  <si>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</si>
  <si>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</si>
  <si>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</si>
  <si>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</si>
  <si>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</si>
  <si>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</si>
  <si>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</si>
  <si>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</si>
  <si>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</si>
  <si>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</si>
  <si>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</si>
  <si>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</si>
  <si>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</si>
  <si>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</si>
  <si>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</si>
  <si>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</si>
  <si>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</si>
  <si>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</si>
  <si>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</si>
  <si>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</si>
  <si>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</si>
  <si>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</si>
  <si>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</si>
  <si>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</si>
  <si>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</si>
  <si>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</si>
  <si>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</si>
  <si>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</si>
  <si>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</si>
  <si>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</si>
  <si>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</si>
  <si>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</si>
  <si>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</si>
  <si>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</si>
  <si>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</si>
  <si>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</si>
  <si>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</si>
  <si>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</si>
  <si>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</si>
  <si>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</si>
  <si>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</si>
  <si>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</si>
  <si>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</si>
  <si>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</si>
  <si>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</si>
  <si>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</si>
  <si>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</si>
  <si>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</si>
  <si>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</si>
  <si>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</si>
  <si>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</si>
  <si>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</si>
  <si>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</si>
  <si>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</si>
  <si>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</si>
  <si>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</si>
  <si>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</si>
  <si>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</si>
  <si>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</si>
  <si>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</si>
  <si>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</si>
  <si>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</si>
  <si>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</si>
  <si>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</si>
  <si>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</si>
  <si>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</si>
  <si>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</si>
  <si>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</si>
  <si>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</si>
  <si>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</si>
  <si>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</si>
  <si>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</si>
  <si>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</si>
  <si>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</si>
  <si>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</si>
  <si>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</si>
  <si>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</si>
  <si>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</si>
  <si>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</si>
  <si>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</si>
  <si>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</si>
  <si>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</si>
  <si>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</si>
  <si>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</si>
  <si>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</si>
  <si>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</si>
  <si>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</si>
  <si>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</si>
  <si>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</si>
  <si>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</si>
  <si>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</si>
  <si>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</si>
  <si>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</si>
  <si>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</si>
  <si>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</si>
  <si>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</si>
  <si>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</si>
  <si>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</si>
  <si>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</si>
  <si>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</si>
  <si>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</si>
  <si>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</si>
  <si>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</si>
  <si>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</si>
  <si>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</si>
  <si>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</si>
  <si>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</si>
  <si>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</si>
  <si>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</si>
  <si>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</si>
  <si>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</si>
  <si>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</si>
  <si>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</si>
  <si>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</si>
  <si>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</si>
  <si>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</si>
  <si>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</si>
  <si>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</si>
  <si>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</si>
  <si>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</si>
  <si>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</si>
  <si>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</si>
  <si>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</si>
  <si>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</si>
  <si>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</si>
  <si>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</si>
  <si>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</si>
  <si>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</si>
  <si>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</si>
  <si>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</si>
  <si>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</si>
  <si>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</si>
  <si>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</si>
  <si>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</si>
  <si>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</si>
  <si>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</si>
  <si>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</si>
  <si>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</si>
  <si>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</si>
  <si>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</si>
  <si>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</si>
  <si>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</si>
  <si>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</si>
  <si>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</si>
  <si>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</si>
  <si>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</si>
  <si>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</si>
  <si>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</si>
  <si>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</si>
  <si>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</si>
  <si>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</si>
  <si>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</si>
  <si>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</si>
  <si>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</si>
  <si>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</si>
  <si>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</si>
  <si>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</si>
  <si>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</si>
  <si>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</si>
  <si>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</si>
  <si>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</si>
  <si>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</si>
  <si>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</si>
  <si>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</si>
  <si>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</si>
  <si>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</si>
  <si>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</si>
  <si>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</si>
  <si>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</si>
  <si>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</si>
  <si>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</si>
  <si>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</si>
  <si>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</si>
  <si>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</si>
  <si>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</si>
  <si>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</si>
  <si>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</si>
  <si>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</si>
  <si>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</si>
  <si>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</si>
  <si>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</si>
  <si>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</si>
  <si>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</si>
  <si>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</si>
  <si>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</si>
  <si>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</si>
  <si>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</si>
  <si>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</si>
  <si>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</si>
  <si>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</si>
  <si>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</si>
  <si>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</si>
  <si>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</si>
  <si>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</si>
  <si>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</si>
  <si>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</si>
  <si>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</si>
  <si>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</si>
  <si>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</si>
  <si>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</si>
  <si>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</si>
  <si>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</si>
  <si>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</si>
  <si>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</si>
  <si>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</si>
  <si>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</si>
  <si>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</si>
  <si>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</si>
  <si>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</si>
  <si>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</si>
  <si>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</si>
  <si>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</si>
  <si>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</si>
  <si>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</si>
  <si>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</si>
  <si>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</si>
  <si>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</si>
  <si>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</si>
  <si>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</si>
  <si>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</si>
  <si>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</si>
  <si>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</si>
  <si>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</si>
  <si>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</si>
  <si>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</si>
  <si>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</si>
  <si>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</si>
  <si>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</si>
  <si>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</si>
  <si>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</si>
  <si>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</si>
  <si>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</si>
  <si>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</si>
  <si>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</si>
  <si>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</si>
  <si>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</si>
  <si>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</si>
  <si>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</si>
  <si>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</si>
  <si>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</si>
  <si>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</si>
  <si>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</si>
  <si>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</si>
  <si>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</si>
  <si>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</si>
  <si>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</si>
  <si>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</si>
  <si>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</si>
  <si>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</si>
  <si>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</si>
  <si>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</si>
  <si>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</si>
  <si>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</si>
  <si>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</si>
  <si>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</si>
  <si>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</si>
  <si>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</si>
  <si>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</si>
  <si>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</si>
  <si>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</si>
  <si>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</si>
  <si>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</si>
  <si>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</si>
  <si>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</si>
  <si>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</si>
  <si>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</si>
  <si>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</si>
  <si>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</si>
  <si>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</si>
  <si>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</si>
  <si>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</si>
  <si>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</si>
  <si>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</si>
  <si>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</si>
  <si>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</si>
  <si>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</si>
  <si>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</si>
  <si>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</si>
  <si>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</si>
  <si>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</si>
  <si>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</si>
  <si>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</si>
  <si>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</si>
  <si>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</si>
  <si>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</si>
  <si>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</si>
  <si>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</si>
  <si>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</si>
  <si>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</si>
  <si>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</si>
  <si>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</si>
  <si>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</si>
  <si>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</si>
  <si>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</si>
  <si>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</si>
  <si>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</si>
  <si>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</si>
  <si>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</si>
  <si>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</si>
  <si>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</si>
  <si>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</si>
  <si>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</si>
  <si>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</si>
  <si>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</si>
  <si>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</si>
  <si>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</si>
  <si>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</si>
  <si>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</si>
  <si>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</si>
  <si>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</si>
  <si>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</si>
  <si>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</si>
  <si>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</si>
  <si>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</si>
  <si>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</si>
  <si>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</si>
  <si>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</si>
  <si>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</si>
  <si>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</si>
  <si>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</si>
  <si>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</si>
  <si>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</si>
  <si>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</si>
  <si>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</si>
  <si>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</si>
  <si>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</si>
  <si>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</si>
  <si>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</si>
  <si>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</si>
  <si>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</si>
  <si>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</si>
  <si>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</si>
  <si>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</si>
  <si>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</si>
  <si>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</si>
  <si>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</si>
  <si>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</si>
  <si>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</si>
  <si>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</si>
  <si>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</si>
  <si>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</si>
  <si>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</si>
  <si>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</si>
  <si>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</si>
  <si>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</si>
  <si>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</si>
  <si>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</si>
  <si>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</si>
  <si>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</si>
  <si>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</si>
  <si>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</si>
  <si>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</si>
  <si>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</si>
  <si>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</si>
  <si>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</si>
  <si>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</si>
  <si>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</si>
  <si>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</si>
  <si>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</si>
  <si>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</si>
  <si>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</si>
  <si>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</si>
  <si>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</si>
  <si>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</si>
  <si>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</si>
  <si>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</si>
  <si>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</si>
  <si>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</si>
  <si>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</si>
  <si>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</si>
  <si>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</si>
  <si>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</si>
  <si>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</si>
  <si>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</si>
  <si>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</si>
  <si>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</si>
  <si>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</si>
  <si>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</si>
  <si>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</si>
  <si>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</si>
  <si>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</si>
  <si>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</si>
  <si>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</si>
  <si>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</si>
  <si>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</si>
  <si>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</si>
  <si>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</si>
  <si>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</si>
  <si>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</si>
  <si>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</si>
  <si>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</si>
  <si>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</si>
  <si>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</si>
  <si>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</si>
  <si>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</si>
  <si>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</si>
  <si>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</si>
  <si>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</si>
  <si>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</si>
  <si>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</si>
  <si>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</si>
  <si>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</si>
  <si>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</si>
  <si>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</si>
  <si>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</si>
  <si>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</si>
  <si>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</si>
  <si>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</si>
  <si>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</si>
  <si>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</si>
  <si>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</si>
  <si>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</si>
  <si>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</si>
  <si>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</si>
  <si>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</si>
  <si>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</si>
  <si>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</si>
  <si>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</si>
  <si>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</si>
  <si>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</si>
  <si>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</si>
  <si>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</si>
  <si>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</si>
  <si>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</si>
  <si>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</si>
  <si>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</si>
  <si>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</si>
  <si>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</si>
  <si>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</si>
  <si>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</si>
  <si>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</si>
  <si>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</si>
  <si>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</si>
  <si>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</si>
  <si>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</si>
  <si>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</si>
  <si>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</si>
  <si>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</si>
  <si>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</si>
  <si>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</si>
  <si>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</si>
  <si>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</si>
  <si>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</si>
  <si>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</si>
  <si>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</si>
  <si>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</si>
  <si>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</si>
  <si>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</si>
  <si>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</si>
  <si>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</si>
  <si>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</si>
  <si>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</si>
  <si>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</si>
  <si>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</si>
  <si>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</si>
  <si>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</si>
  <si>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</si>
  <si>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SK Store</t>
  </si>
  <si>
    <t>Address: Qanchi Bazar</t>
  </si>
  <si>
    <t xml:space="preserve">Hani Chirag Din </t>
  </si>
  <si>
    <t>Ahmad Store</t>
  </si>
  <si>
    <t xml:space="preserve">Address: Shoket Town </t>
  </si>
  <si>
    <t>Ibrahim Store</t>
  </si>
  <si>
    <t xml:space="preserve">Address: Punjab Society </t>
  </si>
  <si>
    <t>Punjab store</t>
  </si>
  <si>
    <t>Husain Store</t>
  </si>
  <si>
    <t xml:space="preserve">Urban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</si>
</sst>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S5" sqref="S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SK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Hani Chirag Din </v>
      </c>
      <c r="T4" s="301">
        <f>+'2'!P35</f>
        <v>1019.2732122775423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Ahmad Store</v>
      </c>
      <c r="T5" s="301">
        <f>+'3'!P35</f>
        <v>679.51547485169476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Ibrahim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92</v>
      </c>
      <c r="I7" s="235">
        <f>(G7*D7)*F7+H7*F7</f>
        <v>4826.55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386.12400000000002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168.92925000000002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4271.4967500000002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912.20338983050806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25.918500699152542</v>
      </c>
      <c r="P7" s="310">
        <f>M7+N7+O7</f>
        <v>5209.6186405296612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Punjab store</v>
      </c>
      <c r="T7" s="301">
        <f>+'5'!P35</f>
        <v>16203.789503771184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92</v>
      </c>
      <c r="I8" s="236">
        <f t="shared" ref="I8:I14" si="0">(G8*D8)*F8+H8*F8</f>
        <v>4826.55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386.12400000000002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168.92925000000002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4271.4967500000002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912.20338983050806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25.918500699152542</v>
      </c>
      <c r="P8" s="311">
        <f t="shared" ref="P8:P15" si="2">M8+N8+O8</f>
        <v>5209.6186405296612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Husain Store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86</v>
      </c>
      <c r="I9" s="236">
        <f t="shared" si="0"/>
        <v>4511.7749999999996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360.94200000000001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157.912125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3992.9208749999998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852.71186440677934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24.228163697033899</v>
      </c>
      <c r="P9" s="311">
        <f t="shared" si="2"/>
        <v>4869.8609031038131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Urban Mart </v>
      </c>
      <c r="T9" s="301">
        <f>+'7'!P35</f>
        <v>16203.789503771184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114</v>
      </c>
      <c r="I10" s="236">
        <f t="shared" si="0"/>
        <v>8280.9600000000009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662.47680000000003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289.83360000000005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7328.6496000000006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1565.0847457627119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44.468671728813561</v>
      </c>
      <c r="P10" s="311">
        <f t="shared" si="2"/>
        <v>8938.2030174915253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113</v>
      </c>
      <c r="I11" s="236">
        <f t="shared" si="0"/>
        <v>8208.32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656.66560000000004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287.2912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7264.3631999999998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1551.3559322033898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44.078595661016955</v>
      </c>
      <c r="P11" s="311">
        <f t="shared" si="2"/>
        <v>8859.7977278644066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113</v>
      </c>
      <c r="I12" s="236">
        <f t="shared" si="0"/>
        <v>8208.32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656.66560000000004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287.2912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7264.3631999999998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1551.3559322033898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44.078595661016955</v>
      </c>
      <c r="P12" s="311">
        <f t="shared" si="2"/>
        <v>8859.7977278644066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15.25</v>
      </c>
      <c r="H16" s="113">
        <f t="shared" ref="H16:M16" si="3">SUM(H7:H15)</f>
        <v>610</v>
      </c>
      <c r="I16" s="114">
        <f t="shared" si="3"/>
        <v>38862.474999999999</v>
      </c>
      <c r="J16" s="274">
        <f>SUM(J7:J15)</f>
        <v>3108.9980000000005</v>
      </c>
      <c r="K16" s="275">
        <f t="shared" si="3"/>
        <v>1360.1866250000003</v>
      </c>
      <c r="L16" s="276">
        <f t="shared" si="3"/>
        <v>0</v>
      </c>
      <c r="M16" s="232">
        <f t="shared" si="3"/>
        <v>34393.290374999997</v>
      </c>
      <c r="N16" s="233">
        <f>SUM(N7:N15)</f>
        <v>7344.9152542372867</v>
      </c>
      <c r="O16" s="101">
        <f>SUM(O7:O15)</f>
        <v>208.69102814618645</v>
      </c>
      <c r="P16" s="113">
        <f>SUM(P7:P15)</f>
        <v>41946.896657383477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38862.474999999999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3108.9980000000005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1360.1866250000003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34393.290374999997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7344.9152542372867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41738.205629237287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208.69102814618645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41946.896657383477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41946.89665738347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1200.9839999999999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13285.8855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16123.173635593219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4" t="s">
        <v>88</v>
      </c>
      <c r="O35" s="375"/>
      <c r="P35" s="297">
        <f>+P33+P34</f>
        <v>16203.789503771184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549.15254237288127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549.15254237288127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1200.9839999999999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13285.8855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16123.173635593219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4" t="s">
        <v>88</v>
      </c>
      <c r="O35" s="375"/>
      <c r="P35" s="297">
        <f>+P33+P34</f>
        <v>16203.789503771184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2026-09-28T11:46:50Z</dcterms:modified>
</cp:coreProperties>
</file>