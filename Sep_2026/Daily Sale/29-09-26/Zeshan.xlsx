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050C4B-2CD2-4BD0-93A5-9E53CF7F72A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6" l="1"/>
  <c r="N4" i="70"/>
  <c r="N5" i="70" s="1"/>
  <c r="N4" i="61"/>
  <c r="N5" i="61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<sst xmlns="http://schemas.openxmlformats.org/spreadsheetml/2006/main" count="3948" uniqueCount="525">
  <si>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</si>
  <si>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</si>
  <si>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</si>
  <si>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</si>
  <si>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</si>
  <si>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</si>
  <si>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</si>
  <si>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</si>
  <si>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</si>
  <si>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</si>
  <si>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</si>
  <si>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</si>
  <si>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</si>
  <si>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</si>
  <si>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</si>
  <si>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</si>
  <si>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</si>
  <si>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</si>
  <si>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</si>
  <si>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</si>
  <si>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</si>
  <si>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</si>
  <si>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</si>
  <si>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</si>
  <si>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</si>
  <si>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</si>
  <si>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</si>
  <si>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</si>
  <si>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</si>
  <si>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</si>
  <si>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</si>
  <si>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</si>
  <si>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</si>
  <si>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</si>
  <si>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</si>
  <si>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</si>
  <si>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</si>
  <si>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</si>
  <si>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</si>
  <si>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</si>
  <si>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</si>
  <si>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</si>
  <si>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</si>
  <si>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</si>
  <si>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</si>
  <si>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</si>
  <si>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</si>
  <si>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</si>
  <si>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</si>
  <si>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</si>
  <si>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</si>
  <si>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</si>
  <si>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</si>
  <si>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</si>
  <si>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</si>
  <si>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</si>
  <si>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</si>
  <si>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</si>
  <si>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</si>
  <si>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</si>
  <si>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</si>
  <si>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</si>
  <si>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</si>
  <si>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</si>
  <si>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</si>
  <si>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</si>
  <si>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</si>
  <si>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</si>
  <si>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</si>
  <si>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</si>
  <si>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</si>
  <si>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</si>
  <si>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</si>
  <si>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</si>
  <si>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</si>
  <si>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</si>
  <si>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</si>
  <si>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</si>
  <si>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</si>
  <si>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</si>
  <si>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</si>
  <si>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</si>
  <si>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</si>
  <si>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</si>
  <si>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</si>
  <si>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</si>
  <si>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</si>
  <si>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</si>
  <si>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</si>
  <si>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</si>
  <si>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</si>
  <si>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</si>
  <si>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</si>
  <si>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</si>
  <si>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</si>
  <si>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</si>
  <si>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</si>
  <si>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</si>
  <si>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</si>
  <si>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</si>
  <si>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</si>
  <si>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</si>
  <si>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</si>
  <si>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</si>
  <si>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</si>
  <si>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</si>
  <si>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</si>
  <si>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</si>
  <si>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</si>
  <si>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</si>
  <si>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</si>
  <si>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</si>
  <si>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</si>
  <si>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</si>
  <si>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</si>
  <si>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</si>
  <si>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</si>
  <si>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</si>
  <si>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</si>
  <si>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</si>
  <si>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</si>
  <si>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</si>
  <si>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</si>
  <si>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</si>
  <si>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</si>
  <si>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</si>
  <si>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</si>
  <si>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</si>
  <si>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</si>
  <si>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</si>
  <si>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</si>
  <si>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</si>
  <si>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</si>
  <si>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</si>
  <si>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</si>
  <si>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</si>
  <si>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</si>
  <si>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</si>
  <si>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</si>
  <si>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</si>
  <si>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</si>
  <si>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</si>
  <si>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</si>
  <si>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</si>
  <si>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</si>
  <si>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</si>
  <si>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</si>
  <si>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</si>
  <si>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</si>
  <si>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</si>
  <si>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</si>
  <si>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</si>
  <si>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</si>
  <si>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</si>
  <si>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</si>
  <si>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</si>
  <si>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</si>
  <si>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</si>
  <si>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</si>
  <si>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</si>
  <si>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</si>
  <si>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</si>
  <si>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</si>
  <si>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</si>
  <si>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</si>
  <si>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</si>
  <si>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</si>
  <si>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</si>
  <si>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</si>
  <si>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</si>
  <si>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</si>
  <si>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</si>
  <si>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</si>
  <si>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</si>
  <si>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</si>
  <si>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</si>
  <si>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</si>
  <si>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</si>
  <si>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</si>
  <si>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</si>
  <si>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</si>
  <si>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</si>
  <si>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</si>
  <si>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</si>
  <si>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</si>
  <si>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</si>
  <si>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</si>
  <si>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</si>
  <si>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</si>
  <si>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</si>
  <si>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</si>
  <si>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</si>
  <si>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</si>
  <si>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</si>
  <si>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</si>
  <si>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</si>
  <si>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</si>
  <si>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</si>
  <si>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</si>
  <si>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</si>
  <si>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</si>
  <si>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</si>
  <si>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</si>
  <si>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</si>
  <si>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</si>
  <si>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</si>
  <si>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</si>
  <si>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</si>
  <si>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</si>
  <si>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</si>
  <si>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</si>
  <si>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</si>
  <si>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</si>
  <si>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</si>
  <si>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</si>
  <si>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</si>
  <si>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</si>
  <si>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</si>
  <si>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</si>
  <si>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</si>
  <si>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</si>
  <si>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</si>
  <si>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</si>
  <si>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</si>
  <si>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</si>
  <si>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</si>
  <si>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</si>
  <si>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</si>
  <si>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</si>
  <si>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</si>
  <si>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</si>
  <si>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</si>
  <si>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</si>
  <si>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</si>
  <si>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</si>
  <si>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</si>
  <si>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</si>
  <si>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</si>
  <si>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</si>
  <si>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</si>
  <si>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</si>
  <si>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</si>
  <si>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</si>
  <si>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</si>
  <si>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</si>
  <si>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</si>
  <si>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</si>
  <si>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</si>
  <si>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</si>
  <si>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</si>
  <si>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</si>
  <si>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</si>
  <si>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</si>
  <si>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</si>
  <si>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</si>
  <si>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</si>
  <si>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</si>
  <si>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</si>
  <si>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</si>
  <si>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</si>
  <si>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</si>
  <si>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</si>
  <si>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</si>
  <si>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</si>
  <si>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</si>
  <si>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</si>
  <si>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</si>
  <si>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</si>
  <si>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</si>
  <si>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</si>
  <si>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</si>
  <si>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</si>
  <si>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</si>
  <si>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</si>
  <si>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</si>
  <si>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</si>
  <si>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</si>
  <si>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</si>
  <si>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</si>
  <si>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</si>
  <si>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</si>
  <si>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</si>
  <si>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</si>
  <si>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</si>
  <si>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</si>
  <si>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</si>
  <si>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</si>
  <si>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</si>
  <si>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</si>
  <si>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</si>
  <si>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</si>
  <si>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</si>
  <si>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</si>
  <si>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</si>
  <si>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</si>
  <si>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</si>
  <si>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</si>
  <si>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</si>
  <si>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</si>
  <si>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</si>
  <si>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</si>
  <si>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</si>
  <si>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</si>
  <si>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</si>
  <si>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</si>
  <si>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</si>
  <si>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</si>
  <si>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</si>
  <si>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</si>
  <si>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</si>
  <si>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</si>
  <si>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</si>
  <si>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</si>
  <si>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</si>
  <si>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</si>
  <si>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</si>
  <si>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</si>
  <si>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</si>
  <si>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</si>
  <si>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</si>
  <si>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</si>
  <si>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</si>
  <si>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</si>
  <si>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</si>
  <si>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</si>
  <si>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</si>
  <si>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</si>
  <si>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</si>
  <si>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</si>
  <si>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</si>
  <si>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</si>
  <si>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</si>
  <si>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</si>
  <si>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</si>
  <si>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</si>
  <si>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</si>
  <si>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</si>
  <si>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</si>
  <si>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</si>
  <si>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</si>
  <si>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</si>
  <si>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</si>
  <si>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</si>
  <si>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</si>
  <si>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</si>
  <si>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</si>
  <si>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</si>
  <si>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</si>
  <si>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</si>
  <si>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</si>
  <si>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</si>
  <si>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</si>
  <si>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</si>
  <si>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</si>
  <si>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</si>
  <si>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</si>
  <si>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</si>
  <si>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</si>
  <si>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</si>
  <si>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</si>
  <si>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</si>
  <si>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</si>
  <si>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</si>
  <si>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</si>
  <si>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</si>
  <si>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</si>
  <si>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</si>
  <si>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</si>
  <si>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</si>
  <si>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</si>
  <si>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</si>
  <si>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</si>
  <si>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</si>
  <si>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</si>
  <si>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</si>
  <si>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</si>
  <si>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</si>
  <si>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</si>
  <si>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</si>
  <si>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</si>
  <si>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</si>
  <si>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</si>
  <si>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</si>
  <si>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</si>
  <si>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</si>
  <si>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</si>
  <si>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</si>
  <si>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</si>
  <si>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</si>
  <si>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</si>
  <si>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</si>
  <si>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</si>
  <si>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</si>
  <si>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</si>
  <si>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</si>
  <si>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</si>
  <si>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</si>
  <si>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</si>
  <si>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</si>
  <si>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</si>
  <si>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</si>
  <si>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</si>
  <si>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</si>
  <si>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</si>
  <si>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</si>
  <si>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</si>
  <si>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</si>
  <si>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</si>
  <si>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</si>
  <si>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</si>
  <si>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</si>
  <si>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</si>
  <si>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</si>
  <si>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</si>
  <si>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</si>
  <si>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</si>
  <si>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</si>
  <si>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</si>
  <si>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</si>
  <si>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</si>
  <si>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</si>
  <si>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</si>
  <si>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</si>
  <si>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</si>
  <si>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</si>
  <si>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</si>
  <si>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</si>
  <si>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</si>
  <si>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</si>
  <si>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</si>
  <si>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</si>
  <si>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</si>
  <si>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</si>
  <si>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</si>
  <si>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</si>
  <si>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</si>
  <si>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</si>
  <si>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</si>
  <si>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</si>
  <si>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</si>
  <si>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</si>
  <si>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</si>
  <si>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</si>
  <si>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</si>
  <si>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</si>
  <si>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</si>
  <si>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</si>
  <si>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</si>
  <si>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</si>
  <si>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</si>
  <si>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</si>
  <si>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</si>
  <si>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</si>
  <si>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</si>
  <si>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</si>
  <si>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</si>
  <si>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</si>
  <si>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</si>
  <si>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</si>
  <si>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</si>
  <si>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</si>
  <si>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</si>
  <si>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</si>
  <si>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</si>
  <si>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</si>
  <si>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</si>
  <si>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</si>
  <si>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</si>
  <si>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</si>
  <si>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</si>
  <si>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</si>
  <si>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</si>
  <si>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</si>
  <si>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</si>
  <si>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</si>
  <si>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</si>
  <si>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</si>
  <si>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</si>
  <si>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</si>
  <si>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</si>
  <si>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</si>
  <si>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</si>
  <si>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</si>
  <si>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</si>
  <si>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</si>
  <si>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</si>
  <si>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</si>
  <si>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</si>
  <si>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</si>
  <si>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</si>
  <si>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</si>
  <si>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</si>
  <si>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</si>
  <si>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</si>
  <si>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</si>
  <si>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</si>
  <si>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</si>
  <si>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</si>
  <si>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</si>
  <si>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</si>
  <si>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</si>
  <si>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</si>
  <si>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</si>
  <si>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</si>
  <si>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</si>
  <si>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</si>
  <si>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</si>
  <si>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</si>
  <si>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</si>
  <si>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</si>
  <si>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</si>
  <si>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</si>
  <si>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</si>
  <si>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</si>
  <si>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</si>
  <si>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>Daim Store</t>
  </si>
  <si>
    <t xml:space="preserve">Bread N Butter </t>
  </si>
  <si>
    <t xml:space="preserve">Mirch Mahal </t>
  </si>
  <si>
    <t>786 Store</t>
  </si>
  <si>
    <t>Qadri Store</t>
  </si>
  <si>
    <t>Ashrif Store</t>
  </si>
  <si>
    <t>Hadi Store</t>
  </si>
  <si>
    <t>Khawaja Store</t>
  </si>
  <si>
    <t>Address: Rifal Range Road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</si>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</sst>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29" workbookViewId="0">
      <selection activeCell="H36" sqref="H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46293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Daim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Bread N Butter </v>
      </c>
      <c r="T4" s="301">
        <f>+'2'!P35</f>
        <v>12544.846340338983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Mirch Mahal 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313.62115850847459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Qadri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Ashrif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Hadi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Khawaja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435.84000000000009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4821.4799999999996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29.255705084745763</v>
      </c>
      <c r="P11" s="311">
        <f t="shared" si="2"/>
        <v>5880.3967220338973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Usman Store</v>
      </c>
      <c r="T11" s="301">
        <f>+'9'!P35</f>
        <v>7666.3147507627118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135</v>
      </c>
      <c r="I12" s="236">
        <f t="shared" si="0"/>
        <v>9806.4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343.22400000000005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8678.6639999999989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1853.3898305084749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52.660269152542377</v>
      </c>
      <c r="P12" s="311">
        <f t="shared" si="2"/>
        <v>10584.714099661016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10.5</v>
      </c>
      <c r="H16" s="113">
        <f t="shared" ref="H16:M16" si="3">SUM(H7:H15)</f>
        <v>420</v>
      </c>
      <c r="I16" s="114">
        <f t="shared" si="3"/>
        <v>28087.5</v>
      </c>
      <c r="J16" s="274">
        <f>SUM(J7:J15)</f>
        <v>2247</v>
      </c>
      <c r="K16" s="275">
        <f t="shared" si="3"/>
        <v>983.06250000000011</v>
      </c>
      <c r="L16" s="276">
        <f t="shared" si="3"/>
        <v>0</v>
      </c>
      <c r="M16" s="232">
        <f t="shared" si="3"/>
        <v>24857.4375</v>
      </c>
      <c r="N16" s="233">
        <f>SUM(N7:N15)</f>
        <v>5308.4745762711864</v>
      </c>
      <c r="O16" s="101">
        <f>SUM(O7:O15)</f>
        <v>150.82956038135595</v>
      </c>
      <c r="P16" s="113">
        <f>SUM(P7:P15)</f>
        <v>30316.741636652543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28087.5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2247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983.06250000000011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24857.4375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5308.4745762711864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30165.912076271186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150.82956038135595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30316.741636652543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30316.741636652543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11622.4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929.79200000000003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406.78400000000005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10285.824000000001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12482.434169491526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5" t="s">
        <v>88</v>
      </c>
      <c r="O35" s="346"/>
      <c r="P35" s="297">
        <f>+P33+P34</f>
        <v>12544.846340338983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248.59100000000001</v>
      </c>
      <c r="L25" s="276">
        <f t="shared" si="7"/>
        <v>0</v>
      </c>
      <c r="M25" s="232">
        <f t="shared" si="7"/>
        <v>6285.8010000000013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2026-09-28T11:48:06Z</dcterms:modified>
</cp:coreProperties>
</file>