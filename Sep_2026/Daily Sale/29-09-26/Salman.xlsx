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B0DA798-A8DF-4886-8D06-BEE1AEA6CDC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67" l="1"/>
  <c r="O18" i="67" s="1"/>
  <c r="P18" i="67" s="1"/>
  <c r="M16" i="65"/>
  <c r="M16" i="60"/>
  <c r="M16" i="58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<sst xmlns="http://schemas.openxmlformats.org/spreadsheetml/2006/main" count="3948" uniqueCount="542">
  <si>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</si>
  <si>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</si>
  <si>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</si>
  <si>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</si>
  <si>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</si>
  <si>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</si>
  <si>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</si>
  <si>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</si>
  <si>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</si>
  <si>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</si>
  <si>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</si>
  <si>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</si>
  <si>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</si>
  <si>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</si>
  <si>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</si>
  <si>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</si>
  <si>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</si>
  <si>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</si>
  <si>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</si>
  <si>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</si>
  <si>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</si>
  <si>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</si>
  <si>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</si>
  <si>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</si>
  <si>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</si>
  <si>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</si>
  <si>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</si>
  <si>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</si>
  <si>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</si>
  <si>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</si>
  <si>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</si>
  <si>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</si>
  <si>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</si>
  <si>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</si>
  <si>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</si>
  <si>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</si>
  <si>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</si>
  <si>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</si>
  <si>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</si>
  <si>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</si>
  <si>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</si>
  <si>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</si>
  <si>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</si>
  <si>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</si>
  <si>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</si>
  <si>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</si>
  <si>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</si>
  <si>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</si>
  <si>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</si>
  <si>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</si>
  <si>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</si>
  <si>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</si>
  <si>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</si>
  <si>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</si>
  <si>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</si>
  <si>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</si>
  <si>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</si>
  <si>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</si>
  <si>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</si>
  <si>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</si>
  <si>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</si>
  <si>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</si>
  <si>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</si>
  <si>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</si>
  <si>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</si>
  <si>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</si>
  <si>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</si>
  <si>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</si>
  <si>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</si>
  <si>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</si>
  <si>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</si>
  <si>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</si>
  <si>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</si>
  <si>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</si>
  <si>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</si>
  <si>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</si>
  <si>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</si>
  <si>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</si>
  <si>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</si>
  <si>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</si>
  <si>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</si>
  <si>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</si>
  <si>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</si>
  <si>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</si>
  <si>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</si>
  <si>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</si>
  <si>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</si>
  <si>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</si>
  <si>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</si>
  <si>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</si>
  <si>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</si>
  <si>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</si>
  <si>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</si>
  <si>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</si>
  <si>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</si>
  <si>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</si>
  <si>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</si>
  <si>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</si>
  <si>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</si>
  <si>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</si>
  <si>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</si>
  <si>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</si>
  <si>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</si>
  <si>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</si>
  <si>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</si>
  <si>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</si>
  <si>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</si>
  <si>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</si>
  <si>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</si>
  <si>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</si>
  <si>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</si>
  <si>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</si>
  <si>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</si>
  <si>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</si>
  <si>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</si>
  <si>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</si>
  <si>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</si>
  <si>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</si>
  <si>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</si>
  <si>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</si>
  <si>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</si>
  <si>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</si>
  <si>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</si>
  <si>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</si>
  <si>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</si>
  <si>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</si>
  <si>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</si>
  <si>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</si>
  <si>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</si>
  <si>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</si>
  <si>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</si>
  <si>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</si>
  <si>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</si>
  <si>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</si>
  <si>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</si>
  <si>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</si>
  <si>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</si>
  <si>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</si>
  <si>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</si>
  <si>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</si>
  <si>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</si>
  <si>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</si>
  <si>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</si>
  <si>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</si>
  <si>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</si>
  <si>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</si>
  <si>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</si>
  <si>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</si>
  <si>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</si>
  <si>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</si>
  <si>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</si>
  <si>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</si>
  <si>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</si>
  <si>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</si>
  <si>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</si>
  <si>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</si>
  <si>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</si>
  <si>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</si>
  <si>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</si>
  <si>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</si>
  <si>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</si>
  <si>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</si>
  <si>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</si>
  <si>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</si>
  <si>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</si>
  <si>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</si>
  <si>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</si>
  <si>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</si>
  <si>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</si>
  <si>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</si>
  <si>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</si>
  <si>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</si>
  <si>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</si>
  <si>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</si>
  <si>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</si>
  <si>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</si>
  <si>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</si>
  <si>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</si>
  <si>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</si>
  <si>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</si>
  <si>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</si>
  <si>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</si>
  <si>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</si>
  <si>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</si>
  <si>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</si>
  <si>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</si>
  <si>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</si>
  <si>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</si>
  <si>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</si>
  <si>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</si>
  <si>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</si>
  <si>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</si>
  <si>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</si>
  <si>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</si>
  <si>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</si>
  <si>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</si>
  <si>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</si>
  <si>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</si>
  <si>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</si>
  <si>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</si>
  <si>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</si>
  <si>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</si>
  <si>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</si>
  <si>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</si>
  <si>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</si>
  <si>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</si>
  <si>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</si>
  <si>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</si>
  <si>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</si>
  <si>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</si>
  <si>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</si>
  <si>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</si>
  <si>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</si>
  <si>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</si>
  <si>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</si>
  <si>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</si>
  <si>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</si>
  <si>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</si>
  <si>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</si>
  <si>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</si>
  <si>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</si>
  <si>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</si>
  <si>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</si>
  <si>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</si>
  <si>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</si>
  <si>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</si>
  <si>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</si>
  <si>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</si>
  <si>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</si>
  <si>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</si>
  <si>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</si>
  <si>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</si>
  <si>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</si>
  <si>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</si>
  <si>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</si>
  <si>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</si>
  <si>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</si>
  <si>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</si>
  <si>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</si>
  <si>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</si>
  <si>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</si>
  <si>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</si>
  <si>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</si>
  <si>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</si>
  <si>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</si>
  <si>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</si>
  <si>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</si>
  <si>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</si>
  <si>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</si>
  <si>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</si>
  <si>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</si>
  <si>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</si>
  <si>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</si>
  <si>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</si>
  <si>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</si>
  <si>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</si>
  <si>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</si>
  <si>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</si>
  <si>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</si>
  <si>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</si>
  <si>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</si>
  <si>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</si>
  <si>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</si>
  <si>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</si>
  <si>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</si>
  <si>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</si>
  <si>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</si>
  <si>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</si>
  <si>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</si>
  <si>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</si>
  <si>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</si>
  <si>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</si>
  <si>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</si>
  <si>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</si>
  <si>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</si>
  <si>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</si>
  <si>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</si>
  <si>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</si>
  <si>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</si>
  <si>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</si>
  <si>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</si>
  <si>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</si>
  <si>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</si>
  <si>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</si>
  <si>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</si>
  <si>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</si>
  <si>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</si>
  <si>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</si>
  <si>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</si>
  <si>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</si>
  <si>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</si>
  <si>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</si>
  <si>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</si>
  <si>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</si>
  <si>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</si>
  <si>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</si>
  <si>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</si>
  <si>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</si>
  <si>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</si>
  <si>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</si>
  <si>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</si>
  <si>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</si>
  <si>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</si>
  <si>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</si>
  <si>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</si>
  <si>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</si>
  <si>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</si>
  <si>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</si>
  <si>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</si>
  <si>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</si>
  <si>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</si>
  <si>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</si>
  <si>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</si>
  <si>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</si>
  <si>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</si>
  <si>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</si>
  <si>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</si>
  <si>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</si>
  <si>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</si>
  <si>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</si>
  <si>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</si>
  <si>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</si>
  <si>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</si>
  <si>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</si>
  <si>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</si>
  <si>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</si>
  <si>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</si>
  <si>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</si>
  <si>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</si>
  <si>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</si>
  <si>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</si>
  <si>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</si>
  <si>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</si>
  <si>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</si>
  <si>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</si>
  <si>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</si>
  <si>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</si>
  <si>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</si>
  <si>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</si>
  <si>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</si>
  <si>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</si>
  <si>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</si>
  <si>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</si>
  <si>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</si>
  <si>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</si>
  <si>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</si>
  <si>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</si>
  <si>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</si>
  <si>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</si>
  <si>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</si>
  <si>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</si>
  <si>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</si>
  <si>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</si>
  <si>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</si>
  <si>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</si>
  <si>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</si>
  <si>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</si>
  <si>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</si>
  <si>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</si>
  <si>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</si>
  <si>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</si>
  <si>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</si>
  <si>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</si>
  <si>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</si>
  <si>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</si>
  <si>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</si>
  <si>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</si>
  <si>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</si>
  <si>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</si>
  <si>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</si>
  <si>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</si>
  <si>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</si>
  <si>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</si>
  <si>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</si>
  <si>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</si>
  <si>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</si>
  <si>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</si>
  <si>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</si>
  <si>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</si>
  <si>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</si>
  <si>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</si>
  <si>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</si>
  <si>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</si>
  <si>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</si>
  <si>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</si>
  <si>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</si>
  <si>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</si>
  <si>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</si>
  <si>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</si>
  <si>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</si>
  <si>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</si>
  <si>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</si>
  <si>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</si>
  <si>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</si>
  <si>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</si>
  <si>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</si>
  <si>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</si>
  <si>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</si>
  <si>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</si>
  <si>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</si>
  <si>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</si>
  <si>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</si>
  <si>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</si>
  <si>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</si>
  <si>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</si>
  <si>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</si>
  <si>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</si>
  <si>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</si>
  <si>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</si>
  <si>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</si>
  <si>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</si>
  <si>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</si>
  <si>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</si>
  <si>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</si>
  <si>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</si>
  <si>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</si>
  <si>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</si>
  <si>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</si>
  <si>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</si>
  <si>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</si>
  <si>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</si>
  <si>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</si>
  <si>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</si>
  <si>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</si>
  <si>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</si>
  <si>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</si>
  <si>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</si>
  <si>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</si>
  <si>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</si>
  <si>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</si>
  <si>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</si>
  <si>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</si>
  <si>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</si>
  <si>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</si>
  <si>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</si>
  <si>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</si>
  <si>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</si>
  <si>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</si>
  <si>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</si>
  <si>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</si>
  <si>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</si>
  <si>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</si>
  <si>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</si>
  <si>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</si>
  <si>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</si>
  <si>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</si>
  <si>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</si>
  <si>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</si>
  <si>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</si>
  <si>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</si>
  <si>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</si>
  <si>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</si>
  <si>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</si>
  <si>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</si>
  <si>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</si>
  <si>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</si>
  <si>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</si>
  <si>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</si>
  <si>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</si>
  <si>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</si>
  <si>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</si>
  <si>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</si>
  <si>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</si>
  <si>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</si>
  <si>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</si>
  <si>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</si>
  <si>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</si>
  <si>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</si>
  <si>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</si>
  <si>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</si>
  <si>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</si>
  <si>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</si>
  <si>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</si>
  <si>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</si>
  <si>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</si>
  <si>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</si>
  <si>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</si>
  <si>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</si>
  <si>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</si>
  <si>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</si>
  <si>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</si>
  <si>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</si>
  <si>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</si>
  <si>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</si>
  <si>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</si>
  <si>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</si>
  <si>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</si>
  <si>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</si>
  <si>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</si>
  <si>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</si>
  <si>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</si>
  <si>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</si>
  <si>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</si>
  <si>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</si>
  <si>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</si>
  <si>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</si>
  <si>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</si>
  <si>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</si>
  <si>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</si>
  <si>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</si>
  <si>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</si>
  <si>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</si>
  <si>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</si>
  <si>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</si>
  <si>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</si>
  <si>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</si>
  <si>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</si>
  <si>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</si>
  <si>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</si>
  <si>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</si>
  <si>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</si>
  <si>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</si>
  <si>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</si>
  <si>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Falcon Society </t>
  </si>
  <si>
    <t xml:space="preserve">Shaheen Bakers </t>
  </si>
  <si>
    <t>Lala G Super Store</t>
  </si>
  <si>
    <t>My Store</t>
  </si>
  <si>
    <t>Qazi Store</t>
  </si>
  <si>
    <t>Tahir Store</t>
  </si>
  <si>
    <t>Imran Store</t>
  </si>
  <si>
    <t>Mashallah Store</t>
  </si>
  <si>
    <t>Makkah store</t>
  </si>
  <si>
    <t>Ayub Store</t>
  </si>
  <si>
    <t>Rameez Store</t>
  </si>
  <si>
    <t>Bismillah Store</t>
  </si>
  <si>
    <t>Shah G Store</t>
  </si>
  <si>
    <t>Ali GS</t>
  </si>
  <si>
    <t>Fazal Store</t>
  </si>
  <si>
    <t>Bilal Store</t>
  </si>
  <si>
    <t>Kashif Store</t>
  </si>
  <si>
    <t>Munna GS</t>
  </si>
  <si>
    <t>Zarghan Store</t>
  </si>
  <si>
    <t>Iftakhar Store</t>
  </si>
  <si>
    <t>Manni Gs</t>
  </si>
  <si>
    <t>Rao Store</t>
  </si>
  <si>
    <t>Waseem Store</t>
  </si>
  <si>
    <t>Zeshan Store</t>
  </si>
  <si>
    <t>Ahmad Store</t>
  </si>
  <si>
    <t>Sohail Store</t>
  </si>
  <si>
    <t>Khuram Store</t>
  </si>
  <si>
    <t>Qadri Store</t>
  </si>
  <si>
    <t>Salman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</si>
</sst>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541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46294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Shaheen Bakers 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Lala G Super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My Store</v>
      </c>
      <c r="T5" s="301">
        <f>+'3'!P35</f>
        <v>5401.2631679237293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Qazi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55</v>
      </c>
      <c r="I7" s="235">
        <f>(G7*D7)*F7+H7*F7</f>
        <v>2885.4375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230.83500000000006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100.99031250000003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2553.6121874999999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545.33898305084745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15.494755852754237</v>
      </c>
      <c r="P7" s="310">
        <f>M7+N7+O7</f>
        <v>3114.4459264036018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Tahir Store</v>
      </c>
      <c r="T7" s="301">
        <f>+'5'!P35</f>
        <v>784.05289627118657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50</v>
      </c>
      <c r="I8" s="236">
        <f t="shared" ref="I8:I14" si="0">(G8*D8)*F8+H8*F8</f>
        <v>2623.125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91.809375000000017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2321.4656249999998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495.7627118644067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14.086141684322032</v>
      </c>
      <c r="P8" s="311">
        <f t="shared" ref="P8:P15" si="2">M8+N8+O8</f>
        <v>2831.3144785487289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Imran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95</v>
      </c>
      <c r="I9" s="236">
        <f t="shared" si="0"/>
        <v>4983.9375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398.71500000000009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174.43781250000004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4410.7846874999996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941.94915254237276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26.763669200211876</v>
      </c>
      <c r="P9" s="311">
        <f t="shared" si="2"/>
        <v>5379.4975092425839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Mashallah Store</v>
      </c>
      <c r="T9" s="301">
        <f>+'7'!P35</f>
        <v>784.05289627118657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95</v>
      </c>
      <c r="I10" s="236">
        <f t="shared" si="0"/>
        <v>6900.8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552.06400000000008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241.52800000000005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6107.2080000000005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1304.2372881355927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37.057226440677951</v>
      </c>
      <c r="P10" s="311">
        <f t="shared" si="2"/>
        <v>7448.502514576272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Makkah store</v>
      </c>
      <c r="T10" s="301">
        <f>+'8'!P35</f>
        <v>566.26289570974575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19.503803389830509</v>
      </c>
      <c r="P11" s="311">
        <f t="shared" si="2"/>
        <v>3920.2644813559323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Ayub Store</v>
      </c>
      <c r="T11" s="301">
        <f>+'9'!P35</f>
        <v>784.05289627118657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55</v>
      </c>
      <c r="I12" s="236">
        <f t="shared" si="0"/>
        <v>3995.2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319.61600000000004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139.83200000000002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3535.7519999999995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755.08474576271169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21.454183728813554</v>
      </c>
      <c r="P12" s="311">
        <f t="shared" si="2"/>
        <v>4312.2909294915244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Rameez Store</v>
      </c>
      <c r="T12" s="301">
        <f>+'10'!P35</f>
        <v>566.26289570974575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Bismillah Store</v>
      </c>
      <c r="T13" s="301">
        <f>+'11'!P35</f>
        <v>566.26289570974575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Shah G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Ali GS</v>
      </c>
      <c r="T15" s="301">
        <f>+'13'!P35</f>
        <v>566.26289570974575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10</v>
      </c>
      <c r="H16" s="113">
        <f t="shared" ref="H16:M16" si="3">SUM(H7:H15)</f>
        <v>400</v>
      </c>
      <c r="I16" s="114">
        <f t="shared" si="3"/>
        <v>25020.5</v>
      </c>
      <c r="J16" s="274">
        <f>SUM(J7:J15)</f>
        <v>2001.6400000000003</v>
      </c>
      <c r="K16" s="275">
        <f t="shared" si="3"/>
        <v>875.71750000000009</v>
      </c>
      <c r="L16" s="276">
        <f t="shared" si="3"/>
        <v>0</v>
      </c>
      <c r="M16" s="232">
        <f t="shared" si="3"/>
        <v>22143.142500000002</v>
      </c>
      <c r="N16" s="233">
        <f>SUM(N7:N15)</f>
        <v>4728.8135593220331</v>
      </c>
      <c r="O16" s="101">
        <f>SUM(O7:O15)</f>
        <v>134.35978029661015</v>
      </c>
      <c r="P16" s="113">
        <f>SUM(P7:P15)</f>
        <v>27006.315839618641</v>
      </c>
      <c r="Q16" s="128">
        <f>SUM(Q7:Q15)</f>
        <v>0</v>
      </c>
      <c r="R16" s="313">
        <v>14</v>
      </c>
      <c r="S16" s="315" t="str">
        <f>+'14'!A6:A6</f>
        <v>Fazal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Bilal Store</v>
      </c>
      <c r="T17" s="301">
        <f>+'15'!P35</f>
        <v>566.26289570974575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Kashif Store</v>
      </c>
      <c r="T18" s="301">
        <f>+'16'!P35</f>
        <v>784.05289627118657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25020.5</v>
      </c>
      <c r="R19" s="299">
        <v>17</v>
      </c>
      <c r="S19" s="300" t="str">
        <f>+'17'!A6:A6</f>
        <v>Munna GS</v>
      </c>
      <c r="T19" s="301">
        <f>+'17'!P35</f>
        <v>566.26289570974575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2001.6400000000003</v>
      </c>
      <c r="R20" s="299">
        <v>18</v>
      </c>
      <c r="S20" s="300" t="str">
        <f>+'18'!A6:A6</f>
        <v>Zarghan Store</v>
      </c>
      <c r="T20" s="301">
        <f>+'18'!P35</f>
        <v>784.05289627118657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875.71750000000009</v>
      </c>
      <c r="R21" s="299">
        <v>19</v>
      </c>
      <c r="S21" s="300" t="str">
        <f>+'19'!A6:A6</f>
        <v>Iftakhar Store</v>
      </c>
      <c r="T21" s="301">
        <f>+'19'!P35</f>
        <v>566.26289570974575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22143.142500000002</v>
      </c>
      <c r="R22" s="299">
        <v>20</v>
      </c>
      <c r="S22" s="300" t="str">
        <f>+'20'!A6:A6</f>
        <v>Manni Gs</v>
      </c>
      <c r="T22" s="301">
        <f>+'20'!P35</f>
        <v>784.05289627118646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4728.8135593220331</v>
      </c>
      <c r="R23" s="299">
        <v>21</v>
      </c>
      <c r="S23" s="300" t="str">
        <f>+'21'!A6:A6</f>
        <v>Rao Store</v>
      </c>
      <c r="T23" s="301">
        <f>+'21'!P35</f>
        <v>566.26289570974575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26871.956059322034</v>
      </c>
      <c r="R24" s="299">
        <v>22</v>
      </c>
      <c r="S24" s="300" t="str">
        <f>+'22'!A6:A6</f>
        <v>Waseem Store</v>
      </c>
      <c r="T24" s="301">
        <f>+'22'!P35</f>
        <v>784.05289627118657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134.35978029661015</v>
      </c>
      <c r="R25" s="299">
        <v>23</v>
      </c>
      <c r="S25" s="300" t="str">
        <f>+'23'!A6:A6</f>
        <v>Zeshan Store</v>
      </c>
      <c r="T25" s="301">
        <f>+'23'!P35</f>
        <v>566.26289570974575</v>
      </c>
    </row>
    <row r="26" spans="1:20" ht="21.75" customHeight="1" thickBot="1" x14ac:dyDescent="0.4">
      <c r="N26" s="374" t="s">
        <v>88</v>
      </c>
      <c r="O26" s="375"/>
      <c r="P26" s="297">
        <f>+P24+P25</f>
        <v>27006.315839618645</v>
      </c>
      <c r="R26" s="299">
        <v>24</v>
      </c>
      <c r="S26" s="300" t="str">
        <f>+'24'!A6:A6</f>
        <v>Ahmad Store</v>
      </c>
      <c r="T26" s="301">
        <f>+'24'!P35</f>
        <v>784.05289627118657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Sohail Store</v>
      </c>
      <c r="T27" s="301">
        <f>+'25'!P35</f>
        <v>566.26289570974575</v>
      </c>
    </row>
    <row r="28" spans="1:20" ht="21.75" customHeight="1" x14ac:dyDescent="0.35">
      <c r="R28" s="299">
        <v>26</v>
      </c>
      <c r="S28" s="300" t="str">
        <f>+'26'!A6:A6</f>
        <v>Khuram Store</v>
      </c>
      <c r="T28" s="301">
        <f>+'26'!P35</f>
        <v>784.05289627118646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Qadri Store</v>
      </c>
      <c r="T29" s="301">
        <f>+'27'!P35</f>
        <v>784.05289627118657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27006.315839618637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73.447500000000019</v>
      </c>
      <c r="L25" s="276">
        <f t="shared" si="10"/>
        <v>0</v>
      </c>
      <c r="M25" s="232">
        <f t="shared" si="10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232.44799999999998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8.7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464.29312499999997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726.40000000000009</v>
      </c>
      <c r="J25" s="274">
        <f>SUM(J16:J24)</f>
        <v>58.112000000000009</v>
      </c>
      <c r="K25" s="275">
        <f t="shared" si="7"/>
        <v>25.423999999999999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726.40000000000009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25.423999999999999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642.86400000000015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780.15213559322046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3.9007606779661024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784.05289627118657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119">
        <f t="shared" si="5"/>
        <v>113.25257914194913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464.29312499999992</v>
      </c>
      <c r="N25" s="233">
        <f>SUM(N16:N24)</f>
        <v>99.152542372881314</v>
      </c>
      <c r="O25" s="101">
        <f>SUM(O16:O24)</f>
        <v>2.8172283368644062</v>
      </c>
      <c r="P25" s="234">
        <f>SUM(P16:P24)</f>
        <v>566.26289570974564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726.40000000000009</v>
      </c>
      <c r="J25" s="274">
        <f>SUM(J16:J24)</f>
        <v>58.112000000000009</v>
      </c>
      <c r="K25" s="275">
        <f t="shared" si="7"/>
        <v>25.423999999999999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726.40000000000009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25.423999999999999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642.86400000000015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780.15213559322046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3.9007606779661024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784.05289627118657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464.29312499999997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726.40000000000009</v>
      </c>
      <c r="J25" s="274">
        <f>SUM(J16:J24)</f>
        <v>58.112000000000009</v>
      </c>
      <c r="K25" s="275">
        <f t="shared" si="7"/>
        <v>25.423999999999999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726.40000000000009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25.423999999999999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642.86400000000015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780.15213559322046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3.9007606779661024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784.05289627118657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119">
        <f t="shared" si="5"/>
        <v>113.25257914194913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464.29312499999992</v>
      </c>
      <c r="N25" s="233">
        <f>SUM(N16:N24)</f>
        <v>99.152542372881314</v>
      </c>
      <c r="O25" s="101">
        <f>SUM(O16:O24)</f>
        <v>2.8172283368644062</v>
      </c>
      <c r="P25" s="234">
        <f>SUM(P16:P24)</f>
        <v>566.26289570974564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464.29312499999997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464.29312499999997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6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464.29312499999997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726.40000000000009</v>
      </c>
      <c r="J25" s="274">
        <f>SUM(J16:J24)</f>
        <v>58.112000000000009</v>
      </c>
      <c r="K25" s="275">
        <f t="shared" si="7"/>
        <v>25.423999999999999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726.40000000000009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25.423999999999999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642.86400000000015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780.15213559322046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3.9007606779661024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784.05289627118657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4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119">
        <f t="shared" si="5"/>
        <v>113.25257914194913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464.29312499999992</v>
      </c>
      <c r="N25" s="233">
        <f>SUM(N16:N24)</f>
        <v>99.152542372881314</v>
      </c>
      <c r="O25" s="101">
        <f>SUM(O16:O24)</f>
        <v>2.8172283368644062</v>
      </c>
      <c r="P25" s="234">
        <f>SUM(P16:P24)</f>
        <v>566.26289570974564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726.40000000000009</v>
      </c>
      <c r="J25" s="274">
        <f>SUM(J16:J24)</f>
        <v>58.112000000000009</v>
      </c>
      <c r="K25" s="275">
        <f t="shared" si="7"/>
        <v>25.423999999999999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726.40000000000009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25.423999999999999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642.86400000000015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780.15213559322046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3.9007606779661024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784.05289627118657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6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464.29312499999997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8.7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</v>
      </c>
      <c r="I18" s="236">
        <f t="shared" si="0"/>
        <v>104.925</v>
      </c>
      <c r="J18" s="272">
        <f t="shared" si="1"/>
        <v>8.3940000000000001</v>
      </c>
      <c r="K18" s="128">
        <f t="shared" si="1"/>
        <v>3.6723750000000002</v>
      </c>
      <c r="L18" s="119">
        <f t="shared" si="1"/>
        <v>0</v>
      </c>
      <c r="M18" s="230">
        <f t="shared" si="2"/>
        <v>92.858624999999989</v>
      </c>
      <c r="N18" s="277">
        <f t="shared" si="3"/>
        <v>19.830508474576263</v>
      </c>
      <c r="O18" s="239">
        <f t="shared" si="4"/>
        <v>0.56344566737288126</v>
      </c>
      <c r="P18" s="119">
        <f t="shared" si="5"/>
        <v>113.25257914194913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464.29312499999992</v>
      </c>
      <c r="N25" s="233">
        <f>SUM(N16:N24)</f>
        <v>99.152542372881314</v>
      </c>
      <c r="O25" s="101">
        <f>SUM(O16:O24)</f>
        <v>2.8172283368644062</v>
      </c>
      <c r="P25" s="234">
        <f>SUM(P16:P24)</f>
        <v>566.26289570974564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7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726.40000000000009</v>
      </c>
      <c r="J25" s="274">
        <f>SUM(J16:J24)</f>
        <v>58.112000000000009</v>
      </c>
      <c r="K25" s="275">
        <f t="shared" si="7"/>
        <v>25.423999999999999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726.40000000000009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25.423999999999999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642.86400000000015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780.15213559322046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3.9007606779661024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784.05289627118657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4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</v>
      </c>
      <c r="I16" s="235">
        <f>(G16*D16)*F16+H16*F16</f>
        <v>104.925</v>
      </c>
      <c r="J16" s="271">
        <f>$I16*S16</f>
        <v>8.3940000000000001</v>
      </c>
      <c r="K16" s="127">
        <f>$I16*T16</f>
        <v>3.6723750000000002</v>
      </c>
      <c r="L16" s="118">
        <f>$I16*U16</f>
        <v>0</v>
      </c>
      <c r="M16" s="229">
        <f>I16-SUM(J16:L16)</f>
        <v>92.858624999999989</v>
      </c>
      <c r="N16" s="248">
        <f>+(G16*D16+H16)*V16</f>
        <v>19.830508474576263</v>
      </c>
      <c r="O16" s="238">
        <f>(N16+M16)*$O$15</f>
        <v>0.56344566737288126</v>
      </c>
      <c r="P16" s="118">
        <f>M16+N16+O16</f>
        <v>113.25257914194913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464.29312499999997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6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726.40000000000009</v>
      </c>
      <c r="J25" s="274">
        <f>SUM(J16:J24)</f>
        <v>58.112000000000009</v>
      </c>
      <c r="K25" s="275">
        <f t="shared" si="7"/>
        <v>25.423999999999999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726.40000000000009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25.423999999999999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642.86400000000015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780.15213559322046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3.9007606779661024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784.05289627118657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464.29312499999997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539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7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540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726.40000000000009</v>
      </c>
      <c r="J25" s="274">
        <f>SUM(J16:J24)</f>
        <v>58.112000000000009</v>
      </c>
      <c r="K25" s="275">
        <f t="shared" si="7"/>
        <v>25.423999999999999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726.40000000000009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25.423999999999999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642.86400000000015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780.15213559322046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3.9007606779661024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784.05289627118657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46294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46293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2026-09-28T11:23:25Z</dcterms:modified>
</cp:coreProperties>
</file>