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B89A27E-F906-4E83-B771-57E9BE9BB8A9}" xr6:coauthVersionLast="47" xr6:coauthVersionMax="47" xr10:uidLastSave="{00000000-0000-0000-0000-000000000000}"/>
  <bookViews>
    <workbookView xWindow="-110" yWindow="-110" windowWidth="19420" windowHeight="10420" tabRatio="948" firstSheet="3" activeTab="1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 s="1"/>
  <c r="O24" i="66" s="1"/>
  <c r="P24" i="66" s="1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61" l="1"/>
  <c r="O20" i="61" s="1"/>
  <c r="P20" i="61" s="1"/>
  <c r="R20" i="61" s="1"/>
  <c r="M24" i="72"/>
  <c r="M23" i="72"/>
  <c r="O23" i="72" s="1"/>
  <c r="P23" i="72" s="1"/>
  <c r="M24" i="63"/>
  <c r="O24" i="63" s="1"/>
  <c r="P24" i="63" s="1"/>
  <c r="J15" i="62"/>
  <c r="M16" i="72"/>
  <c r="M24" i="58"/>
  <c r="M23" i="61"/>
  <c r="O23" i="61" s="1"/>
  <c r="P23" i="61" s="1"/>
  <c r="M22" i="70"/>
  <c r="J7" i="62"/>
  <c r="K12" i="62"/>
  <c r="K15" i="62"/>
  <c r="J25" i="61"/>
  <c r="P29" i="61" s="1"/>
  <c r="M22" i="64"/>
  <c r="O22" i="64" s="1"/>
  <c r="P22" i="64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4" i="65"/>
  <c r="O24" i="65" s="1"/>
  <c r="P24" i="65" s="1"/>
  <c r="M21" i="69"/>
  <c r="O21" i="69" s="1"/>
  <c r="P21" i="69" s="1"/>
  <c r="M17" i="72"/>
  <c r="O17" i="72" s="1"/>
  <c r="P17" i="72" s="1"/>
  <c r="M16" i="64"/>
  <c r="M17" i="60"/>
  <c r="O17" i="60" s="1"/>
  <c r="P17" i="60" s="1"/>
  <c r="M24" i="71"/>
  <c r="M16" i="66"/>
  <c r="O16" i="66" s="1"/>
  <c r="M20" i="70"/>
  <c r="O20" i="70" s="1"/>
  <c r="P20" i="70" s="1"/>
  <c r="R20" i="70" s="1"/>
  <c r="M22" i="63"/>
  <c r="O22" i="63" s="1"/>
  <c r="P22" i="63" s="1"/>
  <c r="M23" i="60"/>
  <c r="M23" i="58"/>
  <c r="O23" i="58" s="1"/>
  <c r="P23" i="58" s="1"/>
  <c r="M23" i="64"/>
  <c r="O23" i="64" s="1"/>
  <c r="P23" i="64" s="1"/>
  <c r="M23" i="59"/>
  <c r="M23" i="65"/>
  <c r="M23" i="66"/>
  <c r="O23" i="66" s="1"/>
  <c r="P23" i="66" s="1"/>
  <c r="M23" i="69"/>
  <c r="O23" i="69" s="1"/>
  <c r="P23" i="69" s="1"/>
  <c r="M21" i="68"/>
  <c r="O21" i="68" s="1"/>
  <c r="P21" i="68" s="1"/>
  <c r="M21" i="51"/>
  <c r="M18" i="67"/>
  <c r="O18" i="67" s="1"/>
  <c r="P18" i="67" s="1"/>
  <c r="M16" i="65"/>
  <c r="M16" i="60"/>
  <c r="M16" i="58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4" i="71"/>
  <c r="P24" i="71" s="1"/>
  <c r="O23" i="59"/>
  <c r="P23" i="5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1" i="50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<sst xmlns="http://schemas.openxmlformats.org/spreadsheetml/2006/main" count="3948" uniqueCount="542">
  <si>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</si>
  <si>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</si>
  <si>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</si>
  <si>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</si>
  <si>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</si>
  <si>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</si>
  <si>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</si>
  <si>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</si>
  <si>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</si>
  <si>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</si>
  <si>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</si>
  <si>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</si>
  <si>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</si>
  <si>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</si>
  <si>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</si>
  <si>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</si>
  <si>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</si>
  <si>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</si>
  <si>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</si>
  <si>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</si>
  <si>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</si>
  <si>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</si>
  <si>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</si>
  <si>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</si>
  <si>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</si>
  <si>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</si>
  <si>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</si>
  <si>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</si>
  <si>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</si>
  <si>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</si>
  <si>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</si>
  <si>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</si>
  <si>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</si>
  <si>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</si>
  <si>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</si>
  <si>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</si>
  <si>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</si>
  <si>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</si>
  <si>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</si>
  <si>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</si>
  <si>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</si>
  <si>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</si>
  <si>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</si>
  <si>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</si>
  <si>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</si>
  <si>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</si>
  <si>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</si>
  <si>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</si>
  <si>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</si>
  <si>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</si>
  <si>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</si>
  <si>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</si>
  <si>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</si>
  <si>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</si>
  <si>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</si>
  <si>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</si>
  <si>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</si>
  <si>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</si>
  <si>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</si>
  <si>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</si>
  <si>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</si>
  <si>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</si>
  <si>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</si>
  <si>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</si>
  <si>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</si>
  <si>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</si>
  <si>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</si>
  <si>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</si>
  <si>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</si>
  <si>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</si>
  <si>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</si>
  <si>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</si>
  <si>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</si>
  <si>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</si>
  <si>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</si>
  <si>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</si>
  <si>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</si>
  <si>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</si>
  <si>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</si>
  <si>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</si>
  <si>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</si>
  <si>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</si>
  <si>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</si>
  <si>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</si>
  <si>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</si>
  <si>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</si>
  <si>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</si>
  <si>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</si>
  <si>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</si>
  <si>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</si>
  <si>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</si>
  <si>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</si>
  <si>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</si>
  <si>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</si>
  <si>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</si>
  <si>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</si>
  <si>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</si>
  <si>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</si>
  <si>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</si>
  <si>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</si>
  <si>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</si>
  <si>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</si>
  <si>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</si>
  <si>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</si>
  <si>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</si>
  <si>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</si>
  <si>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</si>
  <si>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</si>
  <si>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</si>
  <si>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</si>
  <si>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</si>
  <si>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</si>
  <si>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</si>
  <si>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</si>
  <si>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</si>
  <si>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</si>
  <si>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</si>
  <si>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</si>
  <si>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</si>
  <si>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</si>
  <si>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</si>
  <si>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</si>
  <si>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</si>
  <si>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</si>
  <si>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</si>
  <si>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</si>
  <si>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</si>
  <si>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</si>
  <si>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</si>
  <si>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</si>
  <si>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</si>
  <si>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</si>
  <si>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</si>
  <si>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</si>
  <si>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</si>
  <si>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</si>
  <si>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</si>
  <si>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</si>
  <si>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</si>
  <si>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</si>
  <si>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</si>
  <si>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</si>
  <si>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</si>
  <si>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</si>
  <si>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</si>
  <si>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</si>
  <si>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</si>
  <si>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</si>
  <si>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</si>
  <si>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</si>
  <si>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</si>
  <si>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</si>
  <si>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</si>
  <si>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</si>
  <si>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</si>
  <si>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</si>
  <si>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</si>
  <si>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</si>
  <si>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</si>
  <si>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</si>
  <si>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</si>
  <si>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</si>
  <si>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</si>
  <si>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</si>
  <si>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</si>
  <si>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</si>
  <si>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</si>
  <si>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</si>
  <si>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</si>
  <si>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</si>
  <si>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</si>
  <si>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</si>
  <si>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</si>
  <si>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</si>
  <si>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</si>
  <si>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</si>
  <si>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</si>
  <si>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</si>
  <si>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</si>
  <si>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</si>
  <si>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</si>
  <si>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</si>
  <si>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</si>
  <si>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</si>
  <si>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</si>
  <si>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</si>
  <si>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</si>
  <si>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</si>
  <si>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</si>
  <si>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</si>
  <si>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</si>
  <si>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</si>
  <si>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</si>
  <si>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</si>
  <si>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</si>
  <si>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</si>
  <si>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</si>
  <si>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</si>
  <si>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</si>
  <si>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</si>
  <si>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</si>
  <si>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</si>
  <si>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</si>
  <si>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</si>
  <si>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</si>
  <si>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</si>
  <si>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</si>
  <si>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</si>
  <si>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</si>
  <si>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</si>
  <si>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</si>
  <si>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</si>
  <si>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</si>
  <si>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</si>
  <si>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</si>
  <si>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</si>
  <si>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</si>
  <si>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</si>
  <si>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</si>
  <si>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</si>
  <si>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</si>
  <si>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</si>
  <si>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</si>
  <si>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</si>
  <si>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</si>
  <si>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</si>
  <si>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</si>
  <si>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</si>
  <si>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</si>
  <si>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</si>
  <si>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</si>
  <si>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</si>
  <si>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</si>
  <si>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</si>
  <si>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</si>
  <si>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</si>
  <si>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</si>
  <si>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</si>
  <si>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</si>
  <si>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</si>
  <si>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</si>
  <si>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</si>
  <si>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</si>
  <si>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</si>
  <si>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</si>
  <si>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</si>
  <si>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</si>
  <si>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</si>
  <si>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</si>
  <si>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</si>
  <si>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</si>
  <si>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</si>
  <si>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</si>
  <si>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</si>
  <si>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</si>
  <si>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</si>
  <si>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</si>
  <si>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</si>
  <si>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</si>
  <si>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</si>
  <si>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</si>
  <si>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</si>
  <si>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</si>
  <si>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</si>
  <si>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</si>
  <si>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</si>
  <si>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</si>
  <si>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</si>
  <si>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</si>
  <si>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</si>
  <si>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</si>
  <si>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</si>
  <si>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</si>
  <si>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</si>
  <si>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</si>
  <si>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</si>
  <si>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</si>
  <si>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</si>
  <si>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</si>
  <si>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</si>
  <si>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</si>
  <si>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</si>
  <si>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</si>
  <si>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</si>
  <si>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</si>
  <si>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</si>
  <si>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</si>
  <si>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</si>
  <si>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</si>
  <si>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</si>
  <si>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</si>
  <si>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</si>
  <si>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</si>
  <si>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</si>
  <si>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</si>
  <si>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</si>
  <si>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</si>
  <si>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</si>
  <si>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</si>
  <si>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</si>
  <si>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</si>
  <si>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</si>
  <si>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</si>
  <si>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</si>
  <si>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</si>
  <si>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</si>
  <si>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</si>
  <si>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</si>
  <si>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</si>
  <si>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</si>
  <si>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</si>
  <si>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</si>
  <si>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</si>
  <si>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</si>
  <si>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</si>
  <si>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</si>
  <si>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</si>
  <si>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</si>
  <si>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</si>
  <si>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</si>
  <si>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</si>
  <si>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</si>
  <si>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</si>
  <si>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</si>
  <si>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</si>
  <si>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</si>
  <si>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</si>
  <si>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</si>
  <si>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</si>
  <si>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</si>
  <si>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</si>
  <si>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</si>
  <si>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</si>
  <si>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</si>
  <si>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</si>
  <si>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</si>
  <si>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</si>
  <si>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</si>
  <si>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</si>
  <si>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</si>
  <si>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</si>
  <si>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</si>
  <si>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</si>
  <si>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</si>
  <si>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</si>
  <si>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</si>
  <si>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</si>
  <si>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</si>
  <si>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</si>
  <si>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</si>
  <si>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</si>
  <si>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</si>
  <si>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</si>
  <si>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</si>
  <si>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</si>
  <si>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</si>
  <si>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</si>
  <si>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</si>
  <si>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</si>
  <si>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</si>
  <si>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</si>
  <si>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</si>
  <si>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</si>
  <si>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</si>
  <si>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</si>
  <si>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</si>
  <si>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</si>
  <si>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</si>
  <si>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</si>
  <si>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</si>
  <si>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</si>
  <si>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</si>
  <si>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</si>
  <si>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</si>
  <si>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</si>
  <si>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</si>
  <si>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</si>
  <si>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</si>
  <si>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</si>
  <si>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</si>
  <si>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</si>
  <si>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</si>
  <si>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</si>
  <si>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</si>
  <si>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</si>
  <si>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</si>
  <si>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</si>
  <si>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</si>
  <si>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</si>
  <si>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</si>
  <si>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</si>
  <si>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</si>
  <si>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</si>
  <si>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</si>
  <si>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</si>
  <si>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</si>
  <si>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</si>
  <si>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</si>
  <si>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</si>
  <si>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</si>
  <si>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</si>
  <si>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</si>
  <si>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</si>
  <si>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</si>
  <si>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</si>
  <si>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</si>
  <si>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</si>
  <si>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</si>
  <si>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</si>
  <si>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</si>
  <si>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</si>
  <si>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</si>
  <si>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</si>
  <si>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</si>
  <si>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</si>
  <si>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</si>
  <si>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</si>
  <si>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</si>
  <si>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</si>
  <si>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</si>
  <si>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</si>
  <si>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</si>
  <si>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</si>
  <si>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</si>
  <si>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</si>
  <si>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</si>
  <si>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</si>
  <si>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</si>
  <si>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</si>
  <si>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</si>
  <si>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</si>
  <si>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</si>
  <si>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</si>
  <si>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</si>
  <si>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</si>
  <si>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</si>
  <si>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</si>
  <si>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</si>
  <si>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</si>
  <si>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</si>
  <si>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</si>
  <si>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</si>
  <si>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</si>
  <si>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</si>
  <si>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</si>
  <si>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</si>
  <si>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</si>
  <si>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</si>
  <si>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</si>
  <si>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</si>
  <si>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</si>
  <si>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</si>
  <si>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</si>
  <si>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</si>
  <si>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</si>
  <si>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</si>
  <si>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</si>
  <si>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</si>
  <si>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</si>
  <si>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</si>
  <si>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</si>
  <si>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</si>
  <si>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</si>
  <si>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</si>
  <si>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</si>
  <si>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</si>
  <si>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</si>
  <si>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</si>
  <si>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</si>
  <si>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</si>
  <si>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</si>
  <si>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</si>
  <si>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</si>
  <si>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</si>
  <si>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</si>
  <si>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</si>
  <si>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</si>
  <si>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</si>
  <si>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</si>
  <si>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</si>
  <si>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</si>
  <si>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</si>
  <si>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</si>
  <si>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</si>
  <si>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</si>
  <si>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</si>
  <si>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</si>
  <si>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</si>
  <si>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</si>
  <si>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</si>
  <si>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</si>
  <si>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</si>
  <si>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</si>
  <si>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</si>
  <si>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</si>
  <si>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</si>
  <si>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</si>
  <si>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</si>
  <si>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</si>
  <si>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</si>
  <si>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</si>
  <si>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</si>
  <si>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</si>
  <si>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</si>
  <si>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</si>
  <si>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</si>
  <si>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</si>
  <si>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</si>
  <si>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</si>
  <si>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</si>
  <si>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</si>
  <si>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</si>
  <si>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</si>
  <si>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Falcon Society </t>
  </si>
  <si>
    <t xml:space="preserve">Shaheen Bakers </t>
  </si>
  <si>
    <t>Lala G Super Store</t>
  </si>
  <si>
    <t>My Store</t>
  </si>
  <si>
    <t>Qazi Store</t>
  </si>
  <si>
    <t>Tahir Store</t>
  </si>
  <si>
    <t>Imran Store</t>
  </si>
  <si>
    <t>Mashallah Store</t>
  </si>
  <si>
    <t>Makkah store</t>
  </si>
  <si>
    <t>Ayub Store</t>
  </si>
  <si>
    <t>Rameez Store</t>
  </si>
  <si>
    <t>Bismillah Store</t>
  </si>
  <si>
    <t>Shah G Store</t>
  </si>
  <si>
    <t>Ali GS</t>
  </si>
  <si>
    <t>Fazal Store</t>
  </si>
  <si>
    <t>Bilal Store</t>
  </si>
  <si>
    <t>Kashif Store</t>
  </si>
  <si>
    <t>Munna GS</t>
  </si>
  <si>
    <t>Zarghan Store</t>
  </si>
  <si>
    <t>Iftakhar Store</t>
  </si>
  <si>
    <t>Manni Gs</t>
  </si>
  <si>
    <t>Rao Store</t>
  </si>
  <si>
    <t>Waseem Store</t>
  </si>
  <si>
    <t>Zeshan Store</t>
  </si>
  <si>
    <t>Ahmad Store</t>
  </si>
  <si>
    <t>Sohail Store</t>
  </si>
  <si>
    <t>Khuram Store</t>
  </si>
  <si>
    <t>Qadri Store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</si>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</sst>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C1" workbookViewId="0">
      <selection activeCell="R2" sqref="R2:T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541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Shaheen Bakers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Lala G Super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My Store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Qazi Store</v>
      </c>
      <c r="T6" s="301">
        <f>+'4'!P35</f>
        <v>1132.5257914194915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Tahir Store</v>
      </c>
      <c r="T7" s="301">
        <f>+'5'!P35</f>
        <v>1132.5257914194915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91.809375000000017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1132.5257914194915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398.71499999999997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4410.7846874999996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26.763669200211865</v>
      </c>
      <c r="P9" s="311">
        <f t="shared" si="2"/>
        <v>5379.4975092425839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Mashallah Store</v>
      </c>
      <c r="T9" s="301">
        <f>+'7'!P35</f>
        <v>1132.5257914194915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Makkah store</v>
      </c>
      <c r="T10" s="301">
        <f>+'8'!P35</f>
        <v>1132.5257914194915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Ayub Store</v>
      </c>
      <c r="T11" s="301">
        <f>+'9'!P35</f>
        <v>1132.5257914194915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Rameez Store</v>
      </c>
      <c r="T12" s="301">
        <f>+'10'!P35</f>
        <v>1568.1057925423729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Bismillah Store</v>
      </c>
      <c r="T13" s="301">
        <f>+'11'!P35</f>
        <v>1568.1057925423729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Shah G Store</v>
      </c>
      <c r="T14" s="301">
        <f>+'12'!P35</f>
        <v>1568.1057925423729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Ali GS</v>
      </c>
      <c r="T15" s="301">
        <f>+'13'!P35</f>
        <v>1568.1057925423729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</v>
      </c>
      <c r="H16" s="113">
        <f t="shared" ref="H16:M16" si="3">SUM(H7:H15)</f>
        <v>400</v>
      </c>
      <c r="I16" s="114">
        <f t="shared" si="3"/>
        <v>25020.5</v>
      </c>
      <c r="J16" s="274">
        <f>SUM(J7:J15)</f>
        <v>2001.6399999999999</v>
      </c>
      <c r="K16" s="275">
        <f t="shared" si="3"/>
        <v>875.71750000000009</v>
      </c>
      <c r="L16" s="276">
        <f t="shared" si="3"/>
        <v>0</v>
      </c>
      <c r="M16" s="232">
        <f t="shared" si="3"/>
        <v>22143.142500000002</v>
      </c>
      <c r="N16" s="233">
        <f>SUM(N7:N15)</f>
        <v>4728.8135593220331</v>
      </c>
      <c r="O16" s="101">
        <f>SUM(O7:O15)</f>
        <v>134.35978029661015</v>
      </c>
      <c r="P16" s="113">
        <f>SUM(P7:P15)</f>
        <v>27006.315839618645</v>
      </c>
      <c r="Q16" s="128">
        <f>SUM(Q7:Q15)</f>
        <v>0</v>
      </c>
      <c r="R16" s="313">
        <v>14</v>
      </c>
      <c r="S16" s="315" t="str">
        <f>+'14'!A6:A6</f>
        <v>Fazal Store</v>
      </c>
      <c r="T16" s="301">
        <f>+'14'!P35</f>
        <v>1568.1057925423729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1568.1057925423729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Kashif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25020.5</v>
      </c>
      <c r="R19" s="299">
        <v>17</v>
      </c>
      <c r="S19" s="300" t="str">
        <f>+'17'!A6:A6</f>
        <v>Munna GS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2001.6399999999999</v>
      </c>
      <c r="R20" s="299">
        <v>18</v>
      </c>
      <c r="S20" s="300" t="str">
        <f>+'18'!A6:A6</f>
        <v>Zarghan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875.71750000000009</v>
      </c>
      <c r="R21" s="299">
        <v>19</v>
      </c>
      <c r="S21" s="300" t="str">
        <f>+'19'!A6:A6</f>
        <v>Iftakhar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22143.142500000002</v>
      </c>
      <c r="R22" s="299">
        <v>20</v>
      </c>
      <c r="S22" s="300" t="str">
        <f>+'20'!A6:A6</f>
        <v>Manni Gs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4728.8135593220331</v>
      </c>
      <c r="R23" s="299">
        <v>21</v>
      </c>
      <c r="S23" s="300" t="str">
        <f>+'21'!A6:A6</f>
        <v>Rao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26871.956059322034</v>
      </c>
      <c r="R24" s="299">
        <v>22</v>
      </c>
      <c r="S24" s="300" t="str">
        <f>+'22'!A6:A6</f>
        <v>Waseem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134.35978029661015</v>
      </c>
      <c r="R25" s="299">
        <v>23</v>
      </c>
      <c r="S25" s="300" t="str">
        <f>+'23'!A6:A6</f>
        <v>Zeshan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27006.315839618645</v>
      </c>
      <c r="R26" s="299">
        <v>24</v>
      </c>
      <c r="S26" s="300" t="str">
        <f>+'24'!A6:A6</f>
        <v>Ahmad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Sohail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Khuram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Qadri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27006.315839618652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2026-09-30T11:03:02Z</dcterms:modified>
</cp:coreProperties>
</file>