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7436EF5-AF58-4396-9FE1-DC844016796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7" l="1"/>
  <c r="N5" i="67" s="1"/>
  <c r="N4" i="46"/>
  <c r="N5" i="46" s="1"/>
  <c r="N4" i="64"/>
  <c r="N5" i="64" s="1"/>
  <c r="N4" i="63"/>
  <c r="N5" i="63" s="1"/>
  <c r="N4" i="70"/>
  <c r="N5" i="70" s="1"/>
  <c r="N4" i="59"/>
  <c r="N4" i="58"/>
  <c r="N5" i="58" s="1"/>
  <c r="N4" i="61"/>
  <c r="N5" i="61" s="1"/>
  <c r="N5" i="11"/>
  <c r="N4" i="51"/>
  <c r="N5" i="51" s="1"/>
  <c r="N4" i="50"/>
  <c r="N5" i="50" s="1"/>
  <c r="N4" i="57"/>
  <c r="N5" i="57" s="1"/>
  <c r="N4" i="53"/>
  <c r="N5" i="53" s="1"/>
  <c r="N4" i="45"/>
  <c r="N5" i="45" s="1"/>
  <c r="N4" i="68"/>
  <c r="N5" i="68" s="1"/>
  <c r="N4" i="55"/>
  <c r="N5" i="55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9" l="1"/>
  <c r="M16" i="59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<sst xmlns="http://schemas.openxmlformats.org/spreadsheetml/2006/main" count="3948" uniqueCount="525">
  <si>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</si>
  <si>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</si>
  <si>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</si>
  <si>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</si>
  <si>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</si>
  <si>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</si>
  <si>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</si>
  <si>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</si>
  <si>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</si>
  <si>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</si>
  <si>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</si>
  <si>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</si>
  <si>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</si>
  <si>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</si>
  <si>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</si>
  <si>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</si>
  <si>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</si>
  <si>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</si>
  <si>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</si>
  <si>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</si>
  <si>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</si>
  <si>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</si>
  <si>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</si>
  <si>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</si>
  <si>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</si>
  <si>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</si>
  <si>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</si>
  <si>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</si>
  <si>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</si>
  <si>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</si>
  <si>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</si>
  <si>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</si>
  <si>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</si>
  <si>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</si>
  <si>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</si>
  <si>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</si>
  <si>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</si>
  <si>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</si>
  <si>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</si>
  <si>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</si>
  <si>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</si>
  <si>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</si>
  <si>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</si>
  <si>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</si>
  <si>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</si>
  <si>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</si>
  <si>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</si>
  <si>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</si>
  <si>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</si>
  <si>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</si>
  <si>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</si>
  <si>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</si>
  <si>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</si>
  <si>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</si>
  <si>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</si>
  <si>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</si>
  <si>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</si>
  <si>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</si>
  <si>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</si>
  <si>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</si>
  <si>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</si>
  <si>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</si>
  <si>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</si>
  <si>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</si>
  <si>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</si>
  <si>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</si>
  <si>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</si>
  <si>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</si>
  <si>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</si>
  <si>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</si>
  <si>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</si>
  <si>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</si>
  <si>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</si>
  <si>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</si>
  <si>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</si>
  <si>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</si>
  <si>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</si>
  <si>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</si>
  <si>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</si>
  <si>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</si>
  <si>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</si>
  <si>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</si>
  <si>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</si>
  <si>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</si>
  <si>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</si>
  <si>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</si>
  <si>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</si>
  <si>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</si>
  <si>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</si>
  <si>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</si>
  <si>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</si>
  <si>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</si>
  <si>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</si>
  <si>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</si>
  <si>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</si>
  <si>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</si>
  <si>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</si>
  <si>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</si>
  <si>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</si>
  <si>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</si>
  <si>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</si>
  <si>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</si>
  <si>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</si>
  <si>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</si>
  <si>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</si>
  <si>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</si>
  <si>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</si>
  <si>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</si>
  <si>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</si>
  <si>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</si>
  <si>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</si>
  <si>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</si>
  <si>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</si>
  <si>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</si>
  <si>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</si>
  <si>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</si>
  <si>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</si>
  <si>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</si>
  <si>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</si>
  <si>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</si>
  <si>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</si>
  <si>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</si>
  <si>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</si>
  <si>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</si>
  <si>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</si>
  <si>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</si>
  <si>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</si>
  <si>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</si>
  <si>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</si>
  <si>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</si>
  <si>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</si>
  <si>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</si>
  <si>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</si>
  <si>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</si>
  <si>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</si>
  <si>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</si>
  <si>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</si>
  <si>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</si>
  <si>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</si>
  <si>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</si>
  <si>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</si>
  <si>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</si>
  <si>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</si>
  <si>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</si>
  <si>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</si>
  <si>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</si>
  <si>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</si>
  <si>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</si>
  <si>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</si>
  <si>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</si>
  <si>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</si>
  <si>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</si>
  <si>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</si>
  <si>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</si>
  <si>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</si>
  <si>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</si>
  <si>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</si>
  <si>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</si>
  <si>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</si>
  <si>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</si>
  <si>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</si>
  <si>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</si>
  <si>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</si>
  <si>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</si>
  <si>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</si>
  <si>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</si>
  <si>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</si>
  <si>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</si>
  <si>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</si>
  <si>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</si>
  <si>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</si>
  <si>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</si>
  <si>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</si>
  <si>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</si>
  <si>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</si>
  <si>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</si>
  <si>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</si>
  <si>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</si>
  <si>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</si>
  <si>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</si>
  <si>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</si>
  <si>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</si>
  <si>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</si>
  <si>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</si>
  <si>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</si>
  <si>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</si>
  <si>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</si>
  <si>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</si>
  <si>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</si>
  <si>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</si>
  <si>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</si>
  <si>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</si>
  <si>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</si>
  <si>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</si>
  <si>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</si>
  <si>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</si>
  <si>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</si>
  <si>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</si>
  <si>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</si>
  <si>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</si>
  <si>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</si>
  <si>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</si>
  <si>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</si>
  <si>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</si>
  <si>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</si>
  <si>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</si>
  <si>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</si>
  <si>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</si>
  <si>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</si>
  <si>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</si>
  <si>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</si>
  <si>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</si>
  <si>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</si>
  <si>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</si>
  <si>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</si>
  <si>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</si>
  <si>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</si>
  <si>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</si>
  <si>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</si>
  <si>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</si>
  <si>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</si>
  <si>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</si>
  <si>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</si>
  <si>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</si>
  <si>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</si>
  <si>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</si>
  <si>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</si>
  <si>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</si>
  <si>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</si>
  <si>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</si>
  <si>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</si>
  <si>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</si>
  <si>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</si>
  <si>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</si>
  <si>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</si>
  <si>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</si>
  <si>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</si>
  <si>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</si>
  <si>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</si>
  <si>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</si>
  <si>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</si>
  <si>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</si>
  <si>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</si>
  <si>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</si>
  <si>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</si>
  <si>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</si>
  <si>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</si>
  <si>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</si>
  <si>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</si>
  <si>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</si>
  <si>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</si>
  <si>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</si>
  <si>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</si>
  <si>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</si>
  <si>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</si>
  <si>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</si>
  <si>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</si>
  <si>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</si>
  <si>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</si>
  <si>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</si>
  <si>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</si>
  <si>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</si>
  <si>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</si>
  <si>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</si>
  <si>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</si>
  <si>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</si>
  <si>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</si>
  <si>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</si>
  <si>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</si>
  <si>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</si>
  <si>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</si>
  <si>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</si>
  <si>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</si>
  <si>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</si>
  <si>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</si>
  <si>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</si>
  <si>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</si>
  <si>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</si>
  <si>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</si>
  <si>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</si>
  <si>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</si>
  <si>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</si>
  <si>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</si>
  <si>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</si>
  <si>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</si>
  <si>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</si>
  <si>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</si>
  <si>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</si>
  <si>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</si>
  <si>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</si>
  <si>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</si>
  <si>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</si>
  <si>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</si>
  <si>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</si>
  <si>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</si>
  <si>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</si>
  <si>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</si>
  <si>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</si>
  <si>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</si>
  <si>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</si>
  <si>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</si>
  <si>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</si>
  <si>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</si>
  <si>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</si>
  <si>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</si>
  <si>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</si>
  <si>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</si>
  <si>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</si>
  <si>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</si>
  <si>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</si>
  <si>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</si>
  <si>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</si>
  <si>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</si>
  <si>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</si>
  <si>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</si>
  <si>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</si>
  <si>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</si>
  <si>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</si>
  <si>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</si>
  <si>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</si>
  <si>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</si>
  <si>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</si>
  <si>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</si>
  <si>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</si>
  <si>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</si>
  <si>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</si>
  <si>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</si>
  <si>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</si>
  <si>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</si>
  <si>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</si>
  <si>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</si>
  <si>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</si>
  <si>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</si>
  <si>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</si>
  <si>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</si>
  <si>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</si>
  <si>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</si>
  <si>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</si>
  <si>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</si>
  <si>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</si>
  <si>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</si>
  <si>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</si>
  <si>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</si>
  <si>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</si>
  <si>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</si>
  <si>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</si>
  <si>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</si>
  <si>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</si>
  <si>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</si>
  <si>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</si>
  <si>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</si>
  <si>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</si>
  <si>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</si>
  <si>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</si>
  <si>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</si>
  <si>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</si>
  <si>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</si>
  <si>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</si>
  <si>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</si>
  <si>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</si>
  <si>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</si>
  <si>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</si>
  <si>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</si>
  <si>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</si>
  <si>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</si>
  <si>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</si>
  <si>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</si>
  <si>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</si>
  <si>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</si>
  <si>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</si>
  <si>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</si>
  <si>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</si>
  <si>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</si>
  <si>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</si>
  <si>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</si>
  <si>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</si>
  <si>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</si>
  <si>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</si>
  <si>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</si>
  <si>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</si>
  <si>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</si>
  <si>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</si>
  <si>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</si>
  <si>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</si>
  <si>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</si>
  <si>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</si>
  <si>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</si>
  <si>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</si>
  <si>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</si>
  <si>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</si>
  <si>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</si>
  <si>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</si>
  <si>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</si>
  <si>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</si>
  <si>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</si>
  <si>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</si>
  <si>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</si>
  <si>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</si>
  <si>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</si>
  <si>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</si>
  <si>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</si>
  <si>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</si>
  <si>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</si>
  <si>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</si>
  <si>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</si>
  <si>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</si>
  <si>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</si>
  <si>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</si>
  <si>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</si>
  <si>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</si>
  <si>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</si>
  <si>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</si>
  <si>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</si>
  <si>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</si>
  <si>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</si>
  <si>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</si>
  <si>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</si>
  <si>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</si>
  <si>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</si>
  <si>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</si>
  <si>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</si>
  <si>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</si>
  <si>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</si>
  <si>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</si>
  <si>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</si>
  <si>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</si>
  <si>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</si>
  <si>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</si>
  <si>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</si>
  <si>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</si>
  <si>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</si>
  <si>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</si>
  <si>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</si>
  <si>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</si>
  <si>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</si>
  <si>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</si>
  <si>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</si>
  <si>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</si>
  <si>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</si>
  <si>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</si>
  <si>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</si>
  <si>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</si>
  <si>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</si>
  <si>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</si>
  <si>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</si>
  <si>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</si>
  <si>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</si>
  <si>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</si>
  <si>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</si>
  <si>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</si>
  <si>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</si>
  <si>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</si>
  <si>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</si>
  <si>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</si>
  <si>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</si>
  <si>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</si>
  <si>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</si>
  <si>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</si>
  <si>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</si>
  <si>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</si>
  <si>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</si>
  <si>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</si>
  <si>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</si>
  <si>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</si>
  <si>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</si>
  <si>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</si>
  <si>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</si>
  <si>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</si>
  <si>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</si>
  <si>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</si>
  <si>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</si>
  <si>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</si>
  <si>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</si>
  <si>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</si>
  <si>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</si>
  <si>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</si>
  <si>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</si>
  <si>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</si>
  <si>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</si>
  <si>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</si>
  <si>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</si>
  <si>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</si>
  <si>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</si>
  <si>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</si>
  <si>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</si>
  <si>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</si>
  <si>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</si>
  <si>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</si>
  <si>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</si>
  <si>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</si>
  <si>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</si>
  <si>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</si>
  <si>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</si>
  <si>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</si>
  <si>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</si>
  <si>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</si>
  <si>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</si>
  <si>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</si>
  <si>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</si>
  <si>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</si>
  <si>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</si>
  <si>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</si>
  <si>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</si>
  <si>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</si>
  <si>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</si>
  <si>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</si>
  <si>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</si>
  <si>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</si>
  <si>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</si>
  <si>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</si>
  <si>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</si>
  <si>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</si>
  <si>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</si>
  <si>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</si>
  <si>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 xml:space="preserve">Lawrance Bekery </t>
  </si>
  <si>
    <t>Address: Lawrance Road</t>
  </si>
  <si>
    <t>Abdul Ghafar Store</t>
  </si>
  <si>
    <t>Shell Petrol Pump</t>
  </si>
  <si>
    <t xml:space="preserve">Address: China Chowk </t>
  </si>
  <si>
    <t>Sadiq Store</t>
  </si>
  <si>
    <t>Address: Guru Mangat Road</t>
  </si>
  <si>
    <t>Baber Sadique Store</t>
  </si>
  <si>
    <t xml:space="preserve">Hashim Mart </t>
  </si>
  <si>
    <t xml:space="preserve">Address: GOR1 </t>
  </si>
  <si>
    <t>Khan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</si>
</sst>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Lawrance Bekery </v>
      </c>
      <c r="T3" s="301">
        <f>+'1'!P35</f>
        <v>6795.1547485169476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Abdul Ghafar Store</v>
      </c>
      <c r="T4" s="301">
        <f>+'2'!P35</f>
        <v>405.09473759427965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Shell Petrol Pump</v>
      </c>
      <c r="T5" s="301">
        <f>+'3'!P35</f>
        <v>8537.4747530084751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Sadiq Store</v>
      </c>
      <c r="T6" s="301">
        <f>+'4'!P35</f>
        <v>1132.5257914194915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Baber Sadique Store</v>
      </c>
      <c r="T7" s="301">
        <f>+'5'!P35</f>
        <v>679.51547485169476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45</v>
      </c>
      <c r="I8" s="236">
        <f t="shared" ref="I8:I14" si="0">(G8*D8)*F8+H8*F8</f>
        <v>2360.8125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188.86500000000001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82.628437500000004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2089.3190624999997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446.18644067796589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12.67752751588983</v>
      </c>
      <c r="P8" s="311">
        <f t="shared" ref="P8:P15" si="2">M8+N8+O8</f>
        <v>2548.1830306938555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Hashim Mart </v>
      </c>
      <c r="T8" s="301">
        <f>+'6'!P35</f>
        <v>940.86347552542372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140</v>
      </c>
      <c r="I9" s="236">
        <f t="shared" si="0"/>
        <v>7344.75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257.06625000000003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6500.1037500000002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1388.1355932203385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39.441196716101686</v>
      </c>
      <c r="P9" s="311">
        <f t="shared" si="2"/>
        <v>7927.6805399364403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43</v>
      </c>
      <c r="I10" s="236">
        <f t="shared" si="0"/>
        <v>3123.52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249.88160000000002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109.32320000000001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2764.3152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590.33898305084745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16.773270915254237</v>
      </c>
      <c r="P10" s="311">
        <f t="shared" si="2"/>
        <v>3371.4274539661019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</v>
      </c>
      <c r="I12" s="236">
        <f t="shared" si="0"/>
        <v>871.68000000000006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69.734400000000008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30.508800000000004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771.43680000000006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164.74576271186442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4.6809128135593223</v>
      </c>
      <c r="P12" s="311">
        <f t="shared" si="2"/>
        <v>940.86347552542372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7.25</v>
      </c>
      <c r="H16" s="113">
        <f t="shared" ref="H16:M16" si="3">SUM(H7:H15)</f>
        <v>290</v>
      </c>
      <c r="I16" s="114">
        <f t="shared" si="3"/>
        <v>17130.987499999999</v>
      </c>
      <c r="J16" s="274">
        <f>SUM(J7:J15)</f>
        <v>1370.4790000000003</v>
      </c>
      <c r="K16" s="275">
        <f t="shared" si="3"/>
        <v>599.58456250000006</v>
      </c>
      <c r="L16" s="276">
        <f t="shared" si="3"/>
        <v>0</v>
      </c>
      <c r="M16" s="232">
        <f t="shared" si="3"/>
        <v>15160.923937500002</v>
      </c>
      <c r="N16" s="233">
        <f>SUM(N7:N15)</f>
        <v>3237.7118644067787</v>
      </c>
      <c r="O16" s="101">
        <f>SUM(O7:O15)</f>
        <v>91.99317900953389</v>
      </c>
      <c r="P16" s="113">
        <f>SUM(P7:P15)</f>
        <v>18490.628980916314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17130.987499999999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1370.4790000000003</v>
      </c>
      <c r="R20" s="299">
        <v>18</v>
      </c>
      <c r="S20" s="300" t="str">
        <f>+'18'!A6:A6</f>
        <v>Khan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599.58456250000006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15160.9239375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3237.7118644067787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18398.635801906777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91.99317900953389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18490.62898091631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18490.628980916314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6295.5</v>
      </c>
      <c r="J25" s="274">
        <f>SUM(J16:J24)</f>
        <v>503.64</v>
      </c>
      <c r="K25" s="275">
        <f t="shared" si="10"/>
        <v>220.34250000000003</v>
      </c>
      <c r="L25" s="276">
        <f t="shared" si="10"/>
        <v>0</v>
      </c>
      <c r="M25" s="232">
        <f t="shared" si="10"/>
        <v>5571.5174999999999</v>
      </c>
      <c r="N25" s="233">
        <f>SUM(N16:N24)</f>
        <v>1189.8305084745757</v>
      </c>
      <c r="O25" s="101">
        <f>SUM(O16:O24)</f>
        <v>33.80674004237288</v>
      </c>
      <c r="P25" s="234">
        <f>SUM(P16:P24)</f>
        <v>6795.1547485169485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6295.5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503.64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220.34250000000003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5571.5174999999999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6761.3480084745752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33.80674004237288</v>
      </c>
    </row>
    <row r="35" spans="2:16" ht="15.75" customHeight="1" thickBot="1" x14ac:dyDescent="0.4">
      <c r="N35" s="374" t="s">
        <v>88</v>
      </c>
      <c r="O35" s="375"/>
      <c r="P35" s="297">
        <f>+P33+P34</f>
        <v>6795.1547485169476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375.3075</v>
      </c>
      <c r="J25" s="274">
        <f>SUM(J16:J24)</f>
        <v>30.0246</v>
      </c>
      <c r="K25" s="275">
        <f t="shared" si="7"/>
        <v>13.135762500000002</v>
      </c>
      <c r="L25" s="276">
        <f t="shared" si="7"/>
        <v>0</v>
      </c>
      <c r="M25" s="232">
        <f t="shared" si="7"/>
        <v>332.14713749999999</v>
      </c>
      <c r="N25" s="233">
        <f>SUM(N16:N24)</f>
        <v>70.932203389830505</v>
      </c>
      <c r="O25" s="101">
        <f>SUM(O16:O24)</f>
        <v>2.0153967044491523</v>
      </c>
      <c r="P25" s="234">
        <f>SUM(P16:P24)</f>
        <v>405.09473759427965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375.3075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30.0246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13.135762500000002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332.14713749999999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70.932203389830505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403.07934088983052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2.0153967044491528</v>
      </c>
    </row>
    <row r="35" spans="2:16" ht="15.75" customHeight="1" thickBot="1" x14ac:dyDescent="0.4">
      <c r="N35" s="374" t="s">
        <v>88</v>
      </c>
      <c r="O35" s="375"/>
      <c r="P35" s="297">
        <f>+P33+P34</f>
        <v>405.09473759427965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632.77599999999995</v>
      </c>
      <c r="K25" s="275">
        <f t="shared" si="7"/>
        <v>276.83950000000004</v>
      </c>
      <c r="L25" s="276">
        <f t="shared" si="7"/>
        <v>0</v>
      </c>
      <c r="M25" s="232">
        <f t="shared" si="7"/>
        <v>7000.0845000000008</v>
      </c>
      <c r="N25" s="233">
        <f>SUM(N16:N24)</f>
        <v>1494.9152542372881</v>
      </c>
      <c r="O25" s="101">
        <f>SUM(O16:O24)</f>
        <v>42.474998771186442</v>
      </c>
      <c r="P25" s="234">
        <f>SUM(P16:P24)</f>
        <v>8537.4747530084751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7909.7000000000007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632.77599999999995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276.83950000000004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7000.0845000000008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8494.9997542372894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74" t="s">
        <v>88</v>
      </c>
      <c r="O35" s="375"/>
      <c r="P35" s="297">
        <f>+P33+P34</f>
        <v>8537.4747530084751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10" workbookViewId="0">
      <selection activeCell="E12" sqref="E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2026-09-28T12:20:32Z</dcterms:modified>
</cp:coreProperties>
</file>