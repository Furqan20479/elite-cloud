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0BBAFC8-D831-4204-833E-7883B0C45746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46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1" l="1"/>
  <c r="N4" i="57"/>
  <c r="N5" i="57" s="1"/>
  <c r="N4" i="67"/>
  <c r="N5" i="67" s="1"/>
  <c r="N4" i="53"/>
  <c r="N5" i="53" s="1"/>
  <c r="N5" i="11"/>
  <c r="N4" i="50"/>
  <c r="N5" i="50" s="1"/>
  <c r="N4" i="55"/>
  <c r="N5" i="55" s="1"/>
  <c r="N4" i="64"/>
  <c r="N5" i="64" s="1"/>
  <c r="N4" i="63"/>
  <c r="N4" i="70"/>
  <c r="N5" i="70" s="1"/>
  <c r="N4" i="45"/>
  <c r="N5" i="45" s="1"/>
  <c r="N4" i="59"/>
  <c r="N5" i="59" s="1"/>
  <c r="N4" i="58"/>
  <c r="N4" i="61"/>
  <c r="N5" i="61" s="1"/>
  <c r="N4" i="68"/>
  <c r="N5" i="68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<sst xmlns="http://schemas.openxmlformats.org/spreadsheetml/2006/main" count="3948" uniqueCount="518">
  <si>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</si>
  <si>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</si>
  <si>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</si>
  <si>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</si>
  <si>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</si>
  <si>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</si>
  <si>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</si>
  <si>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</si>
  <si>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</si>
  <si>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</si>
  <si>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</si>
  <si>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</si>
  <si>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</si>
  <si>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</si>
  <si>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</si>
  <si>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</si>
  <si>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</si>
  <si>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</si>
  <si>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</si>
  <si>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</si>
  <si>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</si>
  <si>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</si>
  <si>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</si>
  <si>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</si>
  <si>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</si>
  <si>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</si>
  <si>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</si>
  <si>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</si>
  <si>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</si>
  <si>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</si>
  <si>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</si>
  <si>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</si>
  <si>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</si>
  <si>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</si>
  <si>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</si>
  <si>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</si>
  <si>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</si>
  <si>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</si>
  <si>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</si>
  <si>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</si>
  <si>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</si>
  <si>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</si>
  <si>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</si>
  <si>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</si>
  <si>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</si>
  <si>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</si>
  <si>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</si>
  <si>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</si>
  <si>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</si>
  <si>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</si>
  <si>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</si>
  <si>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</si>
  <si>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</si>
  <si>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</si>
  <si>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</si>
  <si>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</si>
  <si>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</si>
  <si>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</si>
  <si>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</si>
  <si>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</si>
  <si>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</si>
  <si>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</si>
  <si>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</si>
  <si>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</si>
  <si>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</si>
  <si>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</si>
  <si>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</si>
  <si>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</si>
  <si>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</si>
  <si>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</si>
  <si>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</si>
  <si>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</si>
  <si>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</si>
  <si>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</si>
  <si>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</si>
  <si>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</si>
  <si>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</si>
  <si>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</si>
  <si>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</si>
  <si>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</si>
  <si>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</si>
  <si>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</si>
  <si>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</si>
  <si>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</si>
  <si>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</si>
  <si>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</si>
  <si>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</si>
  <si>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</si>
  <si>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</si>
  <si>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</si>
  <si>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</si>
  <si>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</si>
  <si>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</si>
  <si>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</si>
  <si>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</si>
  <si>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</si>
  <si>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</si>
  <si>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</si>
  <si>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</si>
  <si>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</si>
  <si>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</si>
  <si>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</si>
  <si>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</si>
  <si>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</si>
  <si>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</si>
  <si>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</si>
  <si>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</si>
  <si>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</si>
  <si>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</si>
  <si>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</si>
  <si>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</si>
  <si>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</si>
  <si>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</si>
  <si>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</si>
  <si>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</si>
  <si>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</si>
  <si>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</si>
  <si>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</si>
  <si>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</si>
  <si>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</si>
  <si>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</si>
  <si>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</si>
  <si>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</si>
  <si>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</si>
  <si>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</si>
  <si>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</si>
  <si>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</si>
  <si>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</si>
  <si>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</si>
  <si>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</si>
  <si>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</si>
  <si>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</si>
  <si>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</si>
  <si>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</si>
  <si>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</si>
  <si>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</si>
  <si>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</si>
  <si>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</si>
  <si>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</si>
  <si>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</si>
  <si>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</si>
  <si>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</si>
  <si>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</si>
  <si>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</si>
  <si>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</si>
  <si>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</si>
  <si>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</si>
  <si>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</si>
  <si>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</si>
  <si>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</si>
  <si>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</si>
  <si>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</si>
  <si>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</si>
  <si>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</si>
  <si>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</si>
  <si>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</si>
  <si>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</si>
  <si>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</si>
  <si>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</si>
  <si>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</si>
  <si>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</si>
  <si>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</si>
  <si>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</si>
  <si>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</si>
  <si>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</si>
  <si>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</si>
  <si>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</si>
  <si>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</si>
  <si>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</si>
  <si>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</si>
  <si>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</si>
  <si>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</si>
  <si>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</si>
  <si>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</si>
  <si>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</si>
  <si>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</si>
  <si>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</si>
  <si>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</si>
  <si>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</si>
  <si>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</si>
  <si>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</si>
  <si>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</si>
  <si>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</si>
  <si>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</si>
  <si>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</si>
  <si>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</si>
  <si>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</si>
  <si>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</si>
  <si>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</si>
  <si>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</si>
  <si>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</si>
  <si>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</si>
  <si>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</si>
  <si>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</si>
  <si>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</si>
  <si>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</si>
  <si>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</si>
  <si>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</si>
  <si>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</si>
  <si>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</si>
  <si>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</si>
  <si>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</si>
  <si>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</si>
  <si>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</si>
  <si>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</si>
  <si>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</si>
  <si>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</si>
  <si>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</si>
  <si>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</si>
  <si>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</si>
  <si>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</si>
  <si>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</si>
  <si>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</si>
  <si>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</si>
  <si>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</si>
  <si>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</si>
  <si>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</si>
  <si>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</si>
  <si>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</si>
  <si>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</si>
  <si>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</si>
  <si>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</si>
  <si>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</si>
  <si>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</si>
  <si>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</si>
  <si>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</si>
  <si>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</si>
  <si>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</si>
  <si>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</si>
  <si>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</si>
  <si>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</si>
  <si>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</si>
  <si>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</si>
  <si>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</si>
  <si>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</si>
  <si>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</si>
  <si>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</si>
  <si>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</si>
  <si>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</si>
  <si>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</si>
  <si>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</si>
  <si>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</si>
  <si>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</si>
  <si>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</si>
  <si>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</si>
  <si>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</si>
  <si>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</si>
  <si>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</si>
  <si>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</si>
  <si>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</si>
  <si>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</si>
  <si>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</si>
  <si>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</si>
  <si>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</si>
  <si>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</si>
  <si>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</si>
  <si>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</si>
  <si>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</si>
  <si>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</si>
  <si>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</si>
  <si>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</si>
  <si>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</si>
  <si>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</si>
  <si>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</si>
  <si>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</si>
  <si>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</si>
  <si>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</si>
  <si>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</si>
  <si>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</si>
  <si>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</si>
  <si>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</si>
  <si>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</si>
  <si>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</si>
  <si>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</si>
  <si>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</si>
  <si>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</si>
  <si>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</si>
  <si>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</si>
  <si>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</si>
  <si>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</si>
  <si>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</si>
  <si>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</si>
  <si>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</si>
  <si>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</si>
  <si>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</si>
  <si>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</si>
  <si>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</si>
  <si>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</si>
  <si>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</si>
  <si>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</si>
  <si>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</si>
  <si>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</si>
  <si>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</si>
  <si>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</si>
  <si>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</si>
  <si>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</si>
  <si>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</si>
  <si>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</si>
  <si>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</si>
  <si>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</si>
  <si>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</si>
  <si>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</si>
  <si>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</si>
  <si>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</si>
  <si>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</si>
  <si>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</si>
  <si>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</si>
  <si>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</si>
  <si>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</si>
  <si>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</si>
  <si>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</si>
  <si>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</si>
  <si>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</si>
  <si>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</si>
  <si>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</si>
  <si>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</si>
  <si>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</si>
  <si>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</si>
  <si>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</si>
  <si>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</si>
  <si>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</si>
  <si>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</si>
  <si>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</si>
  <si>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</si>
  <si>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</si>
  <si>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</si>
  <si>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</si>
  <si>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</si>
  <si>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</si>
  <si>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</si>
  <si>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</si>
  <si>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</si>
  <si>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</si>
  <si>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</si>
  <si>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</si>
  <si>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</si>
  <si>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</si>
  <si>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</si>
  <si>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</si>
  <si>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</si>
  <si>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</si>
  <si>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</si>
  <si>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</si>
  <si>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</si>
  <si>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</si>
  <si>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</si>
  <si>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</si>
  <si>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</si>
  <si>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</si>
  <si>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</si>
  <si>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</si>
  <si>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</si>
  <si>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</si>
  <si>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</si>
  <si>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</si>
  <si>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</si>
  <si>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</si>
  <si>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</si>
  <si>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</si>
  <si>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</si>
  <si>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</si>
  <si>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</si>
  <si>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</si>
  <si>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</si>
  <si>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</si>
  <si>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</si>
  <si>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</si>
  <si>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</si>
  <si>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</si>
  <si>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</si>
  <si>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</si>
  <si>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</si>
  <si>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</si>
  <si>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</si>
  <si>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</si>
  <si>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</si>
  <si>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</si>
  <si>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</si>
  <si>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</si>
  <si>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</si>
  <si>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</si>
  <si>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</si>
  <si>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</si>
  <si>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</si>
  <si>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</si>
  <si>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</si>
  <si>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</si>
  <si>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</si>
  <si>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</si>
  <si>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</si>
  <si>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</si>
  <si>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</si>
  <si>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</si>
  <si>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</si>
  <si>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</si>
  <si>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</si>
  <si>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</si>
  <si>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</si>
  <si>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</si>
  <si>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</si>
  <si>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</si>
  <si>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</si>
  <si>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</si>
  <si>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</si>
  <si>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</si>
  <si>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</si>
  <si>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</si>
  <si>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</si>
  <si>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</si>
  <si>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</si>
  <si>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</si>
  <si>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</si>
  <si>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</si>
  <si>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</si>
  <si>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</si>
  <si>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</si>
  <si>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</si>
  <si>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</si>
  <si>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</si>
  <si>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</si>
  <si>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</si>
  <si>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</si>
  <si>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</si>
  <si>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</si>
  <si>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</si>
  <si>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</si>
  <si>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</si>
  <si>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</si>
  <si>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</si>
  <si>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</si>
  <si>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</si>
  <si>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</si>
  <si>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</si>
  <si>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</si>
  <si>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</si>
  <si>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</si>
  <si>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</si>
  <si>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</si>
  <si>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</si>
  <si>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</si>
  <si>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</si>
  <si>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</si>
  <si>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</si>
  <si>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</si>
  <si>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</si>
  <si>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</si>
  <si>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</si>
  <si>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</si>
  <si>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</si>
  <si>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</si>
  <si>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</si>
  <si>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</si>
  <si>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</si>
  <si>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</si>
  <si>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</si>
  <si>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</si>
  <si>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</si>
  <si>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</si>
  <si>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</si>
  <si>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</si>
  <si>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</si>
  <si>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</si>
  <si>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</si>
  <si>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</si>
  <si>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</si>
  <si>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</si>
  <si>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</si>
  <si>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</si>
  <si>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</si>
  <si>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</si>
  <si>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</si>
  <si>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</si>
  <si>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</si>
  <si>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</si>
  <si>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</si>
  <si>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</si>
  <si>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</si>
  <si>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</si>
  <si>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</si>
  <si>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</si>
  <si>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</si>
  <si>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</si>
  <si>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</si>
  <si>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</si>
  <si>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</si>
  <si>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</si>
  <si>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</si>
  <si>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</si>
  <si>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</si>
  <si>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</si>
  <si>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</si>
  <si>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</si>
  <si>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</si>
  <si>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</si>
  <si>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</si>
  <si>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</si>
  <si>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</si>
  <si>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</si>
  <si>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</si>
  <si>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</si>
  <si>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</si>
  <si>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</si>
  <si>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</si>
  <si>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</si>
  <si>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</si>
  <si>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</si>
  <si>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</si>
  <si>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</si>
  <si>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</si>
  <si>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</si>
  <si>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</si>
  <si>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</si>
  <si>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</si>
  <si>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</si>
  <si>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Shakoor</t>
  </si>
  <si>
    <t>Risen Fatehgarh</t>
  </si>
  <si>
    <t>Address: Fatehgarh</t>
  </si>
  <si>
    <t>NTN #: 2300168-2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</si>
</sst>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f ca="1">TODAY()</f>
        <v>46295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Risen Fatehgarh</v>
      </c>
      <c r="T3" s="301">
        <f>+'1'!P35</f>
        <v>151011.19915932202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680</v>
      </c>
      <c r="I10" s="236">
        <f t="shared" si="0"/>
        <v>49395.199999999997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6915.3280000000004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1728.8320000000001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40751.039999999994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9335.5932203389839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250.43316610169489</v>
      </c>
      <c r="P10" s="311">
        <f t="shared" si="2"/>
        <v>50337.066386440667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680</v>
      </c>
      <c r="I11" s="236">
        <f t="shared" si="0"/>
        <v>49395.199999999997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6915.3280000000004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1728.8320000000001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40751.039999999994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9335.5932203389839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250.43316610169489</v>
      </c>
      <c r="P11" s="311">
        <f t="shared" si="2"/>
        <v>50337.066386440667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680</v>
      </c>
      <c r="I12" s="236">
        <f t="shared" si="0"/>
        <v>49395.199999999997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6915.3280000000004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1728.8320000000001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40751.039999999994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9335.5932203389839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250.43316610169489</v>
      </c>
      <c r="P12" s="311">
        <f t="shared" si="2"/>
        <v>50337.066386440667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51</v>
      </c>
      <c r="H16" s="113">
        <f t="shared" ref="H16:M16" si="3">SUM(H7:H15)</f>
        <v>2040</v>
      </c>
      <c r="I16" s="114">
        <f t="shared" si="3"/>
        <v>148185.59999999998</v>
      </c>
      <c r="J16" s="274">
        <f>SUM(J7:J15)</f>
        <v>20745.984</v>
      </c>
      <c r="K16" s="275">
        <f t="shared" si="3"/>
        <v>5186.4960000000001</v>
      </c>
      <c r="L16" s="276">
        <f t="shared" si="3"/>
        <v>0</v>
      </c>
      <c r="M16" s="232">
        <f t="shared" si="3"/>
        <v>122253.11999999998</v>
      </c>
      <c r="N16" s="233">
        <f>SUM(N7:N15)</f>
        <v>28006.779661016953</v>
      </c>
      <c r="O16" s="101">
        <f>SUM(O7:O15)</f>
        <v>751.29949830508463</v>
      </c>
      <c r="P16" s="113">
        <f>SUM(P7:P15)</f>
        <v>151011.19915932202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148185.59999999998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20745.984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5186.4960000000001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122253.11999999998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28006.779661016953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150259.89966101694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751.29949830508463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151011.19915932202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151011.19915932202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Summary!H3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517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680</v>
      </c>
      <c r="I19" s="236">
        <f t="shared" si="7"/>
        <v>49395.199999999997</v>
      </c>
      <c r="J19" s="272">
        <f t="shared" si="1"/>
        <v>6915.3280000000004</v>
      </c>
      <c r="K19" s="128">
        <f t="shared" si="1"/>
        <v>1728.8320000000001</v>
      </c>
      <c r="L19" s="119">
        <f t="shared" si="1"/>
        <v>0</v>
      </c>
      <c r="M19" s="230">
        <f t="shared" si="2"/>
        <v>40751.039999999994</v>
      </c>
      <c r="N19" s="277">
        <f t="shared" si="3"/>
        <v>9335.5932203389839</v>
      </c>
      <c r="O19" s="239">
        <f t="shared" si="4"/>
        <v>250.43316610169489</v>
      </c>
      <c r="P19" s="119">
        <f t="shared" si="5"/>
        <v>50337.066386440667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680</v>
      </c>
      <c r="I20" s="236">
        <f t="shared" si="7"/>
        <v>49395.199999999997</v>
      </c>
      <c r="J20" s="272">
        <f t="shared" si="1"/>
        <v>6915.3280000000004</v>
      </c>
      <c r="K20" s="128">
        <f t="shared" si="1"/>
        <v>1728.8320000000001</v>
      </c>
      <c r="L20" s="119">
        <f t="shared" si="1"/>
        <v>0</v>
      </c>
      <c r="M20" s="230">
        <f t="shared" si="2"/>
        <v>40751.039999999994</v>
      </c>
      <c r="N20" s="277">
        <f t="shared" si="3"/>
        <v>9335.5932203389839</v>
      </c>
      <c r="O20" s="239">
        <f t="shared" si="4"/>
        <v>250.43316610169489</v>
      </c>
      <c r="P20" s="119">
        <f t="shared" si="5"/>
        <v>50337.066386440667</v>
      </c>
      <c r="Q20" s="319"/>
      <c r="R20">
        <f>P20/21</f>
        <v>2397.0031612590792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680</v>
      </c>
      <c r="I21" s="236">
        <f t="shared" si="7"/>
        <v>49395.199999999997</v>
      </c>
      <c r="J21" s="272">
        <f t="shared" si="1"/>
        <v>6915.3280000000004</v>
      </c>
      <c r="K21" s="128">
        <f t="shared" si="1"/>
        <v>1728.8320000000001</v>
      </c>
      <c r="L21" s="119">
        <f t="shared" si="1"/>
        <v>0</v>
      </c>
      <c r="M21" s="230">
        <f t="shared" si="2"/>
        <v>40751.039999999994</v>
      </c>
      <c r="N21" s="277">
        <f t="shared" si="3"/>
        <v>9335.5932203389839</v>
      </c>
      <c r="O21" s="239">
        <f t="shared" si="4"/>
        <v>250.43316610169489</v>
      </c>
      <c r="P21" s="119">
        <f t="shared" si="5"/>
        <v>50337.066386440667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2040</v>
      </c>
      <c r="I25" s="114">
        <f t="shared" ref="I25:M25" si="10">SUM(I16:I24)</f>
        <v>148185.59999999998</v>
      </c>
      <c r="J25" s="274">
        <f>SUM(J16:J24)</f>
        <v>20745.984</v>
      </c>
      <c r="K25" s="275">
        <f t="shared" si="10"/>
        <v>5186.4960000000001</v>
      </c>
      <c r="L25" s="276">
        <f t="shared" si="10"/>
        <v>0</v>
      </c>
      <c r="M25" s="232">
        <f t="shared" si="10"/>
        <v>122253.11999999998</v>
      </c>
      <c r="N25" s="233">
        <f>SUM(N16:N24)</f>
        <v>28006.779661016953</v>
      </c>
      <c r="O25" s="101">
        <f>SUM(O16:O24)</f>
        <v>751.29949830508463</v>
      </c>
      <c r="P25" s="234">
        <f>SUM(P16:P24)</f>
        <v>151011.19915932202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148185.59999999998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20745.984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5186.4960000000001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122253.11999999998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28006.779661016953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150259.89966101694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751.29949830508474</v>
      </c>
    </row>
    <row r="35" spans="2:16" ht="15.75" customHeight="1" thickBot="1" x14ac:dyDescent="0.4">
      <c r="N35" s="374" t="s">
        <v>88</v>
      </c>
      <c r="O35" s="375"/>
      <c r="P35" s="297">
        <f>+P33+P34</f>
        <v>151011.19915932202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'1'!N4:P5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2026-09-30T05:24:01Z</dcterms:modified>
</cp:coreProperties>
</file>