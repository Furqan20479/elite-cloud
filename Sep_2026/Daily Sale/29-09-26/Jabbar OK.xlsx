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252FB8B-F737-41D7-B435-C0D276562066}" xr6:coauthVersionLast="47" xr6:coauthVersionMax="47" xr10:uidLastSave="{00000000-0000-0000-0000-000000000000}"/>
  <bookViews>
    <workbookView xWindow="-110" yWindow="-110" windowWidth="19420" windowHeight="10420" tabRatio="948" firstSheet="3" activeTab="1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0" l="1"/>
  <c r="N4" i="46"/>
  <c r="N4" i="70"/>
  <c r="N5" i="70" s="1"/>
  <c r="N4" i="61"/>
  <c r="N5" i="61" s="1"/>
  <c r="N4" i="57"/>
  <c r="N5" i="57" s="1"/>
  <c r="N4" i="53"/>
  <c r="N4" i="45"/>
  <c r="N5" i="45" s="1"/>
  <c r="N4" i="68"/>
  <c r="N5" i="68" s="1"/>
  <c r="N4" i="55"/>
  <c r="N5" i="55" s="1"/>
  <c r="N4" i="69"/>
  <c r="N5" i="69" s="1"/>
  <c r="N4" i="65"/>
  <c r="N5" i="65" s="1"/>
  <c r="N4" i="60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2" i="62" l="1"/>
  <c r="P12" i="62" s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<sst xmlns="http://schemas.openxmlformats.org/spreadsheetml/2006/main" count="3947" uniqueCount="530">
  <si>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</si>
  <si>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</si>
  <si>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</si>
  <si>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</si>
  <si>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</si>
  <si>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</si>
  <si>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</si>
  <si>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</si>
  <si>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</si>
  <si>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</si>
  <si>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</si>
  <si>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</si>
  <si>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</si>
  <si>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</si>
  <si>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</si>
  <si>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</si>
  <si>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</si>
  <si>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</si>
  <si>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</si>
  <si>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</si>
  <si>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</si>
  <si>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</si>
  <si>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</si>
  <si>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</si>
  <si>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</si>
  <si>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</si>
  <si>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</si>
  <si>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</si>
  <si>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</si>
  <si>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</si>
  <si>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</si>
  <si>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</si>
  <si>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</si>
  <si>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</si>
  <si>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</si>
  <si>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</si>
  <si>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</si>
  <si>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</si>
  <si>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</si>
  <si>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</si>
  <si>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</si>
  <si>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</si>
  <si>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</si>
  <si>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</si>
  <si>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</si>
  <si>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</si>
  <si>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</si>
  <si>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</si>
  <si>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</si>
  <si>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</si>
  <si>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</si>
  <si>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</si>
  <si>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</si>
  <si>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</si>
  <si>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</si>
  <si>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</si>
  <si>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</si>
  <si>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</si>
  <si>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</si>
  <si>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</si>
  <si>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</si>
  <si>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</si>
  <si>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</si>
  <si>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</si>
  <si>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</si>
  <si>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</si>
  <si>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</si>
  <si>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</si>
  <si>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</si>
  <si>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</si>
  <si>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</si>
  <si>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</si>
  <si>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</si>
  <si>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</si>
  <si>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</si>
  <si>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</si>
  <si>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</si>
  <si>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</si>
  <si>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</si>
  <si>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</si>
  <si>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</si>
  <si>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</si>
  <si>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</si>
  <si>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</si>
  <si>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</si>
  <si>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</si>
  <si>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</si>
  <si>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</si>
  <si>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</si>
  <si>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</si>
  <si>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</si>
  <si>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</si>
  <si>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</si>
  <si>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</si>
  <si>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</si>
  <si>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</si>
  <si>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</si>
  <si>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</si>
  <si>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</si>
  <si>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</si>
  <si>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</si>
  <si>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</si>
  <si>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</si>
  <si>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</si>
  <si>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</si>
  <si>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</si>
  <si>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</si>
  <si>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</si>
  <si>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</si>
  <si>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</si>
  <si>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</si>
  <si>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</si>
  <si>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</si>
  <si>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</si>
  <si>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</si>
  <si>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</si>
  <si>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</si>
  <si>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</si>
  <si>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</si>
  <si>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</si>
  <si>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</si>
  <si>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</si>
  <si>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</si>
  <si>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</si>
  <si>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</si>
  <si>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</si>
  <si>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</si>
  <si>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</si>
  <si>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</si>
  <si>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</si>
  <si>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</si>
  <si>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</si>
  <si>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</si>
  <si>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</si>
  <si>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</si>
  <si>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</si>
  <si>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</si>
  <si>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</si>
  <si>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</si>
  <si>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</si>
  <si>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</si>
  <si>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</si>
  <si>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</si>
  <si>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</si>
  <si>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</si>
  <si>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</si>
  <si>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</si>
  <si>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</si>
  <si>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</si>
  <si>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</si>
  <si>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</si>
  <si>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</si>
  <si>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</si>
  <si>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</si>
  <si>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</si>
  <si>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</si>
  <si>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</si>
  <si>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</si>
  <si>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</si>
  <si>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</si>
  <si>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</si>
  <si>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</si>
  <si>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</si>
  <si>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</si>
  <si>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</si>
  <si>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</si>
  <si>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</si>
  <si>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</si>
  <si>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</si>
  <si>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</si>
  <si>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</si>
  <si>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</si>
  <si>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</si>
  <si>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</si>
  <si>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</si>
  <si>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</si>
  <si>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</si>
  <si>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</si>
  <si>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</si>
  <si>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</si>
  <si>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</si>
  <si>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</si>
  <si>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</si>
  <si>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</si>
  <si>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</si>
  <si>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</si>
  <si>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</si>
  <si>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</si>
  <si>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</si>
  <si>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</si>
  <si>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</si>
  <si>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</si>
  <si>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</si>
  <si>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</si>
  <si>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</si>
  <si>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</si>
  <si>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</si>
  <si>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</si>
  <si>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</si>
  <si>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</si>
  <si>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</si>
  <si>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</si>
  <si>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</si>
  <si>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</si>
  <si>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</si>
  <si>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</si>
  <si>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</si>
  <si>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</si>
  <si>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</si>
  <si>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</si>
  <si>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</si>
  <si>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</si>
  <si>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</si>
  <si>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</si>
  <si>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</si>
  <si>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</si>
  <si>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</si>
  <si>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</si>
  <si>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</si>
  <si>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</si>
  <si>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</si>
  <si>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</si>
  <si>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</si>
  <si>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</si>
  <si>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</si>
  <si>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</si>
  <si>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</si>
  <si>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</si>
  <si>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</si>
  <si>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</si>
  <si>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</si>
  <si>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</si>
  <si>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</si>
  <si>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</si>
  <si>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</si>
  <si>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</si>
  <si>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</si>
  <si>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</si>
  <si>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</si>
  <si>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</si>
  <si>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</si>
  <si>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</si>
  <si>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</si>
  <si>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</si>
  <si>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</si>
  <si>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</si>
  <si>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</si>
  <si>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</si>
  <si>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</si>
  <si>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</si>
  <si>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</si>
  <si>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</si>
  <si>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</si>
  <si>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</si>
  <si>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</si>
  <si>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</si>
  <si>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</si>
  <si>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</si>
  <si>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</si>
  <si>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</si>
  <si>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</si>
  <si>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</si>
  <si>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</si>
  <si>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</si>
  <si>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</si>
  <si>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</si>
  <si>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</si>
  <si>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</si>
  <si>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</si>
  <si>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</si>
  <si>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</si>
  <si>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</si>
  <si>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</si>
  <si>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</si>
  <si>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</si>
  <si>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</si>
  <si>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</si>
  <si>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</si>
  <si>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</si>
  <si>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</si>
  <si>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</si>
  <si>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</si>
  <si>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</si>
  <si>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</si>
  <si>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</si>
  <si>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</si>
  <si>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</si>
  <si>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</si>
  <si>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</si>
  <si>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</si>
  <si>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</si>
  <si>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</si>
  <si>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</si>
  <si>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</si>
  <si>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</si>
  <si>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</si>
  <si>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</si>
  <si>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</si>
  <si>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</si>
  <si>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</si>
  <si>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</si>
  <si>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</si>
  <si>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</si>
  <si>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</si>
  <si>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</si>
  <si>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</si>
  <si>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</si>
  <si>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</si>
  <si>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</si>
  <si>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</si>
  <si>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</si>
  <si>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</si>
  <si>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</si>
  <si>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</si>
  <si>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</si>
  <si>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</si>
  <si>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</si>
  <si>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</si>
  <si>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</si>
  <si>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</si>
  <si>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</si>
  <si>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</si>
  <si>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</si>
  <si>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</si>
  <si>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</si>
  <si>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</si>
  <si>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</si>
  <si>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</si>
  <si>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</si>
  <si>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</si>
  <si>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</si>
  <si>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</si>
  <si>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</si>
  <si>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</si>
  <si>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</si>
  <si>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</si>
  <si>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</si>
  <si>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</si>
  <si>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</si>
  <si>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</si>
  <si>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</si>
  <si>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</si>
  <si>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</si>
  <si>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</si>
  <si>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</si>
  <si>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</si>
  <si>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</si>
  <si>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</si>
  <si>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</si>
  <si>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</si>
  <si>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</si>
  <si>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</si>
  <si>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</si>
  <si>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</si>
  <si>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</si>
  <si>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</si>
  <si>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</si>
  <si>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</si>
  <si>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</si>
  <si>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</si>
  <si>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</si>
  <si>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</si>
  <si>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</si>
  <si>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</si>
  <si>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</si>
  <si>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</si>
  <si>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</si>
  <si>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</si>
  <si>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</si>
  <si>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</si>
  <si>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</si>
  <si>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</si>
  <si>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</si>
  <si>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</si>
  <si>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</si>
  <si>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</si>
  <si>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</si>
  <si>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</si>
  <si>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</si>
  <si>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</si>
  <si>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</si>
  <si>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</si>
  <si>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</si>
  <si>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</si>
  <si>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</si>
  <si>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</si>
  <si>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</si>
  <si>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</si>
  <si>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</si>
  <si>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</si>
  <si>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</si>
  <si>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</si>
  <si>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</si>
  <si>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</si>
  <si>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</si>
  <si>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</si>
  <si>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</si>
  <si>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</si>
  <si>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</si>
  <si>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</si>
  <si>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</si>
  <si>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</si>
  <si>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</si>
  <si>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</si>
  <si>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</si>
  <si>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</si>
  <si>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</si>
  <si>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</si>
  <si>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</si>
  <si>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</si>
  <si>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</si>
  <si>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</si>
  <si>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</si>
  <si>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</si>
  <si>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</si>
  <si>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</si>
  <si>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</si>
  <si>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</si>
  <si>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</si>
  <si>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</si>
  <si>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</si>
  <si>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</si>
  <si>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</si>
  <si>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</si>
  <si>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</si>
  <si>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</si>
  <si>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</si>
  <si>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</si>
  <si>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</si>
  <si>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</si>
  <si>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</si>
  <si>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</si>
  <si>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</si>
  <si>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</si>
  <si>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</si>
  <si>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</si>
  <si>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</si>
  <si>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</si>
  <si>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</si>
  <si>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</si>
  <si>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</si>
  <si>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</si>
  <si>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</si>
  <si>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</si>
  <si>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</si>
  <si>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</si>
  <si>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</si>
  <si>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</si>
  <si>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</si>
  <si>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</si>
  <si>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</si>
  <si>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</si>
  <si>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</si>
  <si>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</si>
  <si>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</si>
  <si>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</si>
  <si>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</si>
  <si>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</si>
  <si>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</si>
  <si>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</si>
  <si>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</si>
  <si>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</si>
  <si>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</si>
  <si>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</si>
  <si>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</si>
  <si>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</si>
  <si>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</si>
  <si>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</si>
  <si>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</si>
  <si>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</si>
  <si>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</si>
  <si>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</si>
  <si>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</si>
  <si>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</si>
  <si>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</si>
  <si>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</si>
  <si>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</si>
  <si>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</si>
  <si>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</si>
  <si>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</si>
  <si>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</si>
  <si>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</si>
  <si>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</si>
  <si>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</si>
  <si>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</si>
  <si>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</si>
  <si>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</si>
  <si>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</si>
  <si>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</si>
  <si>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</si>
  <si>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</si>
  <si>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</si>
  <si>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</si>
  <si>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</si>
  <si>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</si>
  <si>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</si>
  <si>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</si>
  <si>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</si>
  <si>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</si>
  <si>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</si>
  <si>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</si>
  <si>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</si>
  <si>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</si>
  <si>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</si>
  <si>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</si>
  <si>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</si>
  <si>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</si>
  <si>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</si>
  <si>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</si>
  <si>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</si>
  <si>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</si>
  <si>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</si>
  <si>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</si>
  <si>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</si>
  <si>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SMS Store</t>
  </si>
  <si>
    <t xml:space="preserve">Address: Sajad Garden </t>
  </si>
  <si>
    <t>Ata e Haq Store</t>
  </si>
  <si>
    <t>Invoice No # :00012</t>
  </si>
  <si>
    <t>Classic Store</t>
  </si>
  <si>
    <t>Smokie Mart</t>
  </si>
  <si>
    <t xml:space="preserve">Address: Canal Fort </t>
  </si>
  <si>
    <t>Family Store</t>
  </si>
  <si>
    <t>Address: Cant Fort</t>
  </si>
  <si>
    <t xml:space="preserve">City Mart </t>
  </si>
  <si>
    <t xml:space="preserve">Address: Al Rehman Garden </t>
  </si>
  <si>
    <t xml:space="preserve">FGC Mart </t>
  </si>
  <si>
    <t xml:space="preserve">Address: Rehman Garden </t>
  </si>
  <si>
    <t>786 Store</t>
  </si>
  <si>
    <t xml:space="preserve">Amas Mart </t>
  </si>
  <si>
    <t xml:space="preserve">Address: Al Hafeez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</si>
</sst>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activeCellId="2" sqref="S3 S6:S11 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513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46294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SMS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Ata e Haq Store</v>
      </c>
      <c r="T4" s="301">
        <f>+'2'!P35</f>
        <v>9233.4270752542379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Classic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Smokie Mart</v>
      </c>
      <c r="T6" s="301">
        <f>+'4'!P35</f>
        <v>1411.2952132881355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</v>
      </c>
      <c r="I7" s="235">
        <f>(G7*D7)*F7+H7*F7</f>
        <v>209.85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16.788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7.3447500000000003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185.71724999999998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39.661016949152526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1.1268913347457625</v>
      </c>
      <c r="P7" s="310">
        <f>M7+N7+O7</f>
        <v>226.50515828389825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Family Store</v>
      </c>
      <c r="T7" s="301">
        <f>+'5'!P35</f>
        <v>4530.103165677966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54</v>
      </c>
      <c r="I8" s="236">
        <f t="shared" ref="I8:I14" si="0">(G8*D8)*F8+H8*F8</f>
        <v>2832.9749999999999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226.63800000000001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99.154125000000008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2507.182875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535.42372881355914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15.213033019067796</v>
      </c>
      <c r="P8" s="311">
        <f t="shared" ref="P8:P15" si="2">M8+N8+O8</f>
        <v>3057.8196368326271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City Mart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54</v>
      </c>
      <c r="I9" s="236">
        <f t="shared" si="0"/>
        <v>2832.9749999999999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226.63800000000001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99.154125000000008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2507.182875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535.42372881355914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15.213033019067796</v>
      </c>
      <c r="P9" s="311">
        <f t="shared" si="2"/>
        <v>3057.8196368326271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FGC Mart </v>
      </c>
      <c r="T9" s="301">
        <f>+'7'!P35</f>
        <v>1916.578687690678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87</v>
      </c>
      <c r="I10" s="236">
        <f t="shared" si="0"/>
        <v>6319.68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563.68640000000005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221.18880000000004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5534.8047999999999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1194.406779661017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33.646057898305088</v>
      </c>
      <c r="P10" s="311">
        <f t="shared" si="2"/>
        <v>6762.857637559322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24</v>
      </c>
      <c r="R10" s="313">
        <v>8</v>
      </c>
      <c r="S10" s="300" t="str">
        <f>+'8'!A6:A6</f>
        <v>786 Store</v>
      </c>
      <c r="T10" s="301">
        <f>+'8'!P35</f>
        <v>679.51547485169476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56</v>
      </c>
      <c r="I11" s="236">
        <f t="shared" si="0"/>
        <v>4067.84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383.53920000000005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142.37440000000001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3541.9264000000003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768.81355932203394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21.553699796610172</v>
      </c>
      <c r="P11" s="311">
        <f t="shared" si="2"/>
        <v>4332.2936591186444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</v>
      </c>
      <c r="R11" s="313">
        <v>9</v>
      </c>
      <c r="S11" s="300" t="str">
        <f>+'9'!A6:A6</f>
        <v xml:space="preserve">Amas Mart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97</v>
      </c>
      <c r="I12" s="236">
        <f t="shared" si="0"/>
        <v>7046.08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621.79840000000013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246.61280000000005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6177.6687999999995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1331.6949152542375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37.546818576271185</v>
      </c>
      <c r="P12" s="311">
        <f t="shared" si="2"/>
        <v>7546.910533830508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8.8000000000000007</v>
      </c>
      <c r="H16" s="113">
        <f t="shared" ref="H16:M16" si="3">SUM(H7:H15)</f>
        <v>352</v>
      </c>
      <c r="I16" s="114">
        <f t="shared" si="3"/>
        <v>23309.4</v>
      </c>
      <c r="J16" s="274">
        <f>SUM(J7:J15)</f>
        <v>2039.0880000000002</v>
      </c>
      <c r="K16" s="275">
        <f t="shared" si="3"/>
        <v>815.82900000000018</v>
      </c>
      <c r="L16" s="276">
        <f t="shared" si="3"/>
        <v>0</v>
      </c>
      <c r="M16" s="232">
        <f t="shared" si="3"/>
        <v>20454.483</v>
      </c>
      <c r="N16" s="233">
        <f>SUM(N7:N15)</f>
        <v>4405.4237288135591</v>
      </c>
      <c r="O16" s="101">
        <f>SUM(O7:O15)</f>
        <v>124.29953364406779</v>
      </c>
      <c r="P16" s="113">
        <f>SUM(P7:P15)</f>
        <v>24984.206262457628</v>
      </c>
      <c r="Q16" s="128">
        <f>SUM(Q7:Q15)</f>
        <v>52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23309.4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2039.0880000000002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815.82900000000018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20454.483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4405.4237288135591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24859.906728813559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124.29953364406779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24984.206262457628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24984.206262457628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Summary!H3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7.25" customHeight="1" x14ac:dyDescent="0.4">
      <c r="A6" s="401" t="s">
        <v>514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2905.6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232.44799999999998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101.696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2571.4560000000001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3120.6085423728814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5" t="s">
        <v>88</v>
      </c>
      <c r="O35" s="376"/>
      <c r="P35" s="297">
        <f>+P33+P34</f>
        <v>3136.2115850847458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517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871.68000000000006</v>
      </c>
      <c r="K25" s="275">
        <f t="shared" si="7"/>
        <v>305.08800000000002</v>
      </c>
      <c r="L25" s="276">
        <f t="shared" si="7"/>
        <v>0</v>
      </c>
      <c r="M25" s="232">
        <f t="shared" si="7"/>
        <v>7540.0320000000002</v>
      </c>
      <c r="N25" s="233">
        <f>SUM(N16:N24)</f>
        <v>1647.4576271186443</v>
      </c>
      <c r="O25" s="101">
        <f>SUM(O16:O24)</f>
        <v>45.937448135593222</v>
      </c>
      <c r="P25" s="234">
        <f>SUM(P16:P24)</f>
        <v>9233.4270752542379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8716.7999999999993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871.68000000000006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305.08800000000002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7540.0319999999992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9187.4896271186444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75" t="s">
        <v>88</v>
      </c>
      <c r="O35" s="376"/>
      <c r="P35" s="297">
        <f>+P33+P34</f>
        <v>9233.4270752542379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8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8.75" customHeight="1" x14ac:dyDescent="0.4">
      <c r="A6" s="401" t="s">
        <v>518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activeCell="A20" sqref="A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519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520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1307.52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104.60160000000002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45.763200000000005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1157.1551999999999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1404.2738440677965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5" t="s">
        <v>88</v>
      </c>
      <c r="O35" s="376"/>
      <c r="P35" s="297">
        <f>+P33+P34</f>
        <v>1411.2952132881355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521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4197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335.76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146.89500000000001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3714.3449999999998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4507.5653389830504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5" t="s">
        <v>88</v>
      </c>
      <c r="O35" s="376"/>
      <c r="P35" s="297">
        <f>+P33+P34</f>
        <v>4530.103165677966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523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871.68000000000006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69.734400000000008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30.508800000000004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771.43680000000006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936.18256271186442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5" t="s">
        <v>88</v>
      </c>
      <c r="O35" s="376"/>
      <c r="P35" s="297">
        <f>+P33+P34</f>
        <v>940.86347552542372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525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30</v>
      </c>
      <c r="I25" s="114">
        <f t="shared" si="7"/>
        <v>1775.65</v>
      </c>
      <c r="J25" s="274">
        <f>SUM(J16:J24)</f>
        <v>142.05199999999999</v>
      </c>
      <c r="K25" s="275">
        <f t="shared" si="7"/>
        <v>62.147750000000002</v>
      </c>
      <c r="L25" s="276">
        <f t="shared" si="7"/>
        <v>0</v>
      </c>
      <c r="M25" s="232">
        <f t="shared" si="7"/>
        <v>1571.4502500000001</v>
      </c>
      <c r="N25" s="233">
        <f>SUM(N16:N24)</f>
        <v>335.59322033898297</v>
      </c>
      <c r="O25" s="101">
        <f>SUM(O16:O24)</f>
        <v>9.5352173516949144</v>
      </c>
      <c r="P25" s="234">
        <f>SUM(P16:P24)</f>
        <v>1916.578687690678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1775.65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142.05199999999999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62.147750000000002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1571.4502500000001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335.59322033898297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1907.0434703389831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9.5352173516949161</v>
      </c>
    </row>
    <row r="35" spans="2:16" ht="15.75" customHeight="1" thickBot="1" x14ac:dyDescent="0.4">
      <c r="N35" s="375" t="s">
        <v>88</v>
      </c>
      <c r="O35" s="376"/>
      <c r="P35" s="297">
        <f>+P33+P34</f>
        <v>1916.578687690678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I18" sqref="I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527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12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12">
        <v>4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12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629.54999999999995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50.364000000000004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22.03425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557.15174999999988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676.13480084745743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5" t="s">
        <v>88</v>
      </c>
      <c r="O35" s="376"/>
      <c r="P35" s="297">
        <f>+P33+P34</f>
        <v>679.51547485169476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G19" sqref="G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528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529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2905.6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232.44800000000001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101.69600000000001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2571.4560000000001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3120.6085423728814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5" t="s">
        <v>88</v>
      </c>
      <c r="O35" s="376"/>
      <c r="P35" s="297">
        <f>+P33+P34</f>
        <v>3136.2115850847458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3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46294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46293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46296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46295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2026-09-30T11:00:46Z</dcterms:modified>
</cp:coreProperties>
</file>