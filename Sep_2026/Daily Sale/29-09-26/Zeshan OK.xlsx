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BF3E0F6-2245-45A9-A820-D6CF73207638}" xr6:coauthVersionLast="47" xr6:coauthVersionMax="47" xr10:uidLastSave="{00000000-0000-0000-0000-000000000000}"/>
  <bookViews>
    <workbookView xWindow="-110" yWindow="-110" windowWidth="19420" windowHeight="10420" tabRatio="948" firstSheet="3" activeTab="1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 l="1"/>
  <c r="N5" i="64" s="1"/>
  <c r="N4" i="59"/>
  <c r="N4" i="51"/>
  <c r="N4" i="67"/>
  <c r="N5" i="67" s="1"/>
  <c r="N4" i="63"/>
  <c r="N5" i="63" s="1"/>
  <c r="N4" i="58"/>
  <c r="N4" i="50"/>
  <c r="N5" i="50" s="1"/>
  <c r="N4" i="46"/>
  <c r="N5" i="46" s="1"/>
  <c r="N4" i="70"/>
  <c r="N5" i="70" s="1"/>
  <c r="N4" i="61"/>
  <c r="N5" i="61" s="1"/>
  <c r="N4" i="57"/>
  <c r="N5" i="57" s="1"/>
  <c r="N4" i="53"/>
  <c r="N5" i="53" s="1"/>
  <c r="N4" i="45"/>
  <c r="N5" i="45" s="1"/>
  <c r="N4" i="68"/>
  <c r="N5" i="68" s="1"/>
  <c r="N4" i="55"/>
  <c r="N5" i="55" s="1"/>
  <c r="N4" i="69"/>
  <c r="N5" i="69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R20" i="48" s="1"/>
  <c r="J7" i="62"/>
  <c r="M21" i="44"/>
  <c r="O21" i="44" s="1"/>
  <c r="P21" i="44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<sst xmlns="http://schemas.openxmlformats.org/spreadsheetml/2006/main" count="3948" uniqueCount="525">
  <si>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</si>
  <si>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</si>
  <si>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</si>
  <si>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</si>
  <si>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</si>
  <si>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</si>
  <si>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</si>
  <si>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</si>
  <si>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</si>
  <si>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</si>
  <si>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</si>
  <si>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</si>
  <si>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</si>
  <si>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</si>
  <si>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</si>
  <si>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</si>
  <si>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</si>
  <si>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</si>
  <si>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</si>
  <si>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</si>
  <si>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</si>
  <si>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</si>
  <si>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</si>
  <si>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</si>
  <si>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</si>
  <si>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</si>
  <si>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</si>
  <si>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</si>
  <si>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</si>
  <si>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</si>
  <si>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</si>
  <si>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</si>
  <si>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</si>
  <si>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</si>
  <si>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</si>
  <si>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</si>
  <si>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</si>
  <si>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</si>
  <si>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</si>
  <si>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</si>
  <si>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</si>
  <si>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</si>
  <si>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</si>
  <si>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</si>
  <si>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</si>
  <si>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</si>
  <si>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</si>
  <si>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</si>
  <si>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</si>
  <si>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</si>
  <si>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</si>
  <si>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</si>
  <si>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</si>
  <si>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</si>
  <si>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</si>
  <si>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</si>
  <si>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</si>
  <si>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</si>
  <si>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</si>
  <si>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</si>
  <si>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</si>
  <si>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</si>
  <si>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</si>
  <si>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</si>
  <si>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</si>
  <si>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</si>
  <si>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</si>
  <si>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</si>
  <si>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</si>
  <si>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</si>
  <si>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</si>
  <si>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</si>
  <si>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</si>
  <si>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</si>
  <si>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</si>
  <si>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</si>
  <si>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</si>
  <si>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</si>
  <si>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</si>
  <si>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</si>
  <si>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</si>
  <si>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</si>
  <si>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</si>
  <si>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</si>
  <si>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</si>
  <si>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</si>
  <si>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</si>
  <si>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</si>
  <si>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</si>
  <si>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</si>
  <si>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</si>
  <si>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</si>
  <si>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</si>
  <si>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</si>
  <si>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</si>
  <si>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</si>
  <si>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</si>
  <si>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</si>
  <si>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</si>
  <si>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</si>
  <si>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</si>
  <si>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</si>
  <si>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</si>
  <si>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</si>
  <si>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</si>
  <si>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</si>
  <si>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</si>
  <si>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</si>
  <si>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</si>
  <si>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</si>
  <si>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</si>
  <si>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</si>
  <si>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</si>
  <si>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</si>
  <si>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</si>
  <si>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</si>
  <si>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</si>
  <si>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</si>
  <si>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</si>
  <si>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</si>
  <si>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</si>
  <si>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</si>
  <si>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</si>
  <si>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</si>
  <si>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</si>
  <si>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</si>
  <si>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</si>
  <si>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</si>
  <si>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</si>
  <si>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</si>
  <si>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</si>
  <si>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</si>
  <si>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</si>
  <si>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</si>
  <si>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</si>
  <si>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</si>
  <si>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</si>
  <si>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</si>
  <si>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</si>
  <si>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</si>
  <si>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</si>
  <si>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</si>
  <si>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</si>
  <si>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</si>
  <si>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</si>
  <si>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</si>
  <si>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</si>
  <si>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</si>
  <si>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</si>
  <si>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</si>
  <si>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</si>
  <si>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</si>
  <si>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</si>
  <si>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</si>
  <si>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</si>
  <si>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</si>
  <si>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</si>
  <si>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</si>
  <si>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</si>
  <si>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</si>
  <si>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</si>
  <si>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</si>
  <si>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</si>
  <si>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</si>
  <si>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</si>
  <si>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</si>
  <si>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</si>
  <si>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</si>
  <si>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</si>
  <si>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</si>
  <si>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</si>
  <si>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</si>
  <si>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</si>
  <si>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</si>
  <si>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</si>
  <si>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</si>
  <si>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</si>
  <si>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</si>
  <si>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</si>
  <si>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</si>
  <si>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</si>
  <si>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</si>
  <si>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</si>
  <si>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</si>
  <si>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</si>
  <si>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</si>
  <si>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</si>
  <si>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</si>
  <si>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</si>
  <si>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</si>
  <si>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</si>
  <si>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</si>
  <si>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</si>
  <si>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</si>
  <si>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</si>
  <si>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</si>
  <si>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</si>
  <si>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</si>
  <si>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</si>
  <si>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</si>
  <si>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</si>
  <si>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</si>
  <si>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</si>
  <si>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</si>
  <si>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</si>
  <si>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</si>
  <si>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</si>
  <si>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</si>
  <si>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</si>
  <si>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</si>
  <si>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</si>
  <si>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</si>
  <si>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</si>
  <si>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</si>
  <si>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</si>
  <si>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</si>
  <si>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</si>
  <si>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</si>
  <si>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</si>
  <si>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</si>
  <si>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</si>
  <si>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</si>
  <si>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</si>
  <si>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</si>
  <si>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</si>
  <si>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</si>
  <si>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</si>
  <si>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</si>
  <si>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</si>
  <si>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</si>
  <si>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</si>
  <si>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</si>
  <si>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</si>
  <si>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</si>
  <si>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</si>
  <si>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</si>
  <si>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</si>
  <si>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</si>
  <si>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</si>
  <si>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</si>
  <si>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</si>
  <si>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</si>
  <si>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</si>
  <si>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</si>
  <si>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</si>
  <si>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</si>
  <si>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</si>
  <si>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</si>
  <si>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</si>
  <si>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</si>
  <si>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</si>
  <si>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</si>
  <si>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</si>
  <si>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</si>
  <si>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</si>
  <si>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</si>
  <si>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</si>
  <si>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</si>
  <si>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</si>
  <si>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</si>
  <si>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</si>
  <si>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</si>
  <si>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</si>
  <si>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</si>
  <si>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</si>
  <si>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</si>
  <si>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</si>
  <si>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</si>
  <si>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</si>
  <si>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</si>
  <si>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</si>
  <si>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</si>
  <si>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</si>
  <si>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</si>
  <si>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</si>
  <si>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</si>
  <si>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</si>
  <si>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</si>
  <si>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</si>
  <si>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</si>
  <si>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</si>
  <si>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</si>
  <si>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</si>
  <si>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</si>
  <si>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</si>
  <si>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</si>
  <si>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</si>
  <si>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</si>
  <si>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</si>
  <si>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</si>
  <si>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</si>
  <si>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</si>
  <si>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</si>
  <si>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</si>
  <si>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</si>
  <si>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</si>
  <si>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</si>
  <si>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</si>
  <si>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</si>
  <si>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</si>
  <si>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</si>
  <si>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</si>
  <si>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</si>
  <si>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</si>
  <si>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</si>
  <si>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</si>
  <si>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</si>
  <si>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</si>
  <si>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</si>
  <si>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</si>
  <si>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</si>
  <si>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</si>
  <si>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</si>
  <si>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</si>
  <si>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</si>
  <si>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</si>
  <si>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</si>
  <si>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</si>
  <si>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</si>
  <si>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</si>
  <si>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</si>
  <si>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</si>
  <si>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</si>
  <si>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</si>
  <si>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</si>
  <si>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</si>
  <si>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</si>
  <si>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</si>
  <si>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</si>
  <si>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</si>
  <si>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</si>
  <si>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</si>
  <si>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</si>
  <si>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</si>
  <si>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</si>
  <si>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</si>
  <si>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</si>
  <si>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</si>
  <si>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</si>
  <si>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</si>
  <si>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</si>
  <si>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</si>
  <si>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</si>
  <si>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</si>
  <si>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</si>
  <si>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</si>
  <si>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</si>
  <si>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</si>
  <si>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</si>
  <si>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</si>
  <si>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</si>
  <si>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</si>
  <si>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</si>
  <si>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</si>
  <si>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</si>
  <si>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</si>
  <si>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</si>
  <si>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</si>
  <si>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</si>
  <si>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</si>
  <si>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</si>
  <si>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</si>
  <si>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</si>
  <si>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</si>
  <si>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</si>
  <si>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</si>
  <si>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</si>
  <si>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</si>
  <si>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</si>
  <si>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</si>
  <si>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</si>
  <si>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</si>
  <si>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</si>
  <si>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</si>
  <si>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</si>
  <si>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</si>
  <si>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</si>
  <si>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</si>
  <si>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</si>
  <si>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</si>
  <si>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</si>
  <si>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</si>
  <si>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</si>
  <si>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</si>
  <si>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</si>
  <si>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</si>
  <si>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</si>
  <si>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</si>
  <si>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</si>
  <si>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</si>
  <si>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</si>
  <si>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</si>
  <si>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</si>
  <si>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</si>
  <si>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</si>
  <si>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</si>
  <si>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</si>
  <si>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</si>
  <si>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</si>
  <si>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</si>
  <si>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</si>
  <si>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</si>
  <si>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</si>
  <si>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</si>
  <si>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</si>
  <si>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</si>
  <si>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</si>
  <si>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</si>
  <si>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</si>
  <si>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</si>
  <si>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</si>
  <si>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</si>
  <si>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</si>
  <si>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</si>
  <si>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</si>
  <si>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</si>
  <si>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</si>
  <si>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</si>
  <si>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</si>
  <si>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</si>
  <si>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</si>
  <si>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</si>
  <si>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</si>
  <si>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</si>
  <si>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</si>
  <si>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</si>
  <si>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</si>
  <si>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</si>
  <si>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</si>
  <si>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</si>
  <si>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</si>
  <si>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</si>
  <si>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</si>
  <si>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</si>
  <si>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</si>
  <si>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</si>
  <si>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</si>
  <si>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</si>
  <si>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</si>
  <si>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</si>
  <si>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</si>
  <si>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</si>
  <si>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</si>
  <si>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</si>
  <si>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</si>
  <si>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</si>
  <si>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</si>
  <si>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</si>
  <si>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</si>
  <si>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</si>
  <si>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</si>
  <si>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</si>
  <si>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</si>
  <si>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</si>
  <si>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</si>
  <si>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</si>
  <si>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</si>
  <si>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</si>
  <si>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</si>
  <si>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</si>
  <si>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</si>
  <si>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</si>
  <si>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</si>
  <si>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</si>
  <si>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</si>
  <si>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</si>
  <si>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</si>
  <si>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</si>
  <si>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</si>
  <si>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</si>
  <si>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</si>
  <si>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</si>
  <si>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</si>
  <si>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</si>
  <si>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</si>
  <si>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</si>
  <si>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</si>
  <si>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</si>
  <si>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</si>
  <si>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</si>
  <si>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</si>
  <si>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</si>
  <si>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</si>
  <si>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</si>
  <si>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</si>
  <si>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</si>
  <si>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</si>
  <si>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</si>
  <si>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</si>
  <si>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</si>
  <si>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</si>
  <si>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</si>
  <si>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</si>
  <si>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</si>
  <si>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</si>
  <si>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</si>
  <si>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</si>
  <si>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</si>
  <si>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</si>
  <si>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</si>
  <si>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</si>
  <si>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</si>
  <si>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</si>
  <si>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</si>
  <si>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</si>
  <si>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</si>
  <si>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</si>
  <si>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</si>
  <si>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</si>
  <si>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</si>
  <si>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</si>
  <si>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</si>
  <si>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</si>
  <si>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</si>
  <si>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Address: DHA</t>
  </si>
  <si>
    <t>Daim Store</t>
  </si>
  <si>
    <t xml:space="preserve">Bread N Butter </t>
  </si>
  <si>
    <t xml:space="preserve">Mirch Mahal </t>
  </si>
  <si>
    <t>786 Store</t>
  </si>
  <si>
    <t>Qadri Store</t>
  </si>
  <si>
    <t>Ashrif Store</t>
  </si>
  <si>
    <t>Hadi Store</t>
  </si>
  <si>
    <t>Khawaja Store</t>
  </si>
  <si>
    <t>Address: Rifal Range Road</t>
  </si>
  <si>
    <t>Usman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</si>
</sst>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3" fontId="17" fillId="0" borderId="1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4" sqref="S4:S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513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f ca="1">TODAY()</f>
        <v>46295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Daim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Bread N Butter </v>
      </c>
      <c r="T4" s="301">
        <f>+'2'!P35</f>
        <v>12544.846340338983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Mirch Mahal </v>
      </c>
      <c r="T5" s="301">
        <f>+'3'!P35</f>
        <v>470.43173776271186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786 Store</v>
      </c>
      <c r="T6" s="301">
        <f>+'4'!P35</f>
        <v>313.62115850847459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33</v>
      </c>
      <c r="I7" s="235">
        <f>(G7*D7)*F7+H7*F7</f>
        <v>1731.2625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138.50099999999998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60.594187500000004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1532.1673125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327.20338983050834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9.296853511652543</v>
      </c>
      <c r="P7" s="310">
        <f>M7+N7+O7</f>
        <v>1868.6675558421607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</v>
      </c>
      <c r="R7" s="313">
        <v>5</v>
      </c>
      <c r="S7" s="300" t="str">
        <f>+'5'!A6:A6</f>
        <v>Qadri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30</v>
      </c>
      <c r="I8" s="236">
        <f t="shared" ref="I8:I14" si="0">(G8*D8)*F8+H8*F8</f>
        <v>1573.875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125.91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55.085625000000007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1392.879375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297.45762711864393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8.45168501059322</v>
      </c>
      <c r="P8" s="311">
        <f t="shared" ref="P8:P15" si="2">M8+N8+O8</f>
        <v>1698.7886871292369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Ashrif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55</v>
      </c>
      <c r="I9" s="236">
        <f t="shared" si="0"/>
        <v>2885.4375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230.83499999999998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100.99031250000002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2553.6121874999999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545.33898305084722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15.494755852754237</v>
      </c>
      <c r="P9" s="311">
        <f t="shared" si="2"/>
        <v>3114.4459264036013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Hadi Store</v>
      </c>
      <c r="T9" s="301">
        <f>+'7'!P35</f>
        <v>2265.051582838983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70</v>
      </c>
      <c r="I10" s="236">
        <f t="shared" si="0"/>
        <v>5084.8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406.78399999999999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177.96800000000002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4500.0480000000007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961.01694915254245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27.305324745762714</v>
      </c>
      <c r="P10" s="311">
        <f t="shared" si="2"/>
        <v>5488.3702738983056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20</v>
      </c>
      <c r="R10" s="313">
        <v>8</v>
      </c>
      <c r="S10" s="300" t="str">
        <f>+'8'!A6:A6</f>
        <v>Khawaja Store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823.72881355932202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15</v>
      </c>
      <c r="R11" s="313">
        <v>9</v>
      </c>
      <c r="S11" s="300" t="str">
        <f>+'9'!A6:A6</f>
        <v>Usman Store</v>
      </c>
      <c r="T11" s="301">
        <f>+'9'!P35</f>
        <v>7553.0621716207615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110</v>
      </c>
      <c r="I12" s="236">
        <f t="shared" si="0"/>
        <v>7990.4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639.23200000000008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279.66399999999999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7071.5039999999999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1510.1694915254238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42.908367457627122</v>
      </c>
      <c r="P12" s="311">
        <f t="shared" si="2"/>
        <v>8624.5818589830506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25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8.9499999999999993</v>
      </c>
      <c r="H16" s="113">
        <f t="shared" ref="H16:M16" si="3">SUM(H7:H15)</f>
        <v>358</v>
      </c>
      <c r="I16" s="114">
        <f t="shared" si="3"/>
        <v>23624.174999999999</v>
      </c>
      <c r="J16" s="274">
        <f>SUM(J7:J15)</f>
        <v>1889.9340000000002</v>
      </c>
      <c r="K16" s="275">
        <f t="shared" si="3"/>
        <v>826.84612500000003</v>
      </c>
      <c r="L16" s="276">
        <f t="shared" si="3"/>
        <v>0</v>
      </c>
      <c r="M16" s="232">
        <f t="shared" si="3"/>
        <v>20907.394874999998</v>
      </c>
      <c r="N16" s="233">
        <f>SUM(N7:N15)</f>
        <v>4464.9152542372885</v>
      </c>
      <c r="O16" s="101">
        <f>SUM(O7:O15)</f>
        <v>126.86155064618644</v>
      </c>
      <c r="P16" s="113">
        <f>SUM(P7:P15)</f>
        <v>25499.171679883475</v>
      </c>
      <c r="Q16" s="128">
        <f>SUM(Q7:Q15)</f>
        <v>62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23624.174999999999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1889.9340000000002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826.84612500000003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20907.394874999998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4464.9152542372885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25372.310129237288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126.86155064618644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25499.171679883475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25499.171679883475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Summary!H3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7.2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5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160</v>
      </c>
      <c r="I25" s="114">
        <f t="shared" si="7"/>
        <v>11622.4</v>
      </c>
      <c r="J25" s="274">
        <f>SUM(J16:J24)</f>
        <v>929.79200000000003</v>
      </c>
      <c r="K25" s="275">
        <f t="shared" si="7"/>
        <v>406.78400000000005</v>
      </c>
      <c r="L25" s="276">
        <f t="shared" si="7"/>
        <v>0</v>
      </c>
      <c r="M25" s="232">
        <f t="shared" si="7"/>
        <v>10285.824000000001</v>
      </c>
      <c r="N25" s="233">
        <f>SUM(N16:N24)</f>
        <v>2196.6101694915255</v>
      </c>
      <c r="O25" s="101">
        <f>SUM(O16:O24)</f>
        <v>62.412170847457631</v>
      </c>
      <c r="P25" s="234">
        <f>SUM(P16:P24)</f>
        <v>12544.846340338983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11622.4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929.79200000000003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406.78400000000005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10285.824000000001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12482.434169491526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62.412170847457631</v>
      </c>
    </row>
    <row r="35" spans="2:16" ht="15.75" customHeight="1" thickBot="1" x14ac:dyDescent="0.4">
      <c r="N35" s="375" t="s">
        <v>88</v>
      </c>
      <c r="O35" s="376"/>
      <c r="P35" s="297">
        <f>+P33+P34</f>
        <v>12544.846340338983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8.75" customHeight="1" x14ac:dyDescent="0.4">
      <c r="A6" s="401" t="s">
        <v>517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435.84000000000003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34.867200000000004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15.254400000000002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385.71840000000003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468.09128135593221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5" t="s">
        <v>88</v>
      </c>
      <c r="O35" s="376"/>
      <c r="P35" s="297">
        <f>+P33+P34</f>
        <v>470.43173776271186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518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234">
        <f>SUM(P16:P24)</f>
        <v>313.62115850847459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290.56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23.244800000000001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10.169600000000001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257.1456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312.06085423728814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75" t="s">
        <v>88</v>
      </c>
      <c r="O35" s="376"/>
      <c r="P35" s="297">
        <f>+P33+P34</f>
        <v>313.62115850847459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519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726.4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58.112000000000002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25.424000000000003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642.86400000000003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780.15213559322035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5" t="s">
        <v>88</v>
      </c>
      <c r="O35" s="376"/>
      <c r="P35" s="297">
        <f>+P33+P34</f>
        <v>784.05289627118646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0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'1'!N4:P5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520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726.4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58.112000000000002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25.424000000000003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642.86400000000003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780.15213559322035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5" t="s">
        <v>88</v>
      </c>
      <c r="O35" s="376"/>
      <c r="P35" s="297">
        <f>+P33+P34</f>
        <v>784.05289627118646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10" workbookViewId="0">
      <selection activeCell="S27" sqref="S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521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321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321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321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2098.5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167.88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73.447500000000019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1857.1724999999999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2253.7826694915252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5" t="s">
        <v>88</v>
      </c>
      <c r="O35" s="376"/>
      <c r="P35" s="297">
        <f>+P33+P34</f>
        <v>2265.051582838983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522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726.4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58.112000000000002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25.424000000000003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642.86400000000003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780.15213559322035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5" t="s">
        <v>88</v>
      </c>
      <c r="O35" s="376"/>
      <c r="P35" s="297">
        <f>+P33+P34</f>
        <v>784.05289627118646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2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524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18</v>
      </c>
      <c r="I16" s="235">
        <f>(G16*D16)*F16+H16*F16</f>
        <v>944.32499999999993</v>
      </c>
      <c r="J16" s="271">
        <f>$I16*S16</f>
        <v>75.545999999999992</v>
      </c>
      <c r="K16" s="127">
        <f>$I16*T16</f>
        <v>33.051375</v>
      </c>
      <c r="L16" s="118">
        <f>$I16*U16</f>
        <v>0</v>
      </c>
      <c r="M16" s="229">
        <f>I16-SUM(J16:L16)</f>
        <v>835.72762499999999</v>
      </c>
      <c r="N16" s="248">
        <f>+(G16*D16+H16)*V16</f>
        <v>178.47457627118638</v>
      </c>
      <c r="O16" s="238">
        <f>(N16+M16)*$O$15</f>
        <v>5.0710110063559322</v>
      </c>
      <c r="P16" s="118">
        <f>M16+N16+O16</f>
        <v>1019.2732122775423</v>
      </c>
      <c r="Q16" s="318">
        <v>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118</v>
      </c>
      <c r="I25" s="114">
        <f t="shared" si="7"/>
        <v>6997.6749999999993</v>
      </c>
      <c r="J25" s="274">
        <f>SUM(J16:J24)</f>
        <v>559.81399999999996</v>
      </c>
      <c r="K25" s="275">
        <f t="shared" si="7"/>
        <v>244.91862499999999</v>
      </c>
      <c r="L25" s="276">
        <f t="shared" si="7"/>
        <v>0</v>
      </c>
      <c r="M25" s="232">
        <f t="shared" si="7"/>
        <v>6192.9423750000005</v>
      </c>
      <c r="N25" s="233">
        <f>SUM(N16:N24)</f>
        <v>1322.5423728813557</v>
      </c>
      <c r="O25" s="101">
        <f>SUM(O16:O24)</f>
        <v>37.577423739406775</v>
      </c>
      <c r="P25" s="234">
        <f>SUM(P16:P24)</f>
        <v>7553.0621716207615</v>
      </c>
      <c r="Q25" s="239">
        <f>SUM(Q16:Q24)</f>
        <v>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6997.6749999999993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559.81399999999996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244.91862499999999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6192.9423749999987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1322.5423728813557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7515.4847478813545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37.577423739406775</v>
      </c>
    </row>
    <row r="35" spans="2:16" ht="15.75" customHeight="1" thickBot="1" x14ac:dyDescent="0.4">
      <c r="N35" s="375" t="s">
        <v>88</v>
      </c>
      <c r="O35" s="376"/>
      <c r="P35" s="297">
        <f>+P33+P34</f>
        <v>7553.0621716207615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8.7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Zeshan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46296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46295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2026-09-30T11:06:42Z</dcterms:modified>
</cp:coreProperties>
</file>