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97EEFC8-00A1-4F74-88AD-E32E5D56E01C}" xr6:coauthVersionLast="47" xr6:coauthVersionMax="47" xr10:uidLastSave="{00000000-0000-0000-0000-000000000000}"/>
  <bookViews>
    <workbookView xWindow="-110" yWindow="-110" windowWidth="19420" windowHeight="10420" tabRatio="948" firstSheet="3" activeTab="12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F22" i="47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 l="1"/>
  <c r="N5" i="64" s="1"/>
  <c r="N4" i="59"/>
  <c r="N4" i="51"/>
  <c r="N4" i="67"/>
  <c r="N5" i="67" s="1"/>
  <c r="N4" i="63"/>
  <c r="N5" i="63" s="1"/>
  <c r="N4" i="58"/>
  <c r="N5" i="50"/>
  <c r="N4" i="46"/>
  <c r="N5" i="46" s="1"/>
  <c r="N4" i="70"/>
  <c r="N5" i="70" s="1"/>
  <c r="N4" i="61"/>
  <c r="N5" i="61" s="1"/>
  <c r="N4" i="57"/>
  <c r="N5" i="57" s="1"/>
  <c r="N4" i="53"/>
  <c r="N5" i="53" s="1"/>
  <c r="N4" i="45"/>
  <c r="N5" i="45" s="1"/>
  <c r="N4" i="68"/>
  <c r="N5" i="68" s="1"/>
  <c r="N4" i="55"/>
  <c r="N5" i="55" s="1"/>
  <c r="N4" i="69"/>
  <c r="N5" i="69" s="1"/>
  <c r="N4" i="65"/>
  <c r="N5" i="65" s="1"/>
  <c r="N4" i="60"/>
  <c r="N5" i="60" s="1"/>
  <c r="N4" i="52"/>
  <c r="N5" i="52" s="1"/>
  <c r="N4" i="44"/>
  <c r="N5" i="44" s="1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8" l="1"/>
  <c r="O20" i="48" s="1"/>
  <c r="P20" i="48" s="1"/>
  <c r="R20" i="48" s="1"/>
  <c r="J7" i="62"/>
  <c r="M21" i="44"/>
  <c r="O21" i="44" s="1"/>
  <c r="P21" i="44" s="1"/>
  <c r="K12" i="62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<sst xmlns="http://schemas.openxmlformats.org/spreadsheetml/2006/main" count="3948" uniqueCount="525">
  <si>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</si>
  <si>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</si>
  <si>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</si>
  <si>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</si>
  <si>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</si>
  <si>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</si>
  <si>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</si>
  <si>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</si>
  <si>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</si>
  <si>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</si>
  <si>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</si>
  <si>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</si>
  <si>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</si>
  <si>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</si>
  <si>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</si>
  <si>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</si>
  <si>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</si>
  <si>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</si>
  <si>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</si>
  <si>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</si>
  <si>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</si>
  <si>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</si>
  <si>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</si>
  <si>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</si>
  <si>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</si>
  <si>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</si>
  <si>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</si>
  <si>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</si>
  <si>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</si>
  <si>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</si>
  <si>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</si>
  <si>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</si>
  <si>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</si>
  <si>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</si>
  <si>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</si>
  <si>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</si>
  <si>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</si>
  <si>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</si>
  <si>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</si>
  <si>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</si>
  <si>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</si>
  <si>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</si>
  <si>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</si>
  <si>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</si>
  <si>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</si>
  <si>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</si>
  <si>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</si>
  <si>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</si>
  <si>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</si>
  <si>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</si>
  <si>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</si>
  <si>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</si>
  <si>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</si>
  <si>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</si>
  <si>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</si>
  <si>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</si>
  <si>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</si>
  <si>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</si>
  <si>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</si>
  <si>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</si>
  <si>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</si>
  <si>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</si>
  <si>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</si>
  <si>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</si>
  <si>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</si>
  <si>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</si>
  <si>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</si>
  <si>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</si>
  <si>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</si>
  <si>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</si>
  <si>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</si>
  <si>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</si>
  <si>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</si>
  <si>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</si>
  <si>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</si>
  <si>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</si>
  <si>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</si>
  <si>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</si>
  <si>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</si>
  <si>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</si>
  <si>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</si>
  <si>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</si>
  <si>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</si>
  <si>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</si>
  <si>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</si>
  <si>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</si>
  <si>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</si>
  <si>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</si>
  <si>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</si>
  <si>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</si>
  <si>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</si>
  <si>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</si>
  <si>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</si>
  <si>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</si>
  <si>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</si>
  <si>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</si>
  <si>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</si>
  <si>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</si>
  <si>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</si>
  <si>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</si>
  <si>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</si>
  <si>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</si>
  <si>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</si>
  <si>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</si>
  <si>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</si>
  <si>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</si>
  <si>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</si>
  <si>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</si>
  <si>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</si>
  <si>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</si>
  <si>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</si>
  <si>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</si>
  <si>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</si>
  <si>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</si>
  <si>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</si>
  <si>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</si>
  <si>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</si>
  <si>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</si>
  <si>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</si>
  <si>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</si>
  <si>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</si>
  <si>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</si>
  <si>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</si>
  <si>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</si>
  <si>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</si>
  <si>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</si>
  <si>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</si>
  <si>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</si>
  <si>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</si>
  <si>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</si>
  <si>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</si>
  <si>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</si>
  <si>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</si>
  <si>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</si>
  <si>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</si>
  <si>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</si>
  <si>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</si>
  <si>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</si>
  <si>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</si>
  <si>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</si>
  <si>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</si>
  <si>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</si>
  <si>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</si>
  <si>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</si>
  <si>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</si>
  <si>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</si>
  <si>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</si>
  <si>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</si>
  <si>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</si>
  <si>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</si>
  <si>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</si>
  <si>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</si>
  <si>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</si>
  <si>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</si>
  <si>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</si>
  <si>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</si>
  <si>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</si>
  <si>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</si>
  <si>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</si>
  <si>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</si>
  <si>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</si>
  <si>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</si>
  <si>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</si>
  <si>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</si>
  <si>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</si>
  <si>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</si>
  <si>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</si>
  <si>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</si>
  <si>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</si>
  <si>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</si>
  <si>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</si>
  <si>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</si>
  <si>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</si>
  <si>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</si>
  <si>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</si>
  <si>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</si>
  <si>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</si>
  <si>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</si>
  <si>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</si>
  <si>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</si>
  <si>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</si>
  <si>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</si>
  <si>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</si>
  <si>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</si>
  <si>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</si>
  <si>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</si>
  <si>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</si>
  <si>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</si>
  <si>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</si>
  <si>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</si>
  <si>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</si>
  <si>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</si>
  <si>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</si>
  <si>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</si>
  <si>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</si>
  <si>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</si>
  <si>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</si>
  <si>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</si>
  <si>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</si>
  <si>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</si>
  <si>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</si>
  <si>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</si>
  <si>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</si>
  <si>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</si>
  <si>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</si>
  <si>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</si>
  <si>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</si>
  <si>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</si>
  <si>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</si>
  <si>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</si>
  <si>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</si>
  <si>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</si>
  <si>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</si>
  <si>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</si>
  <si>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</si>
  <si>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</si>
  <si>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</si>
  <si>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</si>
  <si>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</si>
  <si>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</si>
  <si>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</si>
  <si>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</si>
  <si>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</si>
  <si>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</si>
  <si>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</si>
  <si>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</si>
  <si>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</si>
  <si>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</si>
  <si>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</si>
  <si>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</si>
  <si>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</si>
  <si>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</si>
  <si>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</si>
  <si>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</si>
  <si>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</si>
  <si>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</si>
  <si>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</si>
  <si>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</si>
  <si>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</si>
  <si>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</si>
  <si>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</si>
  <si>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</si>
  <si>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</si>
  <si>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</si>
  <si>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</si>
  <si>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</si>
  <si>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</si>
  <si>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</si>
  <si>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</si>
  <si>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</si>
  <si>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</si>
  <si>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</si>
  <si>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</si>
  <si>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</si>
  <si>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</si>
  <si>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</si>
  <si>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</si>
  <si>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</si>
  <si>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</si>
  <si>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</si>
  <si>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</si>
  <si>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</si>
  <si>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</si>
  <si>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</si>
  <si>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</si>
  <si>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</si>
  <si>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</si>
  <si>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</si>
  <si>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</si>
  <si>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</si>
  <si>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</si>
  <si>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</si>
  <si>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</si>
  <si>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</si>
  <si>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</si>
  <si>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</si>
  <si>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</si>
  <si>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</si>
  <si>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</si>
  <si>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</si>
  <si>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</si>
  <si>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</si>
  <si>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</si>
  <si>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</si>
  <si>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</si>
  <si>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</si>
  <si>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</si>
  <si>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</si>
  <si>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</si>
  <si>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</si>
  <si>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</si>
  <si>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</si>
  <si>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</si>
  <si>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</si>
  <si>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</si>
  <si>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</si>
  <si>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</si>
  <si>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</si>
  <si>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</si>
  <si>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</si>
  <si>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</si>
  <si>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</si>
  <si>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</si>
  <si>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</si>
  <si>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</si>
  <si>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</si>
  <si>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</si>
  <si>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</si>
  <si>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</si>
  <si>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</si>
  <si>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</si>
  <si>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</si>
  <si>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</si>
  <si>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</si>
  <si>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</si>
  <si>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</si>
  <si>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</si>
  <si>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</si>
  <si>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</si>
  <si>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</si>
  <si>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</si>
  <si>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</si>
  <si>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</si>
  <si>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</si>
  <si>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</si>
  <si>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</si>
  <si>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</si>
  <si>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</si>
  <si>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</si>
  <si>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</si>
  <si>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</si>
  <si>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</si>
  <si>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</si>
  <si>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</si>
  <si>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</si>
  <si>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</si>
  <si>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</si>
  <si>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</si>
  <si>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</si>
  <si>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</si>
  <si>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</si>
  <si>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</si>
  <si>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</si>
  <si>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</si>
  <si>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</si>
  <si>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</si>
  <si>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</si>
  <si>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</si>
  <si>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</si>
  <si>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</si>
  <si>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</si>
  <si>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</si>
  <si>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</si>
  <si>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</si>
  <si>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</si>
  <si>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</si>
  <si>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</si>
  <si>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</si>
  <si>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</si>
  <si>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</si>
  <si>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</si>
  <si>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</si>
  <si>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</si>
  <si>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</si>
  <si>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</si>
  <si>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</si>
  <si>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</si>
  <si>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</si>
  <si>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</si>
  <si>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</si>
  <si>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</si>
  <si>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</si>
  <si>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</si>
  <si>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</si>
  <si>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</si>
  <si>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</si>
  <si>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</si>
  <si>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</si>
  <si>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</si>
  <si>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</si>
  <si>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</si>
  <si>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</si>
  <si>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</si>
  <si>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</si>
  <si>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</si>
  <si>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</si>
  <si>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</si>
  <si>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</si>
  <si>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</si>
  <si>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</si>
  <si>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</si>
  <si>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</si>
  <si>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</si>
  <si>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</si>
  <si>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</si>
  <si>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</si>
  <si>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</si>
  <si>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</si>
  <si>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</si>
  <si>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</si>
  <si>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</si>
  <si>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</si>
  <si>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</si>
  <si>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</si>
  <si>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</si>
  <si>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</si>
  <si>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</si>
  <si>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</si>
  <si>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</si>
  <si>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</si>
  <si>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</si>
  <si>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</si>
  <si>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</si>
  <si>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</si>
  <si>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</si>
  <si>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</si>
  <si>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</si>
  <si>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</si>
  <si>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</si>
  <si>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</si>
  <si>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</si>
  <si>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</si>
  <si>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</si>
  <si>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</si>
  <si>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</si>
  <si>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</si>
  <si>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</si>
  <si>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</si>
  <si>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</si>
  <si>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</si>
  <si>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</si>
  <si>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</si>
  <si>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</si>
  <si>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</si>
  <si>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</si>
  <si>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</si>
  <si>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</si>
  <si>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</si>
  <si>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</si>
  <si>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</si>
  <si>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</si>
  <si>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</si>
  <si>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</si>
  <si>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</si>
  <si>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</si>
  <si>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</si>
  <si>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</si>
  <si>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</si>
  <si>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</si>
  <si>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</si>
  <si>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</si>
  <si>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</si>
  <si>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</si>
  <si>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</si>
  <si>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</si>
  <si>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</si>
  <si>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</si>
  <si>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</si>
  <si>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</si>
  <si>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</si>
  <si>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</si>
  <si>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</si>
  <si>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</si>
  <si>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</si>
  <si>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</si>
  <si>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</si>
  <si>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</si>
  <si>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</si>
  <si>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</si>
  <si>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</si>
  <si>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</si>
  <si>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</si>
  <si>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</si>
  <si>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</si>
  <si>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</si>
  <si>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</si>
  <si>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</si>
  <si>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</si>
  <si>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</si>
  <si>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</si>
  <si>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</si>
  <si>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</si>
  <si>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</si>
  <si>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</si>
  <si>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</si>
  <si>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</si>
  <si>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</si>
  <si>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</si>
  <si>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</si>
  <si>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</si>
  <si>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</si>
  <si>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</si>
  <si>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</si>
  <si>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</si>
  <si>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</si>
  <si>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</si>
  <si>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</si>
  <si>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</si>
  <si>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</si>
  <si>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</si>
  <si>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</si>
  <si>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</si>
  <si>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</si>
  <si>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</si>
  <si>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</si>
  <si>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</si>
  <si>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</si>
  <si>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</si>
  <si>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</si>
  <si>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</si>
  <si>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</si>
  <si>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</si>
  <si>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</si>
  <si>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Zeshan</t>
  </si>
  <si>
    <t>Address: DHA</t>
  </si>
  <si>
    <t>Daim Store</t>
  </si>
  <si>
    <t xml:space="preserve">Bread N Butter </t>
  </si>
  <si>
    <t xml:space="preserve">Mirch Mahal </t>
  </si>
  <si>
    <t>786 Store</t>
  </si>
  <si>
    <t>Qadri Store</t>
  </si>
  <si>
    <t>Ashrif Store</t>
  </si>
  <si>
    <t>Hadi Store</t>
  </si>
  <si>
    <t>Khawaja Store</t>
  </si>
  <si>
    <t>Address: Rifal Range Road</t>
  </si>
  <si>
    <t>Usman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</si>
</sst>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3" fontId="17" fillId="0" borderId="1" xfId="0" applyNumberFormat="1" applyFont="1" applyBorder="1" applyAlignment="1">
      <alignment horizontal="center" vertical="top" shrinkToFi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S11" sqref="S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70" t="s">
        <v>91</v>
      </c>
      <c r="B2" s="370"/>
      <c r="C2" s="370"/>
      <c r="E2" s="357" t="s">
        <v>498</v>
      </c>
      <c r="F2" s="358"/>
      <c r="G2" s="358"/>
      <c r="H2" s="355" t="s">
        <v>513</v>
      </c>
      <c r="I2" s="355"/>
      <c r="J2" s="356"/>
      <c r="R2" s="352" t="s">
        <v>497</v>
      </c>
      <c r="S2" s="353"/>
      <c r="T2" s="354"/>
    </row>
    <row r="3" spans="1:20 16377:16378" ht="21.75" customHeight="1" thickBot="1" x14ac:dyDescent="0.4">
      <c r="A3" s="371" t="s">
        <v>92</v>
      </c>
      <c r="B3" s="371"/>
      <c r="C3" s="371"/>
      <c r="E3" s="361" t="s">
        <v>508</v>
      </c>
      <c r="F3" s="362"/>
      <c r="G3" s="362"/>
      <c r="H3" s="359">
        <f ca="1">TODAY()</f>
        <v>46296</v>
      </c>
      <c r="I3" s="359"/>
      <c r="J3" s="360"/>
      <c r="K3" s="372" t="s">
        <v>43</v>
      </c>
      <c r="L3" s="372"/>
      <c r="M3" s="372"/>
      <c r="N3" s="371"/>
      <c r="O3" s="371"/>
      <c r="P3" s="371"/>
      <c r="R3" s="299">
        <v>1</v>
      </c>
      <c r="S3" s="300" t="str">
        <f>+'1'!A6:A6</f>
        <v>Daim Store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Bread N Butter </v>
      </c>
      <c r="T4" s="301">
        <f>+'2'!P35</f>
        <v>12544.846340338983</v>
      </c>
      <c r="XEX4" t="s">
        <v>105</v>
      </c>
    </row>
    <row r="5" spans="1:20 16377:16378" ht="21.75" customHeight="1" thickBot="1" x14ac:dyDescent="0.4">
      <c r="A5" s="391" t="s">
        <v>51</v>
      </c>
      <c r="B5" s="363"/>
      <c r="C5" s="393" t="s">
        <v>90</v>
      </c>
      <c r="D5" s="115" t="s">
        <v>52</v>
      </c>
      <c r="E5" s="395" t="s">
        <v>58</v>
      </c>
      <c r="F5" s="396"/>
      <c r="G5" s="368" t="s">
        <v>54</v>
      </c>
      <c r="H5" s="369"/>
      <c r="I5" s="397" t="s">
        <v>77</v>
      </c>
      <c r="J5" s="367" t="s">
        <v>55</v>
      </c>
      <c r="K5" s="368"/>
      <c r="L5" s="369"/>
      <c r="M5" s="363" t="s">
        <v>84</v>
      </c>
      <c r="N5" s="365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Mirch Mahal </v>
      </c>
      <c r="T5" s="301">
        <f>+'3'!P35</f>
        <v>470.43173776271186</v>
      </c>
      <c r="XEX5" t="s">
        <v>106</v>
      </c>
    </row>
    <row r="6" spans="1:20 16377:16378" ht="21.75" customHeight="1" thickBot="1" x14ac:dyDescent="0.4">
      <c r="A6" s="392"/>
      <c r="B6" s="364"/>
      <c r="C6" s="394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6"/>
      <c r="J6" s="143" t="s">
        <v>59</v>
      </c>
      <c r="K6" s="144" t="s">
        <v>39</v>
      </c>
      <c r="L6" s="145" t="s">
        <v>493</v>
      </c>
      <c r="M6" s="364"/>
      <c r="N6" s="36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786 Store</v>
      </c>
      <c r="T6" s="301">
        <f>+'4'!P35</f>
        <v>313.62115850847459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33</v>
      </c>
      <c r="I7" s="235">
        <f>(G7*D7)*F7+H7*F7</f>
        <v>1731.2625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138.50099999999998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60.594187500000004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1532.1673125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327.20338983050834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9.296853511652543</v>
      </c>
      <c r="P7" s="310">
        <f>M7+N7+O7</f>
        <v>1868.6675558421607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2</v>
      </c>
      <c r="R7" s="313">
        <v>5</v>
      </c>
      <c r="S7" s="300" t="str">
        <f>+'5'!A6:A6</f>
        <v>Qadri Store</v>
      </c>
      <c r="T7" s="301">
        <f>+'5'!P35</f>
        <v>784.05289627118646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30</v>
      </c>
      <c r="I8" s="236">
        <f t="shared" ref="I8:I14" si="0">(G8*D8)*F8+H8*F8</f>
        <v>1573.875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125.91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55.085625000000007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1392.879375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297.45762711864393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8.45168501059322</v>
      </c>
      <c r="P8" s="311">
        <f t="shared" ref="P8:P15" si="2">M8+N8+O8</f>
        <v>1698.7886871292369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Ashrif Store</v>
      </c>
      <c r="T8" s="301">
        <f>+'6'!P35</f>
        <v>784.05289627118646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55</v>
      </c>
      <c r="I9" s="236">
        <f t="shared" si="0"/>
        <v>2885.4375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230.83499999999998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100.99031250000002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2553.6121874999999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545.33898305084722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15.494755852754237</v>
      </c>
      <c r="P9" s="311">
        <f t="shared" si="2"/>
        <v>3114.4459264036013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Hadi Store</v>
      </c>
      <c r="T9" s="301">
        <f>+'7'!P35</f>
        <v>2265.051582838983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70</v>
      </c>
      <c r="I10" s="236">
        <f t="shared" si="0"/>
        <v>5084.8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406.78399999999999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177.96800000000002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4500.0480000000007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961.01694915254245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27.305324745762714</v>
      </c>
      <c r="P10" s="311">
        <f t="shared" si="2"/>
        <v>5488.3702738983056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20</v>
      </c>
      <c r="R10" s="313">
        <v>8</v>
      </c>
      <c r="S10" s="300" t="str">
        <f>+'8'!A6:A6</f>
        <v>Khawaja Store</v>
      </c>
      <c r="T10" s="301">
        <f>+'8'!P35</f>
        <v>784.05289627118646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60</v>
      </c>
      <c r="I11" s="236">
        <f t="shared" si="0"/>
        <v>4358.3999999999996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348.67200000000003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152.54400000000001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3857.1839999999997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823.72881355932202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23.40456406779661</v>
      </c>
      <c r="P11" s="311">
        <f t="shared" si="2"/>
        <v>4704.3173776271187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15</v>
      </c>
      <c r="R11" s="313">
        <v>9</v>
      </c>
      <c r="S11" s="300" t="str">
        <f>+'9'!A6:A6</f>
        <v>Usman Store</v>
      </c>
      <c r="T11" s="301">
        <f>+'9'!P35</f>
        <v>7553.0621716207615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110</v>
      </c>
      <c r="I12" s="236">
        <f t="shared" si="0"/>
        <v>7990.4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639.23200000000008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279.66399999999999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7071.5039999999999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1510.1694915254238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42.908367457627122</v>
      </c>
      <c r="P12" s="311">
        <f t="shared" si="2"/>
        <v>8624.5818589830506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25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3">
        <f>COUNT(A7:A15)</f>
        <v>0</v>
      </c>
      <c r="B16" s="374"/>
      <c r="C16" s="374" t="s">
        <v>40</v>
      </c>
      <c r="D16" s="374"/>
      <c r="E16" s="374"/>
      <c r="F16" s="375"/>
      <c r="G16" s="117">
        <f>H16/40</f>
        <v>8.9499999999999993</v>
      </c>
      <c r="H16" s="113">
        <f t="shared" ref="H16:M16" si="3">SUM(H7:H15)</f>
        <v>358</v>
      </c>
      <c r="I16" s="114">
        <f t="shared" si="3"/>
        <v>23624.174999999999</v>
      </c>
      <c r="J16" s="274">
        <f>SUM(J7:J15)</f>
        <v>1889.9340000000002</v>
      </c>
      <c r="K16" s="275">
        <f t="shared" si="3"/>
        <v>826.84612500000003</v>
      </c>
      <c r="L16" s="276">
        <f t="shared" si="3"/>
        <v>0</v>
      </c>
      <c r="M16" s="232">
        <f t="shared" si="3"/>
        <v>20907.394874999998</v>
      </c>
      <c r="N16" s="233">
        <f>SUM(N7:N15)</f>
        <v>4464.9152542372885</v>
      </c>
      <c r="O16" s="101">
        <f>SUM(O7:O15)</f>
        <v>126.86155064618644</v>
      </c>
      <c r="P16" s="113">
        <f>SUM(P7:P15)</f>
        <v>25499.171679883475</v>
      </c>
      <c r="Q16" s="128">
        <f>SUM(Q7:Q15)</f>
        <v>62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6" t="s">
        <v>64</v>
      </c>
      <c r="C19" s="377"/>
      <c r="D19" s="377"/>
      <c r="E19" s="377"/>
      <c r="F19" s="377"/>
      <c r="G19" s="377"/>
      <c r="H19" s="377"/>
      <c r="I19" s="377"/>
      <c r="J19" s="377"/>
      <c r="K19" s="377"/>
      <c r="L19" s="378"/>
      <c r="N19" s="385" t="s">
        <v>60</v>
      </c>
      <c r="O19" s="386"/>
      <c r="P19" s="139">
        <f>I16</f>
        <v>23624.174999999999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9"/>
      <c r="C20" s="380"/>
      <c r="D20" s="380"/>
      <c r="E20" s="380"/>
      <c r="F20" s="380"/>
      <c r="G20" s="380"/>
      <c r="H20" s="380"/>
      <c r="I20" s="380"/>
      <c r="J20" s="380"/>
      <c r="K20" s="380"/>
      <c r="L20" s="381"/>
      <c r="N20" s="387" t="s">
        <v>85</v>
      </c>
      <c r="O20" s="388"/>
      <c r="P20" s="140">
        <f>+J16</f>
        <v>1889.9340000000002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9"/>
      <c r="C21" s="380"/>
      <c r="D21" s="380"/>
      <c r="E21" s="380"/>
      <c r="F21" s="380"/>
      <c r="G21" s="380"/>
      <c r="H21" s="380"/>
      <c r="I21" s="380"/>
      <c r="J21" s="380"/>
      <c r="K21" s="380"/>
      <c r="L21" s="381"/>
      <c r="N21" s="387" t="s">
        <v>86</v>
      </c>
      <c r="O21" s="388"/>
      <c r="P21" s="140">
        <f>+K16+L16</f>
        <v>826.84612500000003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9"/>
      <c r="C22" s="380"/>
      <c r="D22" s="380"/>
      <c r="E22" s="380"/>
      <c r="F22" s="380"/>
      <c r="G22" s="380"/>
      <c r="H22" s="380"/>
      <c r="I22" s="380"/>
      <c r="J22" s="380"/>
      <c r="K22" s="380"/>
      <c r="L22" s="381"/>
      <c r="M22" s="131"/>
      <c r="N22" s="387" t="s">
        <v>87</v>
      </c>
      <c r="O22" s="388"/>
      <c r="P22" s="140">
        <f>P19-P20-P21</f>
        <v>20907.394874999998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9"/>
      <c r="C23" s="380"/>
      <c r="D23" s="380"/>
      <c r="E23" s="380"/>
      <c r="F23" s="380"/>
      <c r="G23" s="380"/>
      <c r="H23" s="380"/>
      <c r="I23" s="380"/>
      <c r="J23" s="380"/>
      <c r="K23" s="380"/>
      <c r="L23" s="381"/>
      <c r="M23" s="131"/>
      <c r="N23" s="136" t="s">
        <v>61</v>
      </c>
      <c r="O23" s="133">
        <v>0.18</v>
      </c>
      <c r="P23" s="140">
        <f>+N16</f>
        <v>4464.9152542372885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9"/>
      <c r="C24" s="380"/>
      <c r="D24" s="380"/>
      <c r="E24" s="380"/>
      <c r="F24" s="380"/>
      <c r="G24" s="380"/>
      <c r="H24" s="380"/>
      <c r="I24" s="380"/>
      <c r="J24" s="380"/>
      <c r="K24" s="380"/>
      <c r="L24" s="381"/>
      <c r="M24" s="131"/>
      <c r="N24" s="389" t="s">
        <v>76</v>
      </c>
      <c r="O24" s="390"/>
      <c r="P24" s="140">
        <f>P22+P23</f>
        <v>25372.310129237288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2"/>
      <c r="C25" s="383"/>
      <c r="D25" s="383"/>
      <c r="E25" s="383"/>
      <c r="F25" s="383"/>
      <c r="G25" s="383"/>
      <c r="H25" s="383"/>
      <c r="I25" s="383"/>
      <c r="J25" s="383"/>
      <c r="K25" s="383"/>
      <c r="L25" s="384"/>
      <c r="M25" s="99"/>
      <c r="N25" s="138" t="s">
        <v>83</v>
      </c>
      <c r="O25" s="137" t="e">
        <f>IF(#REF!="Filer",0.5%,2.5%)</f>
        <v>#REF!</v>
      </c>
      <c r="P25" s="140">
        <f>+O16</f>
        <v>126.86155064618644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6" t="s">
        <v>88</v>
      </c>
      <c r="O26" s="347"/>
      <c r="P26" s="297">
        <f>+P24+P25</f>
        <v>25499.171679883475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8"/>
      <c r="D27" s="348"/>
      <c r="E27" s="348"/>
      <c r="F27" s="348"/>
      <c r="G27" s="348"/>
      <c r="H27" s="348"/>
      <c r="I27" s="349"/>
      <c r="J27" s="350"/>
      <c r="K27" s="351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25499.171679883475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Summary!H3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96">
        <v>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96">
        <v>5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96">
        <v>10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464.89600000000002</v>
      </c>
      <c r="K21" s="128">
        <f t="shared" si="1"/>
        <v>203.39200000000002</v>
      </c>
      <c r="L21" s="119">
        <f t="shared" si="1"/>
        <v>0</v>
      </c>
      <c r="M21" s="230">
        <f t="shared" si="2"/>
        <v>5142.9120000000003</v>
      </c>
      <c r="N21" s="277">
        <f t="shared" si="3"/>
        <v>1098.3050847457628</v>
      </c>
      <c r="O21" s="239">
        <f t="shared" si="4"/>
        <v>31.206085423728815</v>
      </c>
      <c r="P21" s="119">
        <f t="shared" si="5"/>
        <v>6272.4231701694916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160</v>
      </c>
      <c r="I25" s="114">
        <f t="shared" si="7"/>
        <v>11622.4</v>
      </c>
      <c r="J25" s="274">
        <f>SUM(J16:J24)</f>
        <v>929.79200000000003</v>
      </c>
      <c r="K25" s="275">
        <f t="shared" si="7"/>
        <v>406.78400000000005</v>
      </c>
      <c r="L25" s="276">
        <f t="shared" si="7"/>
        <v>0</v>
      </c>
      <c r="M25" s="232">
        <f t="shared" si="7"/>
        <v>10285.824000000001</v>
      </c>
      <c r="N25" s="233">
        <f>SUM(N16:N24)</f>
        <v>2196.6101694915255</v>
      </c>
      <c r="O25" s="101">
        <f>SUM(O16:O24)</f>
        <v>62.412170847457631</v>
      </c>
      <c r="P25" s="234">
        <f>SUM(P16:P24)</f>
        <v>12544.846340338983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11622.4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929.79200000000003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406.78400000000005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10285.824000000001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2196.6101694915255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12482.434169491526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62.412170847457631</v>
      </c>
    </row>
    <row r="35" spans="2:16" ht="15.75" customHeight="1" thickBot="1" x14ac:dyDescent="0.4">
      <c r="N35" s="346" t="s">
        <v>88</v>
      </c>
      <c r="O35" s="347"/>
      <c r="P35" s="297">
        <f>+P33+P34</f>
        <v>12544.846340338983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119">
        <f t="shared" si="5"/>
        <v>235.21586888135593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</v>
      </c>
      <c r="I21" s="236">
        <f t="shared" si="0"/>
        <v>217.92000000000002</v>
      </c>
      <c r="J21" s="272">
        <f t="shared" si="1"/>
        <v>17.433600000000002</v>
      </c>
      <c r="K21" s="128">
        <f t="shared" si="1"/>
        <v>7.6272000000000011</v>
      </c>
      <c r="L21" s="119">
        <f t="shared" si="1"/>
        <v>0</v>
      </c>
      <c r="M21" s="230">
        <f t="shared" si="2"/>
        <v>192.85920000000002</v>
      </c>
      <c r="N21" s="277">
        <f t="shared" si="3"/>
        <v>41.186440677966104</v>
      </c>
      <c r="O21" s="239">
        <f t="shared" si="4"/>
        <v>1.1702282033898306</v>
      </c>
      <c r="P21" s="119">
        <f t="shared" si="5"/>
        <v>235.21586888135593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435.84000000000003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34.867200000000004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15.254400000000002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385.71840000000003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468.09128135593221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6" t="s">
        <v>88</v>
      </c>
      <c r="O35" s="347"/>
      <c r="P35" s="297">
        <f>+P33+P34</f>
        <v>470.43173776271186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10"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4</v>
      </c>
      <c r="I25" s="114">
        <f t="shared" si="7"/>
        <v>290.56</v>
      </c>
      <c r="J25" s="274">
        <f>SUM(J16:J24)</f>
        <v>23.244800000000001</v>
      </c>
      <c r="K25" s="275">
        <f t="shared" si="7"/>
        <v>10.169600000000001</v>
      </c>
      <c r="L25" s="276">
        <f t="shared" si="7"/>
        <v>0</v>
      </c>
      <c r="M25" s="232">
        <f t="shared" si="7"/>
        <v>257.1456</v>
      </c>
      <c r="N25" s="233">
        <f>SUM(N16:N24)</f>
        <v>54.915254237288138</v>
      </c>
      <c r="O25" s="101">
        <f>SUM(O16:O24)</f>
        <v>1.5603042711864408</v>
      </c>
      <c r="P25" s="234">
        <f>SUM(P16:P24)</f>
        <v>313.62115850847459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290.56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23.244800000000001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10.169600000000001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257.1456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54.915254237288138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312.06085423728814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1.5603042711864408</v>
      </c>
    </row>
    <row r="35" spans="2:16" ht="15.75" customHeight="1" thickBot="1" x14ac:dyDescent="0.4">
      <c r="N35" s="346" t="s">
        <v>88</v>
      </c>
      <c r="O35" s="347"/>
      <c r="P35" s="297">
        <f>+P33+P34</f>
        <v>313.62115850847459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726.4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58.112000000000002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25.424000000000003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642.86400000000003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780.15213559322035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6" t="s">
        <v>88</v>
      </c>
      <c r="O35" s="347"/>
      <c r="P35" s="297">
        <f>+P33+P34</f>
        <v>784.05289627118646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10"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'1'!N4:P5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726.4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58.112000000000002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25.424000000000003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642.86400000000003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780.15213559322035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6" t="s">
        <v>88</v>
      </c>
      <c r="O35" s="347"/>
      <c r="P35" s="297">
        <f>+P33+P34</f>
        <v>784.05289627118646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10" workbookViewId="0">
      <selection activeCell="S27" sqref="S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321">
        <v>15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321">
        <v>10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321">
        <v>15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73.447500000000019</v>
      </c>
      <c r="L25" s="276">
        <f t="shared" si="7"/>
        <v>0</v>
      </c>
      <c r="M25" s="232">
        <f t="shared" si="7"/>
        <v>1857.1724999999999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2265.0515828389825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2098.5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167.88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73.447500000000019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1857.1724999999999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2253.7826694915252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46" t="s">
        <v>88</v>
      </c>
      <c r="O35" s="347"/>
      <c r="P35" s="297">
        <f>+P33+P34</f>
        <v>2265.051582838983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6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726.4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58.112000000000002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25.424000000000003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642.86400000000003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780.15213559322035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6" t="s">
        <v>88</v>
      </c>
      <c r="O35" s="347"/>
      <c r="P35" s="297">
        <f>+P33+P34</f>
        <v>784.05289627118646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abSelected="1" topLeftCell="A20" workbookViewId="0">
      <selection activeCell="I27" sqref="I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18</v>
      </c>
      <c r="I16" s="235">
        <f>(G16*D16)*F16+H16*F16</f>
        <v>944.32499999999993</v>
      </c>
      <c r="J16" s="271">
        <f>$I16*S16</f>
        <v>75.545999999999992</v>
      </c>
      <c r="K16" s="127">
        <f>$I16*T16</f>
        <v>33.051375</v>
      </c>
      <c r="L16" s="118">
        <f>$I16*U16</f>
        <v>0</v>
      </c>
      <c r="M16" s="229">
        <f>I16-SUM(J16:L16)</f>
        <v>835.72762499999999</v>
      </c>
      <c r="N16" s="248">
        <f>+(G16*D16+H16)*V16</f>
        <v>178.47457627118638</v>
      </c>
      <c r="O16" s="238">
        <f>(N16+M16)*$O$15</f>
        <v>5.0710110063559322</v>
      </c>
      <c r="P16" s="118">
        <f>M16+N16+O16</f>
        <v>1019.2732122775423</v>
      </c>
      <c r="Q16" s="318">
        <v>2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83.94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928.58625000000006</v>
      </c>
      <c r="N17" s="277">
        <f t="shared" ref="N17:N24" si="3">+(G17*D17+H17)*V17</f>
        <v>198.30508474576263</v>
      </c>
      <c r="O17" s="239">
        <f t="shared" ref="O17:O24" si="4">(N17+M17)*$O$15</f>
        <v>5.6344566737288133</v>
      </c>
      <c r="P17" s="119">
        <f t="shared" ref="P17:P24" si="5">M17+N17+O17</f>
        <v>1132.5257914194915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118</v>
      </c>
      <c r="I25" s="114">
        <f t="shared" si="7"/>
        <v>6997.6749999999993</v>
      </c>
      <c r="J25" s="274">
        <f>SUM(J16:J24)</f>
        <v>559.81399999999996</v>
      </c>
      <c r="K25" s="275">
        <f t="shared" si="7"/>
        <v>244.91862499999999</v>
      </c>
      <c r="L25" s="276">
        <f t="shared" si="7"/>
        <v>0</v>
      </c>
      <c r="M25" s="232">
        <f t="shared" si="7"/>
        <v>6192.9423750000005</v>
      </c>
      <c r="N25" s="233">
        <f>SUM(N16:N24)</f>
        <v>1322.5423728813557</v>
      </c>
      <c r="O25" s="101">
        <f>SUM(O16:O24)</f>
        <v>37.577423739406775</v>
      </c>
      <c r="P25" s="234">
        <f>SUM(P16:P24)</f>
        <v>7553.0621716207615</v>
      </c>
      <c r="Q25" s="239">
        <f>SUM(Q16:Q24)</f>
        <v>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6997.6749999999993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559.81399999999996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244.91862499999999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6192.9423749999987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1322.5423728813557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7515.4847478813545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37.577423739406775</v>
      </c>
    </row>
    <row r="35" spans="2:16" ht="15.75" customHeight="1" thickBot="1" x14ac:dyDescent="0.4">
      <c r="N35" s="346" t="s">
        <v>88</v>
      </c>
      <c r="O35" s="347"/>
      <c r="P35" s="297">
        <f>+P33+P34</f>
        <v>7553.0621716207615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 ca="1">'1'!N4:P4</f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 ca="1"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Zeshan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70" t="s">
        <v>91</v>
      </c>
      <c r="B2" s="370"/>
      <c r="C2" s="370"/>
    </row>
    <row r="3" spans="1:18 16382:16383" ht="15" customHeight="1" x14ac:dyDescent="0.35">
      <c r="A3" s="371" t="s">
        <v>92</v>
      </c>
      <c r="B3" s="371"/>
      <c r="C3" s="371"/>
      <c r="F3" s="85"/>
      <c r="G3" s="1"/>
      <c r="J3" s="372" t="s">
        <v>43</v>
      </c>
      <c r="K3" s="372"/>
      <c r="L3" s="372"/>
      <c r="M3" s="371"/>
      <c r="N3" s="371"/>
      <c r="O3" s="37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1" t="s">
        <v>65</v>
      </c>
      <c r="B4" s="371"/>
      <c r="C4" s="371"/>
      <c r="F4" s="85"/>
      <c r="G4" s="1"/>
      <c r="J4" s="372" t="s">
        <v>44</v>
      </c>
      <c r="K4" s="372"/>
      <c r="L4" s="372"/>
      <c r="M4" s="402">
        <f ca="1">TODAY()+1</f>
        <v>46297</v>
      </c>
      <c r="N4" s="402"/>
      <c r="O4" s="402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72" t="s">
        <v>45</v>
      </c>
      <c r="K5" s="372"/>
      <c r="L5" s="372"/>
      <c r="M5" s="402">
        <f ca="1">M4-1</f>
        <v>46296</v>
      </c>
      <c r="N5" s="371"/>
      <c r="O5" s="371"/>
      <c r="Q5" s="85"/>
      <c r="R5" s="1"/>
    </row>
    <row r="6" spans="1:18 16382:16383" ht="15" customHeight="1" x14ac:dyDescent="0.35">
      <c r="A6" s="372" t="s">
        <v>94</v>
      </c>
      <c r="B6" s="372"/>
      <c r="C6" s="372"/>
      <c r="F6" s="85"/>
      <c r="G6" s="86"/>
      <c r="J6" s="372" t="s">
        <v>69</v>
      </c>
      <c r="K6" s="372"/>
      <c r="L6" s="372"/>
      <c r="M6" s="401" t="s">
        <v>62</v>
      </c>
      <c r="N6" s="401"/>
      <c r="O6" s="401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2" t="s">
        <v>73</v>
      </c>
      <c r="B7" s="372"/>
      <c r="C7" s="372"/>
      <c r="F7" s="85"/>
      <c r="G7" s="86"/>
      <c r="J7" s="372" t="s">
        <v>66</v>
      </c>
      <c r="K7" s="372"/>
      <c r="L7" s="372"/>
      <c r="M7" s="401" t="s">
        <v>70</v>
      </c>
      <c r="N7" s="401"/>
      <c r="O7" s="401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72" t="s">
        <v>67</v>
      </c>
      <c r="K8" s="372"/>
      <c r="L8" s="372"/>
      <c r="M8" s="401" t="s">
        <v>71</v>
      </c>
      <c r="N8" s="401"/>
      <c r="O8" s="401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72" t="s">
        <v>68</v>
      </c>
      <c r="K9" s="372"/>
      <c r="L9" s="372"/>
      <c r="M9" s="401" t="s">
        <v>104</v>
      </c>
      <c r="N9" s="401"/>
      <c r="O9" s="401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72" t="s">
        <v>46</v>
      </c>
      <c r="K10" s="372"/>
      <c r="L10" s="372"/>
      <c r="M10" s="371" t="s">
        <v>47</v>
      </c>
      <c r="N10" s="371"/>
      <c r="O10" s="37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2" t="s">
        <v>48</v>
      </c>
      <c r="K11" s="372"/>
      <c r="L11" s="372"/>
      <c r="M11" s="371" t="s">
        <v>49</v>
      </c>
      <c r="N11" s="371"/>
      <c r="O11" s="37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2" t="s">
        <v>50</v>
      </c>
      <c r="K12" s="372"/>
      <c r="L12" s="372"/>
      <c r="M12" s="371"/>
      <c r="N12" s="371"/>
      <c r="O12" s="37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1" t="s">
        <v>51</v>
      </c>
      <c r="B14" s="363"/>
      <c r="C14" s="393" t="s">
        <v>90</v>
      </c>
      <c r="D14" s="88" t="s">
        <v>52</v>
      </c>
      <c r="E14" s="95" t="s">
        <v>74</v>
      </c>
      <c r="F14" s="115" t="s">
        <v>53</v>
      </c>
      <c r="G14" s="367" t="s">
        <v>54</v>
      </c>
      <c r="H14" s="369"/>
      <c r="I14" s="397" t="s">
        <v>77</v>
      </c>
      <c r="J14" s="368" t="s">
        <v>55</v>
      </c>
      <c r="K14" s="369"/>
      <c r="L14" s="397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2"/>
      <c r="B15" s="364"/>
      <c r="C15" s="394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6"/>
      <c r="J15" s="144" t="s">
        <v>39</v>
      </c>
      <c r="K15" s="145" t="s">
        <v>59</v>
      </c>
      <c r="L15" s="36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8"/>
      <c r="M28" s="385" t="s">
        <v>60</v>
      </c>
      <c r="N28" s="386"/>
      <c r="O28" s="139">
        <f>I25</f>
        <v>1452.8</v>
      </c>
    </row>
    <row r="29" spans="1:18 16383:16383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1"/>
      <c r="M29" s="387" t="s">
        <v>85</v>
      </c>
      <c r="N29" s="388"/>
      <c r="O29" s="140">
        <f>K25</f>
        <v>0</v>
      </c>
    </row>
    <row r="30" spans="1:18 16383:16383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1"/>
      <c r="M30" s="387" t="s">
        <v>86</v>
      </c>
      <c r="N30" s="388"/>
      <c r="O30" s="140">
        <f>J25</f>
        <v>50.848000000000006</v>
      </c>
    </row>
    <row r="31" spans="1:18 16383:16383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1"/>
      <c r="L31" s="131"/>
      <c r="M31" s="387" t="s">
        <v>87</v>
      </c>
      <c r="N31" s="388"/>
      <c r="O31" s="140">
        <f>O28-O29-O30</f>
        <v>1401.952</v>
      </c>
    </row>
    <row r="32" spans="1:18 16383:16383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1"/>
      <c r="L33" s="131"/>
      <c r="M33" s="389" t="s">
        <v>76</v>
      </c>
      <c r="N33" s="390"/>
      <c r="O33" s="140">
        <f>O31+O32</f>
        <v>1710.3814400000001</v>
      </c>
    </row>
    <row r="34" spans="2:15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6" t="s">
        <v>88</v>
      </c>
      <c r="N35" s="347"/>
      <c r="O35" s="141">
        <f>O28-O29+O31+O34</f>
        <v>2897.511536</v>
      </c>
    </row>
    <row r="36" spans="2:15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5" t="s">
        <v>439</v>
      </c>
      <c r="E1" s="338" t="s">
        <v>58</v>
      </c>
      <c r="F1" s="338"/>
      <c r="G1" s="339" t="s">
        <v>440</v>
      </c>
      <c r="H1" s="339"/>
      <c r="I1" s="412" t="s">
        <v>441</v>
      </c>
      <c r="J1" s="412"/>
      <c r="K1" s="412" t="s">
        <v>442</v>
      </c>
      <c r="L1" s="412"/>
      <c r="M1" s="407" t="s">
        <v>484</v>
      </c>
      <c r="N1" s="408"/>
      <c r="O1" s="409"/>
    </row>
    <row r="2" spans="3:24" ht="29" x14ac:dyDescent="0.35">
      <c r="C2" s="338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10" t="s">
        <v>476</v>
      </c>
      <c r="D6" s="410"/>
      <c r="E6" s="410"/>
      <c r="F6" s="410"/>
      <c r="G6" s="410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06" t="s">
        <v>58</v>
      </c>
      <c r="F7" s="406"/>
      <c r="G7" s="404" t="s">
        <v>440</v>
      </c>
      <c r="H7" s="339"/>
      <c r="I7" s="340" t="s">
        <v>441</v>
      </c>
      <c r="J7" s="341"/>
      <c r="K7" s="340" t="s">
        <v>442</v>
      </c>
      <c r="L7" s="341"/>
      <c r="M7" s="407" t="s">
        <v>484</v>
      </c>
      <c r="N7" s="408"/>
      <c r="O7" s="409"/>
      <c r="P7" s="256" t="s">
        <v>475</v>
      </c>
      <c r="Q7" s="242" t="s">
        <v>473</v>
      </c>
      <c r="R7" s="405" t="s">
        <v>475</v>
      </c>
      <c r="S7" s="405" t="s">
        <v>485</v>
      </c>
      <c r="T7" s="403" t="s">
        <v>486</v>
      </c>
      <c r="U7" s="403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04"/>
      <c r="U8" s="404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1" t="s">
        <v>477</v>
      </c>
      <c r="D12" s="411"/>
      <c r="E12" s="411"/>
      <c r="F12" s="411"/>
      <c r="G12" s="411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7" t="s">
        <v>484</v>
      </c>
      <c r="N13" s="408"/>
      <c r="O13" s="409"/>
      <c r="P13" s="256" t="s">
        <v>475</v>
      </c>
      <c r="Q13" s="242" t="s">
        <v>473</v>
      </c>
      <c r="R13" s="405" t="s">
        <v>475</v>
      </c>
      <c r="S13" s="405" t="s">
        <v>485</v>
      </c>
      <c r="T13" s="403" t="s">
        <v>486</v>
      </c>
      <c r="U13" s="403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04"/>
      <c r="U14" s="404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10" t="s">
        <v>478</v>
      </c>
      <c r="D19" s="410"/>
      <c r="E19" s="410"/>
      <c r="F19" s="410"/>
      <c r="G19" s="410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7" t="s">
        <v>484</v>
      </c>
      <c r="N20" s="408"/>
      <c r="O20" s="409"/>
      <c r="P20" s="256" t="s">
        <v>475</v>
      </c>
      <c r="Q20" s="242" t="s">
        <v>473</v>
      </c>
      <c r="R20" s="405" t="s">
        <v>475</v>
      </c>
      <c r="S20" s="405" t="s">
        <v>485</v>
      </c>
      <c r="T20" s="403" t="s">
        <v>486</v>
      </c>
      <c r="U20" s="403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04"/>
      <c r="U21" s="404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10" t="s">
        <v>479</v>
      </c>
      <c r="D26" s="410"/>
      <c r="E26" s="410"/>
      <c r="F26" s="410"/>
      <c r="G26" s="410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7" t="s">
        <v>484</v>
      </c>
      <c r="N27" s="408"/>
      <c r="O27" s="409"/>
      <c r="P27" s="256" t="s">
        <v>475</v>
      </c>
      <c r="Q27" s="242" t="s">
        <v>473</v>
      </c>
      <c r="R27" s="405" t="s">
        <v>475</v>
      </c>
      <c r="S27" s="405" t="s">
        <v>485</v>
      </c>
      <c r="T27" s="403" t="s">
        <v>486</v>
      </c>
      <c r="U27" s="403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04"/>
      <c r="U28" s="404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5" t="s">
        <v>439</v>
      </c>
      <c r="D1" s="338" t="s">
        <v>58</v>
      </c>
      <c r="E1" s="338"/>
      <c r="F1" s="339" t="s">
        <v>440</v>
      </c>
      <c r="G1" s="339"/>
      <c r="H1" s="412" t="s">
        <v>441</v>
      </c>
      <c r="I1" s="412"/>
      <c r="J1" s="412" t="s">
        <v>442</v>
      </c>
      <c r="K1" s="412"/>
      <c r="L1" s="407" t="s">
        <v>484</v>
      </c>
      <c r="M1" s="408"/>
      <c r="N1" s="409"/>
    </row>
    <row r="2" spans="2:17" ht="29" x14ac:dyDescent="0.35">
      <c r="B2" s="338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5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2026-10-01T04:12:39Z</dcterms:modified>
</cp:coreProperties>
</file>