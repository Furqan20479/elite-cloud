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7641CEC-335C-4EB9-9763-CE9EDF8324F0}" xr6:coauthVersionLast="47" xr6:coauthVersionMax="47" xr10:uidLastSave="{00000000-0000-0000-0000-000000000000}"/>
  <bookViews>
    <workbookView xWindow="-110" yWindow="-110" windowWidth="19420" windowHeight="10420" tabRatio="948" firstSheet="3" activeTab="6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7" l="1"/>
  <c r="N5" i="67" s="1"/>
  <c r="N4" i="46"/>
  <c r="N5" i="46" s="1"/>
  <c r="N4" i="64"/>
  <c r="N5" i="64" s="1"/>
  <c r="N4" i="63"/>
  <c r="N5" i="63" s="1"/>
  <c r="N4" i="70"/>
  <c r="N5" i="70" s="1"/>
  <c r="N4" i="59"/>
  <c r="N4" i="58"/>
  <c r="N5" i="58" s="1"/>
  <c r="N4" i="61"/>
  <c r="N5" i="61" s="1"/>
  <c r="N5" i="11"/>
  <c r="N4" i="51"/>
  <c r="N5" i="51" s="1"/>
  <c r="N4" i="50"/>
  <c r="N5" i="50" s="1"/>
  <c r="N4" i="57"/>
  <c r="N5" i="57" s="1"/>
  <c r="N4" i="53"/>
  <c r="N5" i="53" s="1"/>
  <c r="N4" i="45"/>
  <c r="N5" i="45" s="1"/>
  <c r="N4" i="68"/>
  <c r="N5" i="68" s="1"/>
  <c r="N4" i="55"/>
  <c r="N5" i="55" s="1"/>
  <c r="N4" i="69"/>
  <c r="N5" i="69" s="1"/>
  <c r="N4" i="65"/>
  <c r="N5" i="65" s="1"/>
  <c r="N4" i="60"/>
  <c r="N5" i="60" s="1"/>
  <c r="N4" i="52"/>
  <c r="N5" i="52" s="1"/>
  <c r="N4" i="44"/>
  <c r="N5" i="44" s="1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3" i="59" l="1"/>
  <c r="M16" i="59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<sst xmlns="http://schemas.openxmlformats.org/spreadsheetml/2006/main" count="3948" uniqueCount="525">
  <si>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</si>
  <si>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</si>
  <si>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</si>
  <si>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</si>
  <si>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</si>
  <si>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</si>
  <si>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</si>
  <si>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</si>
  <si>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</si>
  <si>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</si>
  <si>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</si>
  <si>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</si>
  <si>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</si>
  <si>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</si>
  <si>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</si>
  <si>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</si>
  <si>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</si>
  <si>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</si>
  <si>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</si>
  <si>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</si>
  <si>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</si>
  <si>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</si>
  <si>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</si>
  <si>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</si>
  <si>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</si>
  <si>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</si>
  <si>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</si>
  <si>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</si>
  <si>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</si>
  <si>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</si>
  <si>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</si>
  <si>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</si>
  <si>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</si>
  <si>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</si>
  <si>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</si>
  <si>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</si>
  <si>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</si>
  <si>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</si>
  <si>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</si>
  <si>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</si>
  <si>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</si>
  <si>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</si>
  <si>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</si>
  <si>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</si>
  <si>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</si>
  <si>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</si>
  <si>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</si>
  <si>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</si>
  <si>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</si>
  <si>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</si>
  <si>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</si>
  <si>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</si>
  <si>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</si>
  <si>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</si>
  <si>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</si>
  <si>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</si>
  <si>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</si>
  <si>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</si>
  <si>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</si>
  <si>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</si>
  <si>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</si>
  <si>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</si>
  <si>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</si>
  <si>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</si>
  <si>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</si>
  <si>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</si>
  <si>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</si>
  <si>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</si>
  <si>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</si>
  <si>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</si>
  <si>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</si>
  <si>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</si>
  <si>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</si>
  <si>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</si>
  <si>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</si>
  <si>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</si>
  <si>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</si>
  <si>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</si>
  <si>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</si>
  <si>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</si>
  <si>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</si>
  <si>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</si>
  <si>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</si>
  <si>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</si>
  <si>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</si>
  <si>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</si>
  <si>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</si>
  <si>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</si>
  <si>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</si>
  <si>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</si>
  <si>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</si>
  <si>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</si>
  <si>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</si>
  <si>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</si>
  <si>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</si>
  <si>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</si>
  <si>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</si>
  <si>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</si>
  <si>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</si>
  <si>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</si>
  <si>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</si>
  <si>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</si>
  <si>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</si>
  <si>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</si>
  <si>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</si>
  <si>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</si>
  <si>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</si>
  <si>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</si>
  <si>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</si>
  <si>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</si>
  <si>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</si>
  <si>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</si>
  <si>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</si>
  <si>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</si>
  <si>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</si>
  <si>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</si>
  <si>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</si>
  <si>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</si>
  <si>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</si>
  <si>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</si>
  <si>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</si>
  <si>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</si>
  <si>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</si>
  <si>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</si>
  <si>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</si>
  <si>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</si>
  <si>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</si>
  <si>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</si>
  <si>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</si>
  <si>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</si>
  <si>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</si>
  <si>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</si>
  <si>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</si>
  <si>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</si>
  <si>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</si>
  <si>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</si>
  <si>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</si>
  <si>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</si>
  <si>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</si>
  <si>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</si>
  <si>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</si>
  <si>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</si>
  <si>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</si>
  <si>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</si>
  <si>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</si>
  <si>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</si>
  <si>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</si>
  <si>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</si>
  <si>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</si>
  <si>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</si>
  <si>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</si>
  <si>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</si>
  <si>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</si>
  <si>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</si>
  <si>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</si>
  <si>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</si>
  <si>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</si>
  <si>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</si>
  <si>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</si>
  <si>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</si>
  <si>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</si>
  <si>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</si>
  <si>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</si>
  <si>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</si>
  <si>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</si>
  <si>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</si>
  <si>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</si>
  <si>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</si>
  <si>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</si>
  <si>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</si>
  <si>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</si>
  <si>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</si>
  <si>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</si>
  <si>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</si>
  <si>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</si>
  <si>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</si>
  <si>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</si>
  <si>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</si>
  <si>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</si>
  <si>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</si>
  <si>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</si>
  <si>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</si>
  <si>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</si>
  <si>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</si>
  <si>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</si>
  <si>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</si>
  <si>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</si>
  <si>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</si>
  <si>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</si>
  <si>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</si>
  <si>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</si>
  <si>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</si>
  <si>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</si>
  <si>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</si>
  <si>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</si>
  <si>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</si>
  <si>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</si>
  <si>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</si>
  <si>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</si>
  <si>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</si>
  <si>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</si>
  <si>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</si>
  <si>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</si>
  <si>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</si>
  <si>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</si>
  <si>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</si>
  <si>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</si>
  <si>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</si>
  <si>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</si>
  <si>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</si>
  <si>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</si>
  <si>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</si>
  <si>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</si>
  <si>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</si>
  <si>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</si>
  <si>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</si>
  <si>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</si>
  <si>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</si>
  <si>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</si>
  <si>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</si>
  <si>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</si>
  <si>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</si>
  <si>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</si>
  <si>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</si>
  <si>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</si>
  <si>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</si>
  <si>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</si>
  <si>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</si>
  <si>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</si>
  <si>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</si>
  <si>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</si>
  <si>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</si>
  <si>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</si>
  <si>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</si>
  <si>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</si>
  <si>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</si>
  <si>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</si>
  <si>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</si>
  <si>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</si>
  <si>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</si>
  <si>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</si>
  <si>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</si>
  <si>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</si>
  <si>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</si>
  <si>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</si>
  <si>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</si>
  <si>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</si>
  <si>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</si>
  <si>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</si>
  <si>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</si>
  <si>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</si>
  <si>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</si>
  <si>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</si>
  <si>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</si>
  <si>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</si>
  <si>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</si>
  <si>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</si>
  <si>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</si>
  <si>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</si>
  <si>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</si>
  <si>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</si>
  <si>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</si>
  <si>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</si>
  <si>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</si>
  <si>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</si>
  <si>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</si>
  <si>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</si>
  <si>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</si>
  <si>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</si>
  <si>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</si>
  <si>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</si>
  <si>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</si>
  <si>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</si>
  <si>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</si>
  <si>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</si>
  <si>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</si>
  <si>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</si>
  <si>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</si>
  <si>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</si>
  <si>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</si>
  <si>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</si>
  <si>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</si>
  <si>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</si>
  <si>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</si>
  <si>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</si>
  <si>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</si>
  <si>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</si>
  <si>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</si>
  <si>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</si>
  <si>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</si>
  <si>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</si>
  <si>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</si>
  <si>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</si>
  <si>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</si>
  <si>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</si>
  <si>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</si>
  <si>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</si>
  <si>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</si>
  <si>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</si>
  <si>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</si>
  <si>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</si>
  <si>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</si>
  <si>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</si>
  <si>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</si>
  <si>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</si>
  <si>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</si>
  <si>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</si>
  <si>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</si>
  <si>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</si>
  <si>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</si>
  <si>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</si>
  <si>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</si>
  <si>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</si>
  <si>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</si>
  <si>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</si>
  <si>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</si>
  <si>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</si>
  <si>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</si>
  <si>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</si>
  <si>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</si>
  <si>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</si>
  <si>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</si>
  <si>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</si>
  <si>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</si>
  <si>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</si>
  <si>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</si>
  <si>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</si>
  <si>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</si>
  <si>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</si>
  <si>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</si>
  <si>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</si>
  <si>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</si>
  <si>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</si>
  <si>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</si>
  <si>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</si>
  <si>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</si>
  <si>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</si>
  <si>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</si>
  <si>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</si>
  <si>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</si>
  <si>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</si>
  <si>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</si>
  <si>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</si>
  <si>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</si>
  <si>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</si>
  <si>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</si>
  <si>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</si>
  <si>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</si>
  <si>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</si>
  <si>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</si>
  <si>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</si>
  <si>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</si>
  <si>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</si>
  <si>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</si>
  <si>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</si>
  <si>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</si>
  <si>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</si>
  <si>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</si>
  <si>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</si>
  <si>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</si>
  <si>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</si>
  <si>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</si>
  <si>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</si>
  <si>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</si>
  <si>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</si>
  <si>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</si>
  <si>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</si>
  <si>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</si>
  <si>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</si>
  <si>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</si>
  <si>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</si>
  <si>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</si>
  <si>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</si>
  <si>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</si>
  <si>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</si>
  <si>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</si>
  <si>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</si>
  <si>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</si>
  <si>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</si>
  <si>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</si>
  <si>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</si>
  <si>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</si>
  <si>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</si>
  <si>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</si>
  <si>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</si>
  <si>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</si>
  <si>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</si>
  <si>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</si>
  <si>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</si>
  <si>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</si>
  <si>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</si>
  <si>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</si>
  <si>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</si>
  <si>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</si>
  <si>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</si>
  <si>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</si>
  <si>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</si>
  <si>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</si>
  <si>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</si>
  <si>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</si>
  <si>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</si>
  <si>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</si>
  <si>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</si>
  <si>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</si>
  <si>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</si>
  <si>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</si>
  <si>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</si>
  <si>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</si>
  <si>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</si>
  <si>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</si>
  <si>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</si>
  <si>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</si>
  <si>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</si>
  <si>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</si>
  <si>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</si>
  <si>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</si>
  <si>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</si>
  <si>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</si>
  <si>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</si>
  <si>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</si>
  <si>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</si>
  <si>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</si>
  <si>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</si>
  <si>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</si>
  <si>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</si>
  <si>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</si>
  <si>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</si>
  <si>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</si>
  <si>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</si>
  <si>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</si>
  <si>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</si>
  <si>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</si>
  <si>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</si>
  <si>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</si>
  <si>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</si>
  <si>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</si>
  <si>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</si>
  <si>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</si>
  <si>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</si>
  <si>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</si>
  <si>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</si>
  <si>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</si>
  <si>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</si>
  <si>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</si>
  <si>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</si>
  <si>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</si>
  <si>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</si>
  <si>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</si>
  <si>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</si>
  <si>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</si>
  <si>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</si>
  <si>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</si>
  <si>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</si>
  <si>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</si>
  <si>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</si>
  <si>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</si>
  <si>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</si>
  <si>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</si>
  <si>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</si>
  <si>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</si>
  <si>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</si>
  <si>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</si>
  <si>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</si>
  <si>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</si>
  <si>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</si>
  <si>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</si>
  <si>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</si>
  <si>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</si>
  <si>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</si>
  <si>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</si>
  <si>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</si>
  <si>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</si>
  <si>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</si>
  <si>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</si>
  <si>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</si>
  <si>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</si>
  <si>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</si>
  <si>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</si>
  <si>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</si>
  <si>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</si>
  <si>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</si>
  <si>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</si>
  <si>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</si>
  <si>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</si>
  <si>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</si>
  <si>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</si>
  <si>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</si>
  <si>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</si>
  <si>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</si>
  <si>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</si>
  <si>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</si>
  <si>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</si>
  <si>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</si>
  <si>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</si>
  <si>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</si>
  <si>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</si>
  <si>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</si>
  <si>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</si>
  <si>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</si>
  <si>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</si>
  <si>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</si>
  <si>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</si>
  <si>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</si>
  <si>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</si>
  <si>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</si>
  <si>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</si>
  <si>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</si>
  <si>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</si>
  <si>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</si>
  <si>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</si>
  <si>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</si>
  <si>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</si>
  <si>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</si>
  <si>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Furqan</t>
  </si>
  <si>
    <t xml:space="preserve">Lawrance Bekery </t>
  </si>
  <si>
    <t>Address: Lawrance Road</t>
  </si>
  <si>
    <t>Abdul Ghafar Store</t>
  </si>
  <si>
    <t>Shell Petrol Pump</t>
  </si>
  <si>
    <t xml:space="preserve">Address: China Chowk </t>
  </si>
  <si>
    <t>Sadiq Store</t>
  </si>
  <si>
    <t>Address: Guru Mangat Road</t>
  </si>
  <si>
    <t>Baber Sadique Store</t>
  </si>
  <si>
    <t xml:space="preserve">Hashim Mart </t>
  </si>
  <si>
    <t xml:space="preserve">Address: GOR1 </t>
  </si>
  <si>
    <t>Khan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</si>
</sst>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S5" activeCellId="1" sqref="S3 S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46294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Lawrance Bekery </v>
      </c>
      <c r="T3" s="301">
        <f>+'1'!P35</f>
        <v>6668.6151985169481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Abdul Ghafar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Shell Petrol Pump</v>
      </c>
      <c r="T5" s="301">
        <f>+'3'!P35</f>
        <v>8537.4747530084751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Sadiq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10</v>
      </c>
      <c r="R7" s="313">
        <v>5</v>
      </c>
      <c r="S7" s="300" t="str">
        <f>+'5'!A6:A6</f>
        <v>Baber Sadique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209.85000000000002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1815.2024999999999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11.059063347457625</v>
      </c>
      <c r="P8" s="311">
        <f t="shared" ref="P8:P15" si="2">M8+N8+O8</f>
        <v>2222.8717328389826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5</v>
      </c>
      <c r="R8" s="313">
        <v>6</v>
      </c>
      <c r="S8" s="300" t="str">
        <f>+'6'!A6:A6</f>
        <v xml:space="preserve">Hashim Mart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</v>
      </c>
      <c r="I9" s="236">
        <f t="shared" si="0"/>
        <v>6295.5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587.58000000000004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220.34250000000003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5487.5774999999994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1189.8305084745757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33.387040042372874</v>
      </c>
      <c r="P9" s="311">
        <f t="shared" si="2"/>
        <v>6710.7950485169476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20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232.44800000000001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2571.4560000000001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15.603042711864408</v>
      </c>
      <c r="P10" s="311">
        <f t="shared" si="2"/>
        <v>3136.2115850847458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3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232.44800000000001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2571.4560000000001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15.603042711864408</v>
      </c>
      <c r="P11" s="311">
        <f t="shared" si="2"/>
        <v>3136.2115850847458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12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6</v>
      </c>
      <c r="H16" s="113">
        <f t="shared" ref="H16:M16" si="3">SUM(H7:H15)</f>
        <v>240</v>
      </c>
      <c r="I16" s="114">
        <f t="shared" si="3"/>
        <v>14205.2</v>
      </c>
      <c r="J16" s="274">
        <f>SUM(J7:J15)</f>
        <v>1262.3260000000002</v>
      </c>
      <c r="K16" s="275">
        <f t="shared" si="3"/>
        <v>497.18200000000007</v>
      </c>
      <c r="L16" s="276">
        <f t="shared" si="3"/>
        <v>0</v>
      </c>
      <c r="M16" s="232">
        <f t="shared" si="3"/>
        <v>12445.691999999999</v>
      </c>
      <c r="N16" s="233">
        <f>SUM(N7:N15)</f>
        <v>2684.7457627118638</v>
      </c>
      <c r="O16" s="101">
        <f>SUM(O7:O15)</f>
        <v>75.652188813559306</v>
      </c>
      <c r="P16" s="113">
        <f>SUM(P7:P15)</f>
        <v>15206.089951525422</v>
      </c>
      <c r="Q16" s="128">
        <f>SUM(Q7:Q15)</f>
        <v>50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14205.2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1262.3260000000002</v>
      </c>
      <c r="R20" s="299">
        <v>18</v>
      </c>
      <c r="S20" s="300" t="str">
        <f>+'18'!A6:A6</f>
        <v>Khan Store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497.18200000000007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12445.691999999999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2684.7457627118638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15130.437762711863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75.652188813559306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15206.089951525422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15206.089951525424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5"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7.2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209.85000000000002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1815.2024999999999</v>
      </c>
      <c r="N17" s="277">
        <f t="shared" ref="N17:N24" si="3">+(G17*D17+H17)*V17</f>
        <v>396.61016949152526</v>
      </c>
      <c r="O17" s="239">
        <f t="shared" ref="O17:O24" si="4">(N17+M17)*$O$15</f>
        <v>11.059063347457625</v>
      </c>
      <c r="P17" s="119">
        <f t="shared" ref="P17:P24" si="5">M17+N17+O17</f>
        <v>2222.8717328389826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ref="I18:I21" si="7">(G18*D18)*F18+H18*F18</f>
        <v>4197</v>
      </c>
      <c r="J18" s="272">
        <f t="shared" si="1"/>
        <v>419.70000000000005</v>
      </c>
      <c r="K18" s="128">
        <f t="shared" si="1"/>
        <v>146.89500000000001</v>
      </c>
      <c r="L18" s="119">
        <f t="shared" si="1"/>
        <v>0</v>
      </c>
      <c r="M18" s="230">
        <f t="shared" si="2"/>
        <v>3630.4049999999997</v>
      </c>
      <c r="N18" s="277">
        <f t="shared" si="3"/>
        <v>793.22033898305051</v>
      </c>
      <c r="O18" s="239">
        <f t="shared" si="4"/>
        <v>22.118126694915251</v>
      </c>
      <c r="P18" s="119">
        <f t="shared" si="5"/>
        <v>4445.7434656779651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120</v>
      </c>
      <c r="I25" s="114">
        <f t="shared" ref="I25:M25" si="10">SUM(I16:I24)</f>
        <v>6295.5</v>
      </c>
      <c r="J25" s="274">
        <f>SUM(J16:J24)</f>
        <v>629.55000000000007</v>
      </c>
      <c r="K25" s="275">
        <f t="shared" si="10"/>
        <v>220.34250000000003</v>
      </c>
      <c r="L25" s="276">
        <f t="shared" si="10"/>
        <v>0</v>
      </c>
      <c r="M25" s="232">
        <f t="shared" si="10"/>
        <v>5445.6075000000001</v>
      </c>
      <c r="N25" s="233">
        <f>SUM(N16:N24)</f>
        <v>1189.8305084745757</v>
      </c>
      <c r="O25" s="101">
        <f>SUM(O16:O24)</f>
        <v>33.177190042372878</v>
      </c>
      <c r="P25" s="234">
        <f>SUM(P16:P24)</f>
        <v>6668.6151985169472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6295.5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629.55000000000007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220.34250000000003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5445.6075000000001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1189.8305084745757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6635.4380084745753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33.177190042372878</v>
      </c>
    </row>
    <row r="35" spans="2:16" ht="15.75" customHeight="1" thickBot="1" x14ac:dyDescent="0.4">
      <c r="N35" s="374" t="s">
        <v>88</v>
      </c>
      <c r="O35" s="375"/>
      <c r="P35" s="297">
        <f>+P33+P34</f>
        <v>6668.6151985169481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96">
        <v>3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96">
        <v>3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abSelected="1" topLeftCell="A3" workbookViewId="0">
      <selection activeCell="A22" sqref="A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120</v>
      </c>
      <c r="I25" s="114">
        <f t="shared" si="7"/>
        <v>7909.7000000000007</v>
      </c>
      <c r="J25" s="274">
        <f>SUM(J16:J24)</f>
        <v>632.77599999999995</v>
      </c>
      <c r="K25" s="275">
        <f t="shared" si="7"/>
        <v>276.83950000000004</v>
      </c>
      <c r="L25" s="276">
        <f t="shared" si="7"/>
        <v>0</v>
      </c>
      <c r="M25" s="232">
        <f t="shared" si="7"/>
        <v>7000.0845000000008</v>
      </c>
      <c r="N25" s="233">
        <f>SUM(N16:N24)</f>
        <v>1494.9152542372881</v>
      </c>
      <c r="O25" s="101">
        <f>SUM(O16:O24)</f>
        <v>42.474998771186442</v>
      </c>
      <c r="P25" s="234">
        <f>SUM(P16:P24)</f>
        <v>8537.4747530084751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7909.7000000000007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632.77599999999995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276.83950000000004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7000.0845000000008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1494.9152542372881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8494.9997542372894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42.474998771186449</v>
      </c>
    </row>
    <row r="35" spans="2:16" ht="15.75" customHeight="1" thickBot="1" x14ac:dyDescent="0.4">
      <c r="N35" s="374" t="s">
        <v>88</v>
      </c>
      <c r="O35" s="375"/>
      <c r="P35" s="297">
        <f>+P33+P34</f>
        <v>8537.4747530084751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12">
        <v>10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96">
        <v>5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96">
        <v>5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3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96">
        <v>12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96">
        <v>12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10" workbookViewId="0">
      <selection activeCell="E12" sqref="E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46295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2026-09-30T10:59:02Z</dcterms:modified>
</cp:coreProperties>
</file>