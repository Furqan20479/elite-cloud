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45512AD-D5B6-4EED-80CC-F9123C6820BF}" xr6:coauthVersionLast="47" xr6:coauthVersionMax="47" xr10:uidLastSave="{00000000-0000-0000-0000-000000000000}"/>
  <bookViews>
    <workbookView xWindow="-110" yWindow="-110" windowWidth="19420" windowHeight="10420" tabRatio="594" firstSheet="3" activeTab="7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20" i="44" l="1"/>
  <c r="H16" i="44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3" l="1"/>
  <c r="M20" i="48"/>
  <c r="O20" i="48" s="1"/>
  <c r="P20" i="48" s="1"/>
  <c r="M20" i="71"/>
  <c r="O20" i="71" s="1"/>
  <c r="P20" i="71" s="1"/>
  <c r="M20" i="43"/>
  <c r="O20" i="43" s="1"/>
  <c r="P20" i="43" s="1"/>
  <c r="M21" i="43"/>
  <c r="O21" i="43" s="1"/>
  <c r="P21" i="43" s="1"/>
  <c r="M20" i="53"/>
  <c r="O20" i="53" s="1"/>
  <c r="P20" i="53" s="1"/>
  <c r="M21" i="52"/>
  <c r="O21" i="52" s="1"/>
  <c r="P21" i="52" s="1"/>
  <c r="J25" i="61"/>
  <c r="P29" i="61" s="1"/>
  <c r="M17" i="56"/>
  <c r="O17" i="56" s="1"/>
  <c r="P17" i="56" s="1"/>
  <c r="J7" i="62"/>
  <c r="M21" i="53"/>
  <c r="O21" i="53" s="1"/>
  <c r="P21" i="53" s="1"/>
  <c r="M17" i="72"/>
  <c r="O17" i="72" s="1"/>
  <c r="P17" i="72" s="1"/>
  <c r="M16" i="64"/>
  <c r="O16" i="64" s="1"/>
  <c r="P16" i="64" s="1"/>
  <c r="M17" i="60"/>
  <c r="O17" i="60" s="1"/>
  <c r="P17" i="60" s="1"/>
  <c r="M22" i="43"/>
  <c r="M16" i="65"/>
  <c r="M22" i="63"/>
  <c r="O22" i="63" s="1"/>
  <c r="P22" i="63" s="1"/>
  <c r="M16" i="48"/>
  <c r="M16" i="60"/>
  <c r="M16" i="58"/>
  <c r="M16" i="59"/>
  <c r="O16" i="59" s="1"/>
  <c r="P16" i="59" s="1"/>
  <c r="M21" i="51"/>
  <c r="M16" i="66"/>
  <c r="M16" i="44"/>
  <c r="O16" i="44" s="1"/>
  <c r="M20" i="70"/>
  <c r="O20" i="70" s="1"/>
  <c r="P20" i="70" s="1"/>
  <c r="M16" i="72"/>
  <c r="M21" i="68"/>
  <c r="O21" i="68" s="1"/>
  <c r="P21" i="68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22" i="51"/>
  <c r="P22" i="51" s="1"/>
  <c r="O23" i="60"/>
  <c r="P23" i="60" s="1"/>
  <c r="O23" i="66"/>
  <c r="P23" i="66" s="1"/>
  <c r="O16" i="58"/>
  <c r="P16" i="58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O25" i="52"/>
  <c r="O25" i="48"/>
  <c r="P16" i="53"/>
  <c r="P25" i="53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<sst xmlns="http://schemas.openxmlformats.org/spreadsheetml/2006/main" count="3885" uniqueCount="524">
  <si>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</si>
  <si>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</si>
  <si>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</si>
  <si>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</si>
  <si>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</si>
  <si>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</si>
  <si>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</si>
  <si>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</si>
  <si>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</si>
  <si>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</si>
  <si>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</si>
  <si>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</si>
  <si>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</si>
  <si>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</si>
  <si>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</si>
  <si>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</si>
  <si>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</si>
  <si>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</si>
  <si>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</si>
  <si>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</si>
  <si>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</si>
  <si>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</si>
  <si>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</si>
  <si>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</si>
  <si>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</si>
  <si>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</si>
  <si>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</si>
  <si>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</si>
  <si>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</si>
  <si>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</si>
  <si>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</si>
  <si>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</si>
  <si>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</si>
  <si>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</si>
  <si>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</si>
  <si>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</si>
  <si>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</si>
  <si>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</si>
  <si>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</si>
  <si>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</si>
  <si>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</si>
  <si>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</si>
  <si>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</si>
  <si>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</si>
  <si>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</si>
  <si>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</si>
  <si>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</si>
  <si>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</si>
  <si>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</si>
  <si>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</si>
  <si>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</si>
  <si>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</si>
  <si>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</si>
  <si>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</si>
  <si>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</si>
  <si>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</si>
  <si>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</si>
  <si>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</si>
  <si>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</si>
  <si>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</si>
  <si>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</si>
  <si>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</si>
  <si>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</si>
  <si>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</si>
  <si>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</si>
  <si>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</si>
  <si>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</si>
  <si>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</si>
  <si>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</si>
  <si>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</si>
  <si>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</si>
  <si>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</si>
  <si>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</si>
  <si>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</si>
  <si>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</si>
  <si>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</si>
  <si>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</si>
  <si>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</si>
  <si>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</si>
  <si>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</si>
  <si>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</si>
  <si>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</si>
  <si>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</si>
  <si>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</si>
  <si>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</si>
  <si>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</si>
  <si>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</si>
  <si>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</si>
  <si>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</si>
  <si>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</si>
  <si>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</si>
  <si>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</si>
  <si>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</si>
  <si>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</si>
  <si>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</si>
  <si>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</si>
  <si>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</si>
  <si>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</si>
  <si>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</si>
  <si>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</si>
  <si>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</si>
  <si>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</si>
  <si>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</si>
  <si>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</si>
  <si>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</si>
  <si>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</si>
  <si>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</si>
  <si>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</si>
  <si>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</si>
  <si>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</si>
  <si>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</si>
  <si>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</si>
  <si>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</si>
  <si>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</si>
  <si>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</si>
  <si>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</si>
  <si>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</si>
  <si>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</si>
  <si>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</si>
  <si>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</si>
  <si>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</si>
  <si>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</si>
  <si>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</si>
  <si>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</si>
  <si>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</si>
  <si>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</si>
  <si>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</si>
  <si>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</si>
  <si>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</si>
  <si>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</si>
  <si>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</si>
  <si>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</si>
  <si>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</si>
  <si>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</si>
  <si>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</si>
  <si>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</si>
  <si>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</si>
  <si>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</si>
  <si>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</si>
  <si>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</si>
  <si>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</si>
  <si>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</si>
  <si>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</si>
  <si>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</si>
  <si>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</si>
  <si>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</si>
  <si>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</si>
  <si>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</si>
  <si>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</si>
  <si>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</si>
  <si>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</si>
  <si>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</si>
  <si>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</si>
  <si>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</si>
  <si>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</si>
  <si>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</si>
  <si>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</si>
  <si>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</si>
  <si>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</si>
  <si>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</si>
  <si>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</si>
  <si>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</si>
  <si>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</si>
  <si>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</si>
  <si>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</si>
  <si>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</si>
  <si>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</si>
  <si>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</si>
  <si>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</si>
  <si>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</si>
  <si>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</si>
  <si>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</si>
  <si>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</si>
  <si>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</si>
  <si>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</si>
  <si>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</si>
  <si>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</si>
  <si>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</si>
  <si>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</si>
  <si>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</si>
  <si>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</si>
  <si>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</si>
  <si>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</si>
  <si>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</si>
  <si>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</si>
  <si>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</si>
  <si>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</si>
  <si>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</si>
  <si>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</si>
  <si>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</si>
  <si>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</si>
  <si>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</si>
  <si>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</si>
  <si>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</si>
  <si>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</si>
  <si>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</si>
  <si>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</si>
  <si>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</si>
  <si>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</si>
  <si>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</si>
  <si>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</si>
  <si>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</si>
  <si>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</si>
  <si>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</si>
  <si>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</si>
  <si>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</si>
  <si>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</si>
  <si>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</si>
  <si>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</si>
  <si>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</si>
  <si>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</si>
  <si>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</si>
  <si>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</si>
  <si>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</si>
  <si>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</si>
  <si>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</si>
  <si>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</si>
  <si>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</si>
  <si>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</si>
  <si>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</si>
  <si>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</si>
  <si>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</si>
  <si>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</si>
  <si>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</si>
  <si>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</si>
  <si>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</si>
  <si>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</si>
  <si>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</si>
  <si>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</si>
  <si>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</si>
  <si>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</si>
  <si>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</si>
  <si>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</si>
  <si>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</si>
  <si>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</si>
  <si>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</si>
  <si>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</si>
  <si>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</si>
  <si>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</si>
  <si>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</si>
  <si>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</si>
  <si>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</si>
  <si>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</si>
  <si>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</si>
  <si>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</si>
  <si>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</si>
  <si>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</si>
  <si>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</si>
  <si>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</si>
  <si>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</si>
  <si>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</si>
  <si>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</si>
  <si>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</si>
  <si>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</si>
  <si>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</si>
  <si>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</si>
  <si>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</si>
  <si>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</si>
  <si>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</si>
  <si>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</si>
  <si>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</si>
  <si>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</si>
  <si>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</si>
  <si>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</si>
  <si>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</si>
  <si>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</si>
  <si>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</si>
  <si>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</si>
  <si>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</si>
  <si>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</si>
  <si>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</si>
  <si>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</si>
  <si>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</si>
  <si>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</si>
  <si>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</si>
  <si>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</si>
  <si>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</si>
  <si>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</si>
  <si>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</si>
  <si>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</si>
  <si>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</si>
  <si>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</si>
  <si>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</si>
  <si>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</si>
  <si>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</si>
  <si>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</si>
  <si>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</si>
  <si>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</si>
  <si>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</si>
  <si>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</si>
  <si>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</si>
  <si>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</si>
  <si>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</si>
  <si>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</si>
  <si>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</si>
  <si>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</si>
  <si>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</si>
  <si>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</si>
  <si>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</si>
  <si>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</si>
  <si>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</si>
  <si>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</si>
  <si>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</si>
  <si>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</si>
  <si>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</si>
  <si>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</si>
  <si>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</si>
  <si>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</si>
  <si>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</si>
  <si>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</si>
  <si>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</si>
  <si>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</si>
  <si>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</si>
  <si>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</si>
  <si>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</si>
  <si>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</si>
  <si>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</si>
  <si>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</si>
  <si>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</si>
  <si>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</si>
  <si>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</si>
  <si>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</si>
  <si>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</si>
  <si>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</si>
  <si>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</si>
  <si>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</si>
  <si>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</si>
  <si>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</si>
  <si>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</si>
  <si>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</si>
  <si>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</si>
  <si>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</si>
  <si>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</si>
  <si>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</si>
  <si>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</si>
  <si>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</si>
  <si>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</si>
  <si>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</si>
  <si>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</si>
  <si>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</si>
  <si>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</si>
  <si>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</si>
  <si>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</si>
  <si>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</si>
  <si>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</si>
  <si>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</si>
  <si>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</si>
  <si>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</si>
  <si>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</si>
  <si>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</si>
  <si>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</si>
  <si>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</si>
  <si>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</si>
  <si>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</si>
  <si>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</si>
  <si>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</si>
  <si>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</si>
  <si>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</si>
  <si>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</si>
  <si>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</si>
  <si>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</si>
  <si>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</si>
  <si>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</si>
  <si>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</si>
  <si>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</si>
  <si>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</si>
  <si>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</si>
  <si>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</si>
  <si>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</si>
  <si>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</si>
  <si>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</si>
  <si>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</si>
  <si>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</si>
  <si>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</si>
  <si>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</si>
  <si>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</si>
  <si>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</si>
  <si>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</si>
  <si>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</si>
  <si>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</si>
  <si>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</si>
  <si>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</si>
  <si>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</si>
  <si>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</si>
  <si>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</si>
  <si>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</si>
  <si>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</si>
  <si>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</si>
  <si>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</si>
  <si>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</si>
  <si>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</si>
  <si>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</si>
  <si>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</si>
  <si>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</si>
  <si>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</si>
  <si>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</si>
  <si>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</si>
  <si>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</si>
  <si>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</si>
  <si>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</si>
  <si>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</si>
  <si>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</si>
  <si>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</si>
  <si>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</si>
  <si>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</si>
  <si>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</si>
  <si>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</si>
  <si>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</si>
  <si>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</si>
  <si>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</si>
  <si>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</si>
  <si>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</si>
  <si>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</si>
  <si>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</si>
  <si>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</si>
  <si>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</si>
  <si>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</si>
  <si>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</si>
  <si>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</si>
  <si>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</si>
  <si>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</si>
  <si>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</si>
  <si>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</si>
  <si>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</si>
  <si>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</si>
  <si>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</si>
  <si>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</si>
  <si>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</si>
  <si>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</si>
  <si>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</si>
  <si>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</si>
  <si>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</si>
  <si>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</si>
  <si>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</si>
  <si>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</si>
  <si>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</si>
  <si>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</si>
  <si>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</si>
  <si>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</si>
  <si>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</si>
  <si>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</si>
  <si>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</si>
  <si>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</si>
  <si>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</si>
  <si>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</si>
  <si>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</si>
  <si>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</si>
  <si>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</si>
  <si>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</si>
  <si>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</si>
  <si>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</si>
  <si>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</si>
  <si>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</si>
  <si>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</si>
  <si>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</si>
  <si>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</si>
  <si>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</si>
  <si>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</si>
  <si>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</si>
  <si>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</si>
  <si>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</si>
  <si>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</si>
  <si>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</si>
  <si>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</si>
  <si>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</si>
  <si>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</si>
  <si>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</si>
  <si>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</si>
  <si>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</si>
  <si>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</si>
  <si>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</si>
  <si>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</si>
  <si>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</si>
  <si>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</si>
  <si>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</si>
  <si>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</si>
  <si>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</si>
  <si>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</si>
  <si>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</si>
  <si>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</si>
  <si>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</si>
  <si>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</si>
  <si>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</si>
  <si>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</si>
  <si>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</si>
  <si>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</si>
  <si>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</si>
  <si>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</si>
  <si>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</si>
  <si>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</si>
  <si>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</si>
  <si>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</si>
  <si>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</si>
  <si>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</si>
  <si>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</si>
  <si>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</si>
  <si>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</si>
  <si>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</si>
  <si>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</si>
  <si>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</si>
  <si>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</si>
  <si>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</si>
  <si>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</si>
  <si>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</si>
  <si>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</si>
  <si>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</si>
  <si>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</si>
  <si>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Euro Store</t>
  </si>
  <si>
    <t>Invoice No # :0001</t>
  </si>
  <si>
    <t>Address: College Road</t>
  </si>
  <si>
    <t>NTN: E757686-3</t>
  </si>
  <si>
    <t>Invoice No # :0003</t>
  </si>
  <si>
    <t>Shakoor</t>
  </si>
  <si>
    <t>Address: Wapda Town</t>
  </si>
  <si>
    <t>Euro Store G1 Market</t>
  </si>
  <si>
    <t>Address: Johar Town</t>
  </si>
  <si>
    <t>Euro Store Nishat Colony</t>
  </si>
  <si>
    <t>Address: Nishat Colony</t>
  </si>
  <si>
    <t>Euro Store D-2 Wapda</t>
  </si>
  <si>
    <t>NTN: 9878957-8</t>
  </si>
  <si>
    <t>NTN: 4890950-8</t>
  </si>
  <si>
    <t>Euro Store K2</t>
  </si>
  <si>
    <t>Return</t>
  </si>
  <si>
    <t>Retuan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</si>
</sst>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9" fontId="18" fillId="0" borderId="48" xfId="0" applyNumberFormat="1" applyFont="1" applyBorder="1" applyAlignment="1">
      <alignment horizontal="center" vertical="center" wrapTex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5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8" fillId="0" borderId="58" xfId="0" applyFont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7" t="s">
        <v>24</v>
      </c>
      <c r="B2" s="317"/>
      <c r="C2" s="317"/>
      <c r="D2" s="317"/>
      <c r="E2" s="317"/>
      <c r="F2" s="317"/>
      <c r="G2" s="317"/>
      <c r="H2" s="317"/>
    </row>
    <row r="3" spans="1:21" ht="18" thickBot="1" x14ac:dyDescent="0.35">
      <c r="A3" s="318" t="s">
        <v>15</v>
      </c>
      <c r="B3" s="318"/>
      <c r="C3" s="318"/>
      <c r="D3" s="318"/>
      <c r="E3" s="318"/>
      <c r="F3" s="318"/>
      <c r="G3" s="318"/>
      <c r="H3" s="318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9" t="s">
        <v>37</v>
      </c>
      <c r="P3" s="320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1" t="s">
        <v>25</v>
      </c>
      <c r="D4" s="322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5" t="s">
        <v>30</v>
      </c>
      <c r="H13" s="316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5" t="s">
        <v>30</v>
      </c>
      <c r="H26" s="316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5" t="s">
        <v>30</v>
      </c>
      <c r="H37" s="316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7" t="s">
        <v>24</v>
      </c>
      <c r="B2" s="317"/>
      <c r="C2" s="317"/>
      <c r="D2" s="317"/>
      <c r="E2" s="317"/>
      <c r="F2" s="317"/>
      <c r="G2" s="317"/>
      <c r="H2" s="317"/>
    </row>
    <row r="3" spans="1:21" ht="18" thickBot="1" x14ac:dyDescent="0.35">
      <c r="A3" s="318" t="s">
        <v>15</v>
      </c>
      <c r="B3" s="318"/>
      <c r="C3" s="318"/>
      <c r="D3" s="318"/>
      <c r="E3" s="318"/>
      <c r="F3" s="318"/>
      <c r="G3" s="318"/>
      <c r="H3" s="318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9" t="s">
        <v>37</v>
      </c>
      <c r="P3" s="320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1" t="s">
        <v>25</v>
      </c>
      <c r="D4" s="322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5" t="s">
        <v>30</v>
      </c>
      <c r="H13" s="316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5" t="s">
        <v>30</v>
      </c>
      <c r="H26" s="316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5" t="s">
        <v>30</v>
      </c>
      <c r="H37" s="316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3"/>
      <c r="B3" s="323"/>
      <c r="C3" s="323"/>
      <c r="D3" s="323"/>
      <c r="E3" s="323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</row>
    <row r="4" spans="1:29" x14ac:dyDescent="0.35">
      <c r="A4" s="325" t="s">
        <v>436</v>
      </c>
      <c r="B4" s="165" t="s">
        <v>437</v>
      </c>
      <c r="C4" s="165"/>
      <c r="D4" s="327" t="s">
        <v>438</v>
      </c>
      <c r="E4" s="329" t="s">
        <v>439</v>
      </c>
      <c r="F4" s="331" t="s">
        <v>58</v>
      </c>
      <c r="G4" s="331"/>
      <c r="H4" s="332" t="s">
        <v>440</v>
      </c>
      <c r="I4" s="332"/>
      <c r="J4" s="333" t="s">
        <v>441</v>
      </c>
      <c r="K4" s="334"/>
      <c r="L4" s="333" t="s">
        <v>442</v>
      </c>
      <c r="M4" s="334"/>
      <c r="N4" s="335" t="s">
        <v>443</v>
      </c>
      <c r="O4" s="335"/>
      <c r="P4" s="333" t="s">
        <v>86</v>
      </c>
      <c r="Q4" s="334"/>
      <c r="R4" s="333" t="s">
        <v>444</v>
      </c>
      <c r="S4" s="334"/>
      <c r="T4" s="336" t="s">
        <v>445</v>
      </c>
      <c r="U4" s="336"/>
      <c r="V4" s="337" t="s">
        <v>446</v>
      </c>
      <c r="W4" s="338"/>
      <c r="X4" s="337" t="s">
        <v>447</v>
      </c>
      <c r="Y4" s="338"/>
    </row>
    <row r="5" spans="1:29" ht="26.25" customHeight="1" thickBot="1" x14ac:dyDescent="0.4">
      <c r="A5" s="326"/>
      <c r="B5" s="167" t="s">
        <v>448</v>
      </c>
      <c r="C5" s="167" t="s">
        <v>438</v>
      </c>
      <c r="D5" s="328"/>
      <c r="E5" s="330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26953125" customWidth="1"/>
    <col min="10" max="10" width="11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7" t="s">
        <v>91</v>
      </c>
      <c r="B2" s="387"/>
      <c r="C2" s="387"/>
      <c r="E2" s="379" t="s">
        <v>498</v>
      </c>
      <c r="F2" s="380"/>
      <c r="G2" s="380"/>
      <c r="H2" s="377" t="s">
        <v>512</v>
      </c>
      <c r="I2" s="377"/>
      <c r="J2" s="378"/>
      <c r="R2" s="374" t="s">
        <v>497</v>
      </c>
      <c r="S2" s="375"/>
      <c r="T2" s="376"/>
    </row>
    <row r="3" spans="1:20 16377:16378" ht="21.75" customHeight="1" thickBot="1" x14ac:dyDescent="0.4">
      <c r="A3" s="388" t="s">
        <v>92</v>
      </c>
      <c r="B3" s="388"/>
      <c r="C3" s="388"/>
      <c r="E3" s="383" t="s">
        <v>499</v>
      </c>
      <c r="F3" s="384"/>
      <c r="G3" s="384"/>
      <c r="H3" s="381">
        <f>+'1'!N4:N4</f>
        <v>46293</v>
      </c>
      <c r="I3" s="381"/>
      <c r="J3" s="382"/>
      <c r="K3" s="389" t="s">
        <v>43</v>
      </c>
      <c r="L3" s="389"/>
      <c r="M3" s="389"/>
      <c r="N3" s="388"/>
      <c r="O3" s="388"/>
      <c r="P3" s="388"/>
      <c r="R3" s="299">
        <v>1</v>
      </c>
      <c r="S3" s="300" t="str">
        <f>+'1'!A6:A6</f>
        <v>Euro Store K2</v>
      </c>
      <c r="T3" s="301">
        <f>+'1'!P35</f>
        <v>30597.095627542374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 D-2 Wapda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9" t="s">
        <v>51</v>
      </c>
      <c r="B5" s="340"/>
      <c r="C5" s="343" t="s">
        <v>90</v>
      </c>
      <c r="D5" s="115" t="s">
        <v>52</v>
      </c>
      <c r="E5" s="345" t="s">
        <v>58</v>
      </c>
      <c r="F5" s="346"/>
      <c r="G5" s="347" t="s">
        <v>54</v>
      </c>
      <c r="H5" s="348"/>
      <c r="I5" s="349" t="s">
        <v>77</v>
      </c>
      <c r="J5" s="386" t="s">
        <v>55</v>
      </c>
      <c r="K5" s="347"/>
      <c r="L5" s="348"/>
      <c r="M5" s="340" t="s">
        <v>84</v>
      </c>
      <c r="N5" s="385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Euro Store G1 Market</v>
      </c>
      <c r="T5" s="301">
        <f>+'3'!P35</f>
        <v>61568.422569581569</v>
      </c>
      <c r="XEX5" t="s">
        <v>106</v>
      </c>
    </row>
    <row r="6" spans="1:20 16377:16378" ht="21.75" customHeight="1" thickBot="1" x14ac:dyDescent="0.4">
      <c r="A6" s="341"/>
      <c r="B6" s="342"/>
      <c r="C6" s="34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0"/>
      <c r="J6" s="143" t="s">
        <v>59</v>
      </c>
      <c r="K6" s="144" t="s">
        <v>39</v>
      </c>
      <c r="L6" s="145" t="s">
        <v>493</v>
      </c>
      <c r="M6" s="342"/>
      <c r="N6" s="350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Euro Store Nishat Colony</v>
      </c>
      <c r="T6" s="301">
        <f>+'4'!P35</f>
        <v>15298.547813771187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251</v>
      </c>
      <c r="I7" s="235">
        <f>(G7*D7)*F7+H7*F7</f>
        <v>13168.0875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1843.5322500000002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460.88306250000005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10863.6721875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2488.7288135593208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66.762005005296615</v>
      </c>
      <c r="P7" s="118">
        <f>M7+N7+O7</f>
        <v>13419.163006064618</v>
      </c>
      <c r="Q7" s="142"/>
      <c r="R7" s="299">
        <v>5</v>
      </c>
      <c r="S7" s="300" t="str">
        <f>+'5'!A6:A6</f>
        <v>Euro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240</v>
      </c>
      <c r="I8" s="236">
        <f t="shared" ref="I8:I14" si="0">(G8*D8)*F8+H8*F8</f>
        <v>12591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1762.7400000000002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440.68500000000006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10387.575000000001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2379.6610169491514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63.836180084745756</v>
      </c>
      <c r="P8" s="119">
        <f t="shared" ref="P8:P15" si="2">M8+N8+O8</f>
        <v>12831.072197033896</v>
      </c>
      <c r="R8" s="299">
        <v>6</v>
      </c>
      <c r="S8" s="300" t="str">
        <f>+'6'!A6:A6</f>
        <v>Euro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320</v>
      </c>
      <c r="I9" s="236">
        <f t="shared" si="0"/>
        <v>16788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2350.3200000000002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587.58000000000004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13850.1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3172.881355932202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85.114906779661027</v>
      </c>
      <c r="P9" s="119">
        <f t="shared" si="2"/>
        <v>17108.096262711864</v>
      </c>
      <c r="R9" s="299">
        <v>7</v>
      </c>
      <c r="S9" s="300" t="str">
        <f>+'7'!A6:A6</f>
        <v>Euro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320</v>
      </c>
      <c r="I10" s="236">
        <f t="shared" si="0"/>
        <v>23244.799999999999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3254.2720000000004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813.5680000000001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19176.96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4393.2203389830511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117.85090169491525</v>
      </c>
      <c r="P10" s="119">
        <f t="shared" si="2"/>
        <v>23688.031240677963</v>
      </c>
      <c r="R10" s="299">
        <v>8</v>
      </c>
      <c r="S10" s="300" t="str">
        <f>+'8'!A6:A6</f>
        <v>Euro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226</v>
      </c>
      <c r="I11" s="236">
        <f t="shared" si="0"/>
        <v>16416.64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2298.3296000000005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574.58240000000012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13543.727999999999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3102.71186440678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83.232199322033907</v>
      </c>
      <c r="P11" s="119">
        <f t="shared" si="2"/>
        <v>16729.672063728813</v>
      </c>
      <c r="R11" s="299">
        <v>9</v>
      </c>
      <c r="S11" s="300" t="str">
        <f>+'9'!A6:A6</f>
        <v>Euro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320</v>
      </c>
      <c r="I12" s="236">
        <f t="shared" si="0"/>
        <v>23244.799999999999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3254.2720000000004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813.5680000000001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19176.96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4393.2203389830511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117.85090169491525</v>
      </c>
      <c r="P12" s="119">
        <f t="shared" si="2"/>
        <v>23688.031240677963</v>
      </c>
      <c r="R12" s="299">
        <v>10</v>
      </c>
      <c r="S12" s="300" t="str">
        <f>+'10'!A6:A6</f>
        <v>Euro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Euro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Euro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Euro Store</v>
      </c>
      <c r="T15" s="301">
        <f>+'13'!P35</f>
        <v>0</v>
      </c>
    </row>
    <row r="16" spans="1:20 16377:16378" ht="21.75" customHeight="1" thickBot="1" x14ac:dyDescent="0.4">
      <c r="A16" s="390">
        <f>COUNT(A7:A15)</f>
        <v>0</v>
      </c>
      <c r="B16" s="351"/>
      <c r="C16" s="351" t="s">
        <v>40</v>
      </c>
      <c r="D16" s="351"/>
      <c r="E16" s="351"/>
      <c r="F16" s="352"/>
      <c r="G16" s="117">
        <f t="shared" ref="G16:M16" si="3">SUM(G7:G15)</f>
        <v>0</v>
      </c>
      <c r="H16" s="113">
        <f t="shared" si="3"/>
        <v>1677</v>
      </c>
      <c r="I16" s="114">
        <f t="shared" si="3"/>
        <v>105453.3275</v>
      </c>
      <c r="J16" s="274">
        <f>SUM(J7:J15)</f>
        <v>14763.465850000002</v>
      </c>
      <c r="K16" s="275">
        <f t="shared" si="3"/>
        <v>3690.8664625000006</v>
      </c>
      <c r="L16" s="276">
        <f t="shared" si="3"/>
        <v>0</v>
      </c>
      <c r="M16" s="232">
        <f t="shared" si="3"/>
        <v>86998.995187499997</v>
      </c>
      <c r="N16" s="233">
        <f>SUM(N7:N15)</f>
        <v>19930.423728813555</v>
      </c>
      <c r="O16" s="101">
        <f>SUM(O7:O15)</f>
        <v>534.64709458156779</v>
      </c>
      <c r="P16" s="234">
        <f>SUM(P7:P15)</f>
        <v>107464.06601089513</v>
      </c>
      <c r="R16" s="299">
        <v>14</v>
      </c>
      <c r="S16" s="300" t="str">
        <f>+'14'!A6:A6</f>
        <v>Euro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Euro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Euro Store</v>
      </c>
      <c r="T18" s="301">
        <f>+'16'!P35</f>
        <v>0</v>
      </c>
    </row>
    <row r="19" spans="1:20" ht="21.75" customHeight="1" x14ac:dyDescent="0.35">
      <c r="B19" s="353" t="s">
        <v>64</v>
      </c>
      <c r="C19" s="354"/>
      <c r="D19" s="354"/>
      <c r="E19" s="354"/>
      <c r="F19" s="354"/>
      <c r="G19" s="354"/>
      <c r="H19" s="354"/>
      <c r="I19" s="354"/>
      <c r="J19" s="354"/>
      <c r="K19" s="354"/>
      <c r="L19" s="355"/>
      <c r="N19" s="362" t="s">
        <v>60</v>
      </c>
      <c r="O19" s="363"/>
      <c r="P19" s="139">
        <f>I16</f>
        <v>105453.3275</v>
      </c>
      <c r="R19" s="299">
        <v>17</v>
      </c>
      <c r="S19" s="300" t="str">
        <f>+'17'!A6:A6</f>
        <v>Euro Store</v>
      </c>
      <c r="T19" s="301">
        <f>+'17'!P35</f>
        <v>0</v>
      </c>
    </row>
    <row r="20" spans="1:20" ht="21.75" customHeight="1" x14ac:dyDescent="0.35">
      <c r="B20" s="356"/>
      <c r="C20" s="357"/>
      <c r="D20" s="357"/>
      <c r="E20" s="357"/>
      <c r="F20" s="357"/>
      <c r="G20" s="357"/>
      <c r="H20" s="357"/>
      <c r="I20" s="357"/>
      <c r="J20" s="357"/>
      <c r="K20" s="357"/>
      <c r="L20" s="358"/>
      <c r="N20" s="364" t="s">
        <v>85</v>
      </c>
      <c r="O20" s="365"/>
      <c r="P20" s="140">
        <f>+J16</f>
        <v>14763.465850000002</v>
      </c>
      <c r="R20" s="299">
        <v>18</v>
      </c>
      <c r="S20" s="300" t="str">
        <f>+'18'!A6:A6</f>
        <v>Euro Store</v>
      </c>
      <c r="T20" s="301">
        <f>+'18'!P35</f>
        <v>0</v>
      </c>
    </row>
    <row r="21" spans="1:20" ht="21.75" customHeight="1" x14ac:dyDescent="0.35">
      <c r="B21" s="356"/>
      <c r="C21" s="357"/>
      <c r="D21" s="357"/>
      <c r="E21" s="357"/>
      <c r="F21" s="357"/>
      <c r="G21" s="357"/>
      <c r="H21" s="357"/>
      <c r="I21" s="357"/>
      <c r="J21" s="357"/>
      <c r="K21" s="357"/>
      <c r="L21" s="358"/>
      <c r="N21" s="364" t="s">
        <v>86</v>
      </c>
      <c r="O21" s="365"/>
      <c r="P21" s="140">
        <f>+K16+L16</f>
        <v>3690.8664625000006</v>
      </c>
      <c r="R21" s="299">
        <v>19</v>
      </c>
      <c r="S21" s="300" t="str">
        <f>+'19'!A6:A6</f>
        <v>Euro Store</v>
      </c>
      <c r="T21" s="301">
        <f>+'19'!P35</f>
        <v>0</v>
      </c>
    </row>
    <row r="22" spans="1:20" ht="21.75" customHeight="1" x14ac:dyDescent="0.35">
      <c r="B22" s="356"/>
      <c r="C22" s="357"/>
      <c r="D22" s="357"/>
      <c r="E22" s="357"/>
      <c r="F22" s="357"/>
      <c r="G22" s="357"/>
      <c r="H22" s="357"/>
      <c r="I22" s="357"/>
      <c r="J22" s="357"/>
      <c r="K22" s="357"/>
      <c r="L22" s="358"/>
      <c r="M22" s="131"/>
      <c r="N22" s="364" t="s">
        <v>87</v>
      </c>
      <c r="O22" s="365"/>
      <c r="P22" s="140">
        <f>P19-P20-P21</f>
        <v>86998.995187499997</v>
      </c>
      <c r="R22" s="299">
        <v>20</v>
      </c>
      <c r="S22" s="300" t="str">
        <f>+'20'!A6:A6</f>
        <v>Euro Store</v>
      </c>
      <c r="T22" s="301">
        <f>+'20'!P35</f>
        <v>0</v>
      </c>
    </row>
    <row r="23" spans="1:20" ht="21.75" customHeight="1" x14ac:dyDescent="0.35">
      <c r="B23" s="356"/>
      <c r="C23" s="357"/>
      <c r="D23" s="357"/>
      <c r="E23" s="357"/>
      <c r="F23" s="357"/>
      <c r="G23" s="357"/>
      <c r="H23" s="357"/>
      <c r="I23" s="357"/>
      <c r="J23" s="357"/>
      <c r="K23" s="357"/>
      <c r="L23" s="358"/>
      <c r="M23" s="131"/>
      <c r="N23" s="136" t="s">
        <v>61</v>
      </c>
      <c r="O23" s="133">
        <v>0.18</v>
      </c>
      <c r="P23" s="140">
        <f>+N16</f>
        <v>19930.423728813555</v>
      </c>
      <c r="R23" s="299">
        <v>21</v>
      </c>
      <c r="S23" s="300" t="str">
        <f>+'21'!A6:A6</f>
        <v>Euro Store</v>
      </c>
      <c r="T23" s="301">
        <f>+'21'!P35</f>
        <v>0</v>
      </c>
    </row>
    <row r="24" spans="1:20" ht="21.75" customHeight="1" x14ac:dyDescent="0.35">
      <c r="B24" s="356"/>
      <c r="C24" s="357"/>
      <c r="D24" s="357"/>
      <c r="E24" s="357"/>
      <c r="F24" s="357"/>
      <c r="G24" s="357"/>
      <c r="H24" s="357"/>
      <c r="I24" s="357"/>
      <c r="J24" s="357"/>
      <c r="K24" s="357"/>
      <c r="L24" s="358"/>
      <c r="M24" s="131"/>
      <c r="N24" s="366" t="s">
        <v>76</v>
      </c>
      <c r="O24" s="367"/>
      <c r="P24" s="140">
        <f>P22+P23</f>
        <v>106929.41891631356</v>
      </c>
      <c r="R24" s="299">
        <v>22</v>
      </c>
      <c r="S24" s="300" t="str">
        <f>+'22'!A6:A6</f>
        <v>Euro Store</v>
      </c>
      <c r="T24" s="301">
        <f>+'22'!P35</f>
        <v>0</v>
      </c>
    </row>
    <row r="25" spans="1:20" ht="21.75" customHeight="1" thickBot="1" x14ac:dyDescent="0.4">
      <c r="B25" s="359"/>
      <c r="C25" s="360"/>
      <c r="D25" s="360"/>
      <c r="E25" s="360"/>
      <c r="F25" s="360"/>
      <c r="G25" s="360"/>
      <c r="H25" s="360"/>
      <c r="I25" s="360"/>
      <c r="J25" s="360"/>
      <c r="K25" s="360"/>
      <c r="L25" s="361"/>
      <c r="M25" s="99"/>
      <c r="N25" s="138" t="s">
        <v>83</v>
      </c>
      <c r="O25" s="137" t="e">
        <f>IF(#REF!="Filer",0.5%,2.5%)</f>
        <v>#REF!</v>
      </c>
      <c r="P25" s="140">
        <f>+O16</f>
        <v>534.64709458156779</v>
      </c>
      <c r="R25" s="299">
        <v>23</v>
      </c>
      <c r="S25" s="300" t="str">
        <f>+'23'!A6:A6</f>
        <v>Euro Store</v>
      </c>
      <c r="T25" s="301">
        <f>+'23'!P35</f>
        <v>0</v>
      </c>
    </row>
    <row r="26" spans="1:20" ht="21.75" customHeight="1" thickBot="1" x14ac:dyDescent="0.4">
      <c r="N26" s="368" t="s">
        <v>88</v>
      </c>
      <c r="O26" s="369"/>
      <c r="P26" s="297">
        <f>+P24+P25</f>
        <v>107464.06601089513</v>
      </c>
      <c r="R26" s="299">
        <v>24</v>
      </c>
      <c r="S26" s="300" t="str">
        <f>+'24'!A6:A6</f>
        <v>Euro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0"/>
      <c r="D27" s="370"/>
      <c r="E27" s="370"/>
      <c r="F27" s="370"/>
      <c r="G27" s="370"/>
      <c r="H27" s="370"/>
      <c r="I27" s="371"/>
      <c r="J27" s="372"/>
      <c r="K27" s="373"/>
      <c r="R27" s="299">
        <v>25</v>
      </c>
      <c r="S27" s="300" t="str">
        <f>+'25'!A6:A6</f>
        <v>Euro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Euro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Euro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Euro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Euro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Euro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107464.06601089514</v>
      </c>
    </row>
    <row r="44" spans="2:20" x14ac:dyDescent="0.35">
      <c r="B44" t="s">
        <v>501</v>
      </c>
    </row>
    <row r="45" spans="2:20" x14ac:dyDescent="0.35">
      <c r="B45" t="s">
        <v>502</v>
      </c>
    </row>
    <row r="46" spans="2:20" x14ac:dyDescent="0.35">
      <c r="B46" t="s">
        <v>503</v>
      </c>
    </row>
    <row r="47" spans="2:20" x14ac:dyDescent="0.35">
      <c r="B47" t="s">
        <v>504</v>
      </c>
    </row>
    <row r="48" spans="2:20" x14ac:dyDescent="0.35">
      <c r="B48" t="s">
        <v>505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511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500</v>
      </c>
      <c r="B4" s="388"/>
      <c r="C4" s="388"/>
      <c r="F4" s="85"/>
      <c r="G4" s="1"/>
      <c r="K4" s="389" t="s">
        <v>44</v>
      </c>
      <c r="L4" s="389"/>
      <c r="M4" s="389"/>
      <c r="N4" s="392">
        <v>46293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46292</v>
      </c>
      <c r="O5" s="388"/>
      <c r="P5" s="388"/>
      <c r="R5" s="85"/>
      <c r="S5" s="266"/>
    </row>
    <row r="6" spans="1:22 16383:16384" ht="17.25" customHeight="1" x14ac:dyDescent="0.4">
      <c r="A6" s="394" t="s">
        <v>521</v>
      </c>
      <c r="B6" s="394"/>
      <c r="C6" s="394"/>
      <c r="F6" s="85"/>
      <c r="G6" s="86"/>
      <c r="K6" s="389" t="s">
        <v>69</v>
      </c>
      <c r="L6" s="389"/>
      <c r="M6" s="389"/>
      <c r="N6" s="391" t="s">
        <v>501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510</v>
      </c>
      <c r="B7" s="389"/>
      <c r="C7" s="389"/>
      <c r="F7" s="85"/>
      <c r="G7" s="86"/>
      <c r="K7" s="389" t="s">
        <v>66</v>
      </c>
      <c r="L7" s="389"/>
      <c r="M7" s="389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89" t="s">
        <v>67</v>
      </c>
      <c r="L8" s="389"/>
      <c r="M8" s="389"/>
      <c r="N8" s="391" t="s">
        <v>506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118">
        <f>M16+N16+O16</f>
        <v>4277.0240656779661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80</v>
      </c>
      <c r="I17" s="236">
        <f t="shared" ref="I17:I23" si="0">(G17*D17)*F17+H17*F17</f>
        <v>4197</v>
      </c>
      <c r="J17" s="272">
        <f t="shared" ref="J17:L24" si="1">$I17*S17</f>
        <v>587.58000000000004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3462.5250000000001</v>
      </c>
      <c r="N17" s="277">
        <f t="shared" ref="N17:N24" si="3">+(G17*D17+H17)*V17</f>
        <v>793.22033898305051</v>
      </c>
      <c r="O17" s="239">
        <f t="shared" ref="O17:O24" si="4">(N17+M17)*$O$15</f>
        <v>21.278726694915253</v>
      </c>
      <c r="P17" s="119">
        <f t="shared" ref="P17:P24" si="5">M17+N17+O17</f>
        <v>4277.0240656779661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80</v>
      </c>
      <c r="I18" s="236">
        <f t="shared" ref="I18:I21" si="7">(G18*D18)*F18+H18*F18</f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119">
        <f t="shared" si="5"/>
        <v>4277.0240656779661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80</v>
      </c>
      <c r="I19" s="236">
        <f t="shared" si="7"/>
        <v>5811.2</v>
      </c>
      <c r="J19" s="272">
        <f t="shared" si="1"/>
        <v>813.5680000000001</v>
      </c>
      <c r="K19" s="128">
        <f t="shared" si="1"/>
        <v>203.39200000000002</v>
      </c>
      <c r="L19" s="119">
        <f t="shared" si="1"/>
        <v>0</v>
      </c>
      <c r="M19" s="230">
        <f t="shared" si="2"/>
        <v>4794.24</v>
      </c>
      <c r="N19" s="277">
        <f t="shared" si="3"/>
        <v>1098.3050847457628</v>
      </c>
      <c r="O19" s="239">
        <f t="shared" si="4"/>
        <v>29.462725423728813</v>
      </c>
      <c r="P19" s="119">
        <f t="shared" si="5"/>
        <v>5922.0078101694908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80</v>
      </c>
      <c r="I20" s="236">
        <f t="shared" si="7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80</v>
      </c>
      <c r="I21" s="236">
        <f t="shared" si="7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119">
        <f t="shared" si="5"/>
        <v>5922.0078101694908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" si="8">SUM(G16:G24)</f>
        <v>0</v>
      </c>
      <c r="H25" s="113">
        <f t="shared" ref="H25" si="9">SUM(H16:H24)</f>
        <v>480</v>
      </c>
      <c r="I25" s="114">
        <f t="shared" ref="I25:M25" si="10">SUM(I16:I24)</f>
        <v>30024.600000000002</v>
      </c>
      <c r="J25" s="274">
        <f>SUM(J16:J24)</f>
        <v>4203.4440000000004</v>
      </c>
      <c r="K25" s="275">
        <f t="shared" si="10"/>
        <v>1050.8610000000001</v>
      </c>
      <c r="L25" s="276">
        <f t="shared" si="10"/>
        <v>0</v>
      </c>
      <c r="M25" s="232">
        <f t="shared" si="10"/>
        <v>24770.294999999998</v>
      </c>
      <c r="N25" s="233">
        <f>SUM(N16:N24)</f>
        <v>5674.576271186439</v>
      </c>
      <c r="O25" s="101">
        <f>SUM(O16:O24)</f>
        <v>152.2243563559322</v>
      </c>
      <c r="P25" s="234">
        <f>SUM(P16:P24)</f>
        <v>30597.095627542367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30024.600000000002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4203.4440000000004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1050.8610000000001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24770.295000000002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5674.576271186439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30444.871271186443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152.22435635593223</v>
      </c>
    </row>
    <row r="35" spans="2:16" ht="15.75" customHeight="1" thickBot="1" x14ac:dyDescent="0.4">
      <c r="N35" s="368" t="s">
        <v>88</v>
      </c>
      <c r="O35" s="369"/>
      <c r="P35" s="297">
        <f>+P33+P34</f>
        <v>30597.095627542374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500</v>
      </c>
      <c r="B4" s="388"/>
      <c r="C4" s="388"/>
      <c r="F4" s="85"/>
      <c r="G4" s="1"/>
      <c r="K4" s="389" t="s">
        <v>44</v>
      </c>
      <c r="L4" s="389"/>
      <c r="M4" s="389"/>
      <c r="N4" s="392">
        <v>46294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46293</v>
      </c>
      <c r="O5" s="388"/>
      <c r="P5" s="388"/>
      <c r="R5" s="85"/>
      <c r="S5" s="266"/>
    </row>
    <row r="6" spans="1:22 16383:16384" ht="15" customHeight="1" x14ac:dyDescent="0.4">
      <c r="A6" s="394" t="s">
        <v>518</v>
      </c>
      <c r="B6" s="394"/>
      <c r="C6" s="394"/>
      <c r="F6" s="85"/>
      <c r="G6" s="86"/>
      <c r="K6" s="389" t="s">
        <v>69</v>
      </c>
      <c r="L6" s="389"/>
      <c r="M6" s="389"/>
      <c r="N6" s="391" t="s">
        <v>501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520</v>
      </c>
      <c r="B7" s="389"/>
      <c r="C7" s="389"/>
      <c r="F7" s="85"/>
      <c r="G7" s="86"/>
      <c r="K7" s="389" t="s">
        <v>66</v>
      </c>
      <c r="L7" s="389"/>
      <c r="M7" s="389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89" t="s">
        <v>67</v>
      </c>
      <c r="L8" s="389"/>
      <c r="M8" s="389"/>
      <c r="N8" s="391" t="s">
        <v>506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115" t="s">
        <v>56</v>
      </c>
      <c r="Q14" s="396" t="s">
        <v>522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111" t="s">
        <v>38</v>
      </c>
      <c r="Q15" s="397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40</v>
      </c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40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80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40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40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80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9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2:M12"/>
    <mergeCell ref="N12:P12"/>
    <mergeCell ref="A14:B15"/>
    <mergeCell ref="C14:C15"/>
    <mergeCell ref="E14:F14"/>
    <mergeCell ref="G14:H14"/>
    <mergeCell ref="I14:I15"/>
    <mergeCell ref="J14:L14"/>
    <mergeCell ref="A10:C10"/>
    <mergeCell ref="K10:M10"/>
    <mergeCell ref="N10:P10"/>
    <mergeCell ref="K11:M11"/>
    <mergeCell ref="N11:P11"/>
    <mergeCell ref="N7:P7"/>
    <mergeCell ref="A8:C8"/>
    <mergeCell ref="K8:M8"/>
    <mergeCell ref="N8:P8"/>
    <mergeCell ref="A9:C9"/>
    <mergeCell ref="K9:M9"/>
    <mergeCell ref="N9:P9"/>
    <mergeCell ref="Q14:Q1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</mergeCells>
  <dataValidations disablePrompts="1"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500</v>
      </c>
      <c r="B4" s="388"/>
      <c r="C4" s="388"/>
      <c r="F4" s="85"/>
      <c r="G4" s="1"/>
      <c r="K4" s="389" t="s">
        <v>44</v>
      </c>
      <c r="L4" s="389"/>
      <c r="M4" s="389"/>
      <c r="N4" s="392">
        <v>46294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46293</v>
      </c>
      <c r="O5" s="388"/>
      <c r="P5" s="388"/>
      <c r="R5" s="85"/>
      <c r="S5" s="266"/>
    </row>
    <row r="6" spans="1:22 16383:16384" ht="18.75" customHeight="1" x14ac:dyDescent="0.4">
      <c r="A6" s="394" t="s">
        <v>514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510</v>
      </c>
      <c r="B7" s="389"/>
      <c r="C7" s="389"/>
      <c r="F7" s="85"/>
      <c r="G7" s="86"/>
      <c r="K7" s="389" t="s">
        <v>66</v>
      </c>
      <c r="L7" s="389"/>
      <c r="M7" s="389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89" t="s">
        <v>67</v>
      </c>
      <c r="L8" s="389"/>
      <c r="M8" s="389"/>
      <c r="N8" s="391" t="s">
        <v>506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Q14" s="398" t="s">
        <v>523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Q15" s="399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f>200-69</f>
        <v>131</v>
      </c>
      <c r="I16" s="235">
        <f>(G16*D16)*F16+H16*F16</f>
        <v>6872.5874999999996</v>
      </c>
      <c r="J16" s="271">
        <f>$I16*S16</f>
        <v>962.16225000000009</v>
      </c>
      <c r="K16" s="127">
        <f>$I16*T16</f>
        <v>240.54056250000002</v>
      </c>
      <c r="L16" s="118">
        <f>$I16*U16</f>
        <v>0</v>
      </c>
      <c r="M16" s="229">
        <f>I16-SUM(J16:L16)</f>
        <v>5669.8846874999999</v>
      </c>
      <c r="N16" s="248">
        <f>+(G16*D16+H16)*V16</f>
        <v>1298.8983050847453</v>
      </c>
      <c r="O16" s="238">
        <f>(N16+M16)*$O$15</f>
        <v>34.843914962923726</v>
      </c>
      <c r="P16" s="311">
        <f>M16+N16+O16</f>
        <v>7003.6269075476694</v>
      </c>
      <c r="Q16" s="314">
        <v>69</v>
      </c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312">
        <f t="shared" ref="P17:P24" si="5">M17+N17+O17</f>
        <v>6415.5360985169482</v>
      </c>
      <c r="Q17" s="314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si="0"/>
        <v>10492.5</v>
      </c>
      <c r="J18" s="272">
        <f t="shared" si="1"/>
        <v>1468.95</v>
      </c>
      <c r="K18" s="128">
        <f t="shared" si="1"/>
        <v>367.23750000000001</v>
      </c>
      <c r="L18" s="119">
        <f t="shared" si="1"/>
        <v>0</v>
      </c>
      <c r="M18" s="230">
        <f t="shared" si="2"/>
        <v>8656.3125</v>
      </c>
      <c r="N18" s="277">
        <f t="shared" si="3"/>
        <v>1983.0508474576263</v>
      </c>
      <c r="O18" s="239">
        <f t="shared" si="4"/>
        <v>53.196816737288138</v>
      </c>
      <c r="P18" s="312">
        <f t="shared" si="5"/>
        <v>10692.560164194916</v>
      </c>
      <c r="Q18" s="314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0"/>
        <v>14528</v>
      </c>
      <c r="J19" s="272">
        <f t="shared" si="1"/>
        <v>2033.9200000000003</v>
      </c>
      <c r="K19" s="128">
        <f t="shared" si="1"/>
        <v>508.48000000000008</v>
      </c>
      <c r="L19" s="119">
        <f t="shared" si="1"/>
        <v>0</v>
      </c>
      <c r="M19" s="230">
        <f t="shared" si="2"/>
        <v>11985.599999999999</v>
      </c>
      <c r="N19" s="277">
        <f t="shared" si="3"/>
        <v>2745.7627118644068</v>
      </c>
      <c r="O19" s="239">
        <f t="shared" si="4"/>
        <v>73.656813559322032</v>
      </c>
      <c r="P19" s="312">
        <f t="shared" si="5"/>
        <v>14805.019525423728</v>
      </c>
      <c r="Q19" s="314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f>120-14</f>
        <v>106</v>
      </c>
      <c r="I20" s="236">
        <f t="shared" si="0"/>
        <v>7699.84</v>
      </c>
      <c r="J20" s="272">
        <f t="shared" si="1"/>
        <v>1077.9776000000002</v>
      </c>
      <c r="K20" s="128">
        <f t="shared" si="1"/>
        <v>269.49440000000004</v>
      </c>
      <c r="L20" s="119">
        <f t="shared" si="1"/>
        <v>0</v>
      </c>
      <c r="M20" s="230">
        <f t="shared" si="2"/>
        <v>6352.3680000000004</v>
      </c>
      <c r="N20" s="277">
        <f t="shared" si="3"/>
        <v>1455.2542372881358</v>
      </c>
      <c r="O20" s="239">
        <f t="shared" si="4"/>
        <v>39.03811118644068</v>
      </c>
      <c r="P20" s="312">
        <f t="shared" si="5"/>
        <v>7846.6603484745774</v>
      </c>
      <c r="Q20" s="314">
        <v>14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0"/>
        <v>14528</v>
      </c>
      <c r="J21" s="272">
        <f t="shared" si="1"/>
        <v>2033.9200000000003</v>
      </c>
      <c r="K21" s="128">
        <f t="shared" si="1"/>
        <v>508.48000000000008</v>
      </c>
      <c r="L21" s="119">
        <f t="shared" si="1"/>
        <v>0</v>
      </c>
      <c r="M21" s="230">
        <f t="shared" si="2"/>
        <v>11985.599999999999</v>
      </c>
      <c r="N21" s="277">
        <f t="shared" si="3"/>
        <v>2745.7627118644068</v>
      </c>
      <c r="O21" s="239">
        <f t="shared" si="4"/>
        <v>73.656813559322032</v>
      </c>
      <c r="P21" s="312">
        <f t="shared" si="5"/>
        <v>14805.019525423728</v>
      </c>
      <c r="Q21" s="314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2">
        <f t="shared" si="5"/>
        <v>0</v>
      </c>
      <c r="Q22" s="314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2">
        <f t="shared" si="5"/>
        <v>0</v>
      </c>
      <c r="Q23" s="314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3">
        <f t="shared" si="5"/>
        <v>0</v>
      </c>
      <c r="Q24" s="314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957</v>
      </c>
      <c r="I25" s="114">
        <f t="shared" si="7"/>
        <v>60416.427500000005</v>
      </c>
      <c r="J25" s="274">
        <f>SUM(J16:J24)</f>
        <v>8458.2998500000012</v>
      </c>
      <c r="K25" s="275">
        <f t="shared" si="7"/>
        <v>2114.5749625000003</v>
      </c>
      <c r="L25" s="276">
        <f t="shared" si="7"/>
        <v>0</v>
      </c>
      <c r="M25" s="232">
        <f t="shared" si="7"/>
        <v>49843.5526875</v>
      </c>
      <c r="N25" s="233">
        <f>SUM(N16:N24)</f>
        <v>11418.559322033896</v>
      </c>
      <c r="O25" s="101">
        <f>SUM(O16:O24)</f>
        <v>306.31056004766947</v>
      </c>
      <c r="P25" s="113">
        <f>SUM(P16:P24)</f>
        <v>61568.422569581562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60416.427500000005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8458.2998500000012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2114.5749625000003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49843.5526875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11418.559322033896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61262.112009533899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306.31056004766953</v>
      </c>
    </row>
    <row r="35" spans="2:16" ht="15.75" customHeight="1" thickBot="1" x14ac:dyDescent="0.4">
      <c r="N35" s="368" t="s">
        <v>88</v>
      </c>
      <c r="O35" s="369"/>
      <c r="P35" s="297">
        <f>+P33+P34</f>
        <v>61568.422569581569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9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2:M12"/>
    <mergeCell ref="N12:P12"/>
    <mergeCell ref="A14:B15"/>
    <mergeCell ref="C14:C15"/>
    <mergeCell ref="E14:F14"/>
    <mergeCell ref="G14:H14"/>
    <mergeCell ref="I14:I15"/>
    <mergeCell ref="J14:L14"/>
    <mergeCell ref="A10:C10"/>
    <mergeCell ref="K10:M10"/>
    <mergeCell ref="N10:P10"/>
    <mergeCell ref="K11:M11"/>
    <mergeCell ref="N11:P11"/>
    <mergeCell ref="N7:P7"/>
    <mergeCell ref="A8:C8"/>
    <mergeCell ref="K8:M8"/>
    <mergeCell ref="N8:P8"/>
    <mergeCell ref="A9:C9"/>
    <mergeCell ref="K9:M9"/>
    <mergeCell ref="N9:P9"/>
    <mergeCell ref="Q14:Q1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500</v>
      </c>
      <c r="B4" s="388"/>
      <c r="C4" s="388"/>
      <c r="F4" s="85"/>
      <c r="G4" s="1"/>
      <c r="K4" s="389" t="s">
        <v>44</v>
      </c>
      <c r="L4" s="389"/>
      <c r="M4" s="389"/>
      <c r="N4" s="392">
        <v>46294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46293</v>
      </c>
      <c r="O5" s="388"/>
      <c r="P5" s="388"/>
      <c r="R5" s="85"/>
      <c r="S5" s="266"/>
    </row>
    <row r="6" spans="1:22 16383:16384" ht="15" customHeight="1" x14ac:dyDescent="0.4">
      <c r="A6" s="394" t="s">
        <v>516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519</v>
      </c>
      <c r="B7" s="389"/>
      <c r="C7" s="389"/>
      <c r="F7" s="85"/>
      <c r="G7" s="86"/>
      <c r="K7" s="389" t="s">
        <v>66</v>
      </c>
      <c r="L7" s="389"/>
      <c r="M7" s="389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517</v>
      </c>
      <c r="B8" s="395"/>
      <c r="C8" s="395"/>
      <c r="F8" s="85"/>
      <c r="G8" s="86"/>
      <c r="K8" s="389" t="s">
        <v>67</v>
      </c>
      <c r="L8" s="389"/>
      <c r="M8" s="389"/>
      <c r="N8" s="391" t="s">
        <v>506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119">
        <f t="shared" si="5"/>
        <v>2138.512032838983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119">
        <f t="shared" si="5"/>
        <v>2961.0039050847454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119">
        <f t="shared" si="5"/>
        <v>2961.0039050847454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2101.7220000000002</v>
      </c>
      <c r="K25" s="275">
        <f t="shared" si="7"/>
        <v>525.43050000000005</v>
      </c>
      <c r="L25" s="276">
        <f t="shared" si="7"/>
        <v>0</v>
      </c>
      <c r="M25" s="232">
        <f t="shared" si="7"/>
        <v>12385.147499999999</v>
      </c>
      <c r="N25" s="233">
        <f>SUM(N16:N24)</f>
        <v>2837.2881355932195</v>
      </c>
      <c r="O25" s="101">
        <f>SUM(O16:O24)</f>
        <v>76.112178177966101</v>
      </c>
      <c r="P25" s="234">
        <f>SUM(P16:P24)</f>
        <v>15298.547813771183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15012.300000000001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2101.7220000000002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525.43050000000005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12385.147500000001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15222.435635593221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76.112178177966115</v>
      </c>
    </row>
    <row r="35" spans="2:16" ht="15.75" customHeight="1" thickBot="1" x14ac:dyDescent="0.4">
      <c r="N35" s="368" t="s">
        <v>88</v>
      </c>
      <c r="O35" s="369"/>
      <c r="P35" s="297">
        <f>+P33+P34</f>
        <v>15298.547813771187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500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507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510</v>
      </c>
      <c r="B7" s="389"/>
      <c r="C7" s="389"/>
      <c r="F7" s="85"/>
      <c r="G7" s="86"/>
      <c r="K7" s="389" t="s">
        <v>66</v>
      </c>
      <c r="L7" s="389"/>
      <c r="M7" s="389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509</v>
      </c>
      <c r="B8" s="395"/>
      <c r="C8" s="395"/>
      <c r="F8" s="85"/>
      <c r="G8" s="86"/>
      <c r="K8" s="389" t="s">
        <v>67</v>
      </c>
      <c r="L8" s="389"/>
      <c r="M8" s="389"/>
      <c r="N8" s="391" t="s">
        <v>506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500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507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510</v>
      </c>
      <c r="B7" s="389"/>
      <c r="C7" s="389"/>
      <c r="F7" s="85"/>
      <c r="G7" s="86"/>
      <c r="K7" s="389" t="s">
        <v>66</v>
      </c>
      <c r="L7" s="389"/>
      <c r="M7" s="389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509</v>
      </c>
      <c r="B8" s="395"/>
      <c r="C8" s="395"/>
      <c r="F8" s="85"/>
      <c r="G8" s="86"/>
      <c r="K8" s="389" t="s">
        <v>67</v>
      </c>
      <c r="L8" s="389"/>
      <c r="M8" s="389"/>
      <c r="N8" s="391" t="s">
        <v>506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500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507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510</v>
      </c>
      <c r="B7" s="389"/>
      <c r="C7" s="389"/>
      <c r="F7" s="85"/>
      <c r="G7" s="86"/>
      <c r="K7" s="389" t="s">
        <v>66</v>
      </c>
      <c r="L7" s="389"/>
      <c r="M7" s="389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509</v>
      </c>
      <c r="B8" s="395"/>
      <c r="C8" s="395"/>
      <c r="F8" s="85"/>
      <c r="G8" s="86"/>
      <c r="K8" s="389" t="s">
        <v>67</v>
      </c>
      <c r="L8" s="389"/>
      <c r="M8" s="389"/>
      <c r="N8" s="391" t="s">
        <v>506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500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507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510</v>
      </c>
      <c r="B7" s="389"/>
      <c r="C7" s="389"/>
      <c r="F7" s="85"/>
      <c r="G7" s="86"/>
      <c r="K7" s="389" t="s">
        <v>66</v>
      </c>
      <c r="L7" s="389"/>
      <c r="M7" s="389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509</v>
      </c>
      <c r="B8" s="395"/>
      <c r="C8" s="395"/>
      <c r="F8" s="85"/>
      <c r="G8" s="86"/>
      <c r="K8" s="389" t="s">
        <v>67</v>
      </c>
      <c r="L8" s="389"/>
      <c r="M8" s="389"/>
      <c r="N8" s="391" t="s">
        <v>506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500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507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510</v>
      </c>
      <c r="B7" s="389"/>
      <c r="C7" s="389"/>
      <c r="F7" s="85"/>
      <c r="G7" s="86"/>
      <c r="K7" s="389" t="s">
        <v>66</v>
      </c>
      <c r="L7" s="389"/>
      <c r="M7" s="389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509</v>
      </c>
      <c r="B8" s="395"/>
      <c r="C8" s="395"/>
      <c r="F8" s="85"/>
      <c r="G8" s="86"/>
      <c r="K8" s="389" t="s">
        <v>67</v>
      </c>
      <c r="L8" s="389"/>
      <c r="M8" s="389"/>
      <c r="N8" s="391" t="s">
        <v>506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500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507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510</v>
      </c>
      <c r="B7" s="389"/>
      <c r="C7" s="389"/>
      <c r="F7" s="85"/>
      <c r="G7" s="86"/>
      <c r="K7" s="389" t="s">
        <v>66</v>
      </c>
      <c r="L7" s="389"/>
      <c r="M7" s="389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509</v>
      </c>
      <c r="B8" s="395"/>
      <c r="C8" s="395"/>
      <c r="F8" s="85"/>
      <c r="G8" s="86"/>
      <c r="K8" s="389" t="s">
        <v>67</v>
      </c>
      <c r="L8" s="389"/>
      <c r="M8" s="389"/>
      <c r="N8" s="391" t="s">
        <v>506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500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507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510</v>
      </c>
      <c r="B7" s="389"/>
      <c r="C7" s="389"/>
      <c r="F7" s="85"/>
      <c r="G7" s="86"/>
      <c r="K7" s="389" t="s">
        <v>66</v>
      </c>
      <c r="L7" s="389"/>
      <c r="M7" s="389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509</v>
      </c>
      <c r="B8" s="395"/>
      <c r="C8" s="395"/>
      <c r="F8" s="85"/>
      <c r="G8" s="86"/>
      <c r="K8" s="389" t="s">
        <v>67</v>
      </c>
      <c r="L8" s="389"/>
      <c r="M8" s="389"/>
      <c r="N8" s="391" t="s">
        <v>506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500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507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510</v>
      </c>
      <c r="B7" s="389"/>
      <c r="C7" s="389"/>
      <c r="F7" s="85"/>
      <c r="G7" s="86"/>
      <c r="K7" s="389" t="s">
        <v>66</v>
      </c>
      <c r="L7" s="389"/>
      <c r="M7" s="389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509</v>
      </c>
      <c r="B8" s="395"/>
      <c r="C8" s="395"/>
      <c r="F8" s="85"/>
      <c r="G8" s="86"/>
      <c r="K8" s="389" t="s">
        <v>67</v>
      </c>
      <c r="L8" s="389"/>
      <c r="M8" s="389"/>
      <c r="N8" s="391" t="s">
        <v>506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500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507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510</v>
      </c>
      <c r="B7" s="389"/>
      <c r="C7" s="389"/>
      <c r="F7" s="85"/>
      <c r="G7" s="86"/>
      <c r="K7" s="389" t="s">
        <v>66</v>
      </c>
      <c r="L7" s="389"/>
      <c r="M7" s="389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509</v>
      </c>
      <c r="B8" s="395"/>
      <c r="C8" s="395"/>
      <c r="F8" s="85"/>
      <c r="G8" s="86"/>
      <c r="K8" s="389" t="s">
        <v>67</v>
      </c>
      <c r="L8" s="389"/>
      <c r="M8" s="389"/>
      <c r="N8" s="391" t="s">
        <v>506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500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507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510</v>
      </c>
      <c r="B7" s="389"/>
      <c r="C7" s="389"/>
      <c r="F7" s="85"/>
      <c r="G7" s="86"/>
      <c r="K7" s="389" t="s">
        <v>66</v>
      </c>
      <c r="L7" s="389"/>
      <c r="M7" s="389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509</v>
      </c>
      <c r="B8" s="395"/>
      <c r="C8" s="395"/>
      <c r="F8" s="85"/>
      <c r="G8" s="86"/>
      <c r="K8" s="389" t="s">
        <v>67</v>
      </c>
      <c r="L8" s="389"/>
      <c r="M8" s="389"/>
      <c r="N8" s="391" t="s">
        <v>506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500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507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510</v>
      </c>
      <c r="B7" s="389"/>
      <c r="C7" s="389"/>
      <c r="F7" s="85"/>
      <c r="G7" s="86"/>
      <c r="K7" s="389" t="s">
        <v>66</v>
      </c>
      <c r="L7" s="389"/>
      <c r="M7" s="389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509</v>
      </c>
      <c r="B8" s="395"/>
      <c r="C8" s="395"/>
      <c r="F8" s="85"/>
      <c r="G8" s="86"/>
      <c r="K8" s="389" t="s">
        <v>67</v>
      </c>
      <c r="L8" s="389"/>
      <c r="M8" s="389"/>
      <c r="N8" s="391" t="s">
        <v>506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500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507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510</v>
      </c>
      <c r="B7" s="389"/>
      <c r="C7" s="389"/>
      <c r="F7" s="85"/>
      <c r="G7" s="86"/>
      <c r="K7" s="389" t="s">
        <v>66</v>
      </c>
      <c r="L7" s="389"/>
      <c r="M7" s="389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509</v>
      </c>
      <c r="B8" s="395"/>
      <c r="C8" s="395"/>
      <c r="F8" s="85"/>
      <c r="G8" s="86"/>
      <c r="K8" s="389" t="s">
        <v>67</v>
      </c>
      <c r="L8" s="389"/>
      <c r="M8" s="389"/>
      <c r="N8" s="391" t="s">
        <v>506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500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507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510</v>
      </c>
      <c r="B7" s="389"/>
      <c r="C7" s="389"/>
      <c r="F7" s="85"/>
      <c r="G7" s="86"/>
      <c r="K7" s="389" t="s">
        <v>66</v>
      </c>
      <c r="L7" s="389"/>
      <c r="M7" s="389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509</v>
      </c>
      <c r="B8" s="395"/>
      <c r="C8" s="395"/>
      <c r="F8" s="85"/>
      <c r="G8" s="86"/>
      <c r="K8" s="389" t="s">
        <v>67</v>
      </c>
      <c r="L8" s="389"/>
      <c r="M8" s="389"/>
      <c r="N8" s="391" t="s">
        <v>506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500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507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510</v>
      </c>
      <c r="B7" s="389"/>
      <c r="C7" s="389"/>
      <c r="F7" s="85"/>
      <c r="G7" s="86"/>
      <c r="K7" s="389" t="s">
        <v>66</v>
      </c>
      <c r="L7" s="389"/>
      <c r="M7" s="389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509</v>
      </c>
      <c r="B8" s="395"/>
      <c r="C8" s="395"/>
      <c r="F8" s="85"/>
      <c r="G8" s="86"/>
      <c r="K8" s="389" t="s">
        <v>67</v>
      </c>
      <c r="L8" s="389"/>
      <c r="M8" s="389"/>
      <c r="N8" s="391" t="s">
        <v>506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500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507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510</v>
      </c>
      <c r="B7" s="389"/>
      <c r="C7" s="389"/>
      <c r="F7" s="85"/>
      <c r="G7" s="86"/>
      <c r="K7" s="389" t="s">
        <v>66</v>
      </c>
      <c r="L7" s="389"/>
      <c r="M7" s="389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509</v>
      </c>
      <c r="B8" s="395"/>
      <c r="C8" s="395"/>
      <c r="F8" s="85"/>
      <c r="G8" s="86"/>
      <c r="K8" s="389" t="s">
        <v>67</v>
      </c>
      <c r="L8" s="389"/>
      <c r="M8" s="389"/>
      <c r="N8" s="391" t="s">
        <v>506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500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8.75" customHeight="1" x14ac:dyDescent="0.4">
      <c r="A6" s="394" t="s">
        <v>507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510</v>
      </c>
      <c r="B7" s="389"/>
      <c r="C7" s="389"/>
      <c r="F7" s="85"/>
      <c r="G7" s="86"/>
      <c r="K7" s="389" t="s">
        <v>66</v>
      </c>
      <c r="L7" s="389"/>
      <c r="M7" s="389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509</v>
      </c>
      <c r="B8" s="395"/>
      <c r="C8" s="395"/>
      <c r="F8" s="85"/>
      <c r="G8" s="86"/>
      <c r="K8" s="389" t="s">
        <v>67</v>
      </c>
      <c r="L8" s="389"/>
      <c r="M8" s="389"/>
      <c r="N8" s="391" t="s">
        <v>506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500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507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510</v>
      </c>
      <c r="B7" s="389"/>
      <c r="C7" s="389"/>
      <c r="F7" s="85"/>
      <c r="G7" s="86"/>
      <c r="K7" s="389" t="s">
        <v>66</v>
      </c>
      <c r="L7" s="389"/>
      <c r="M7" s="389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509</v>
      </c>
      <c r="B8" s="395"/>
      <c r="C8" s="395"/>
      <c r="F8" s="85"/>
      <c r="G8" s="86"/>
      <c r="K8" s="389" t="s">
        <v>67</v>
      </c>
      <c r="L8" s="389"/>
      <c r="M8" s="389"/>
      <c r="N8" s="391" t="s">
        <v>506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500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507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510</v>
      </c>
      <c r="B7" s="389"/>
      <c r="C7" s="389"/>
      <c r="F7" s="85"/>
      <c r="G7" s="86"/>
      <c r="K7" s="389" t="s">
        <v>66</v>
      </c>
      <c r="L7" s="389"/>
      <c r="M7" s="389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509</v>
      </c>
      <c r="B8" s="395"/>
      <c r="C8" s="395"/>
      <c r="F8" s="85"/>
      <c r="G8" s="86"/>
      <c r="K8" s="389" t="s">
        <v>67</v>
      </c>
      <c r="L8" s="389"/>
      <c r="M8" s="389"/>
      <c r="N8" s="391" t="s">
        <v>506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500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507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510</v>
      </c>
      <c r="B7" s="389"/>
      <c r="C7" s="389"/>
      <c r="F7" s="85"/>
      <c r="G7" s="86"/>
      <c r="K7" s="389" t="s">
        <v>66</v>
      </c>
      <c r="L7" s="389"/>
      <c r="M7" s="389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509</v>
      </c>
      <c r="B8" s="395"/>
      <c r="C8" s="395"/>
      <c r="F8" s="85"/>
      <c r="G8" s="86"/>
      <c r="K8" s="389" t="s">
        <v>67</v>
      </c>
      <c r="L8" s="389"/>
      <c r="M8" s="389"/>
      <c r="N8" s="391" t="s">
        <v>506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500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507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510</v>
      </c>
      <c r="B7" s="389"/>
      <c r="C7" s="389"/>
      <c r="F7" s="85"/>
      <c r="G7" s="86"/>
      <c r="K7" s="389" t="s">
        <v>66</v>
      </c>
      <c r="L7" s="389"/>
      <c r="M7" s="389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509</v>
      </c>
      <c r="B8" s="395"/>
      <c r="C8" s="395"/>
      <c r="F8" s="85"/>
      <c r="G8" s="86"/>
      <c r="K8" s="389" t="s">
        <v>67</v>
      </c>
      <c r="L8" s="389"/>
      <c r="M8" s="389"/>
      <c r="N8" s="391" t="s">
        <v>506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500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507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510</v>
      </c>
      <c r="B7" s="389"/>
      <c r="C7" s="389"/>
      <c r="F7" s="85"/>
      <c r="G7" s="86"/>
      <c r="K7" s="389" t="s">
        <v>66</v>
      </c>
      <c r="L7" s="389"/>
      <c r="M7" s="389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509</v>
      </c>
      <c r="B8" s="395"/>
      <c r="C8" s="395"/>
      <c r="F8" s="85"/>
      <c r="G8" s="86"/>
      <c r="K8" s="389" t="s">
        <v>67</v>
      </c>
      <c r="L8" s="389"/>
      <c r="M8" s="389"/>
      <c r="N8" s="391" t="s">
        <v>506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500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507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510</v>
      </c>
      <c r="B7" s="389"/>
      <c r="C7" s="389"/>
      <c r="F7" s="85"/>
      <c r="G7" s="86"/>
      <c r="K7" s="389" t="s">
        <v>66</v>
      </c>
      <c r="L7" s="389"/>
      <c r="M7" s="389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509</v>
      </c>
      <c r="B8" s="395"/>
      <c r="C8" s="395"/>
      <c r="F8" s="85"/>
      <c r="G8" s="86"/>
      <c r="K8" s="389" t="s">
        <v>67</v>
      </c>
      <c r="L8" s="389"/>
      <c r="M8" s="389"/>
      <c r="N8" s="391" t="s">
        <v>506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500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507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510</v>
      </c>
      <c r="B7" s="389"/>
      <c r="C7" s="389"/>
      <c r="F7" s="85"/>
      <c r="G7" s="86"/>
      <c r="K7" s="389" t="s">
        <v>66</v>
      </c>
      <c r="L7" s="389"/>
      <c r="M7" s="389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509</v>
      </c>
      <c r="B8" s="395"/>
      <c r="C8" s="395"/>
      <c r="F8" s="85"/>
      <c r="G8" s="86"/>
      <c r="K8" s="389" t="s">
        <v>67</v>
      </c>
      <c r="L8" s="389"/>
      <c r="M8" s="389"/>
      <c r="N8" s="391" t="s">
        <v>506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500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507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510</v>
      </c>
      <c r="B7" s="389"/>
      <c r="C7" s="389"/>
      <c r="F7" s="85"/>
      <c r="G7" s="86"/>
      <c r="K7" s="389" t="s">
        <v>66</v>
      </c>
      <c r="L7" s="389"/>
      <c r="M7" s="389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509</v>
      </c>
      <c r="B8" s="395"/>
      <c r="C8" s="395"/>
      <c r="F8" s="85"/>
      <c r="G8" s="86"/>
      <c r="K8" s="389" t="s">
        <v>67</v>
      </c>
      <c r="L8" s="389"/>
      <c r="M8" s="389"/>
      <c r="N8" s="391" t="s">
        <v>506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500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507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510</v>
      </c>
      <c r="B7" s="389"/>
      <c r="C7" s="389"/>
      <c r="F7" s="85"/>
      <c r="G7" s="86"/>
      <c r="K7" s="389" t="s">
        <v>66</v>
      </c>
      <c r="L7" s="389"/>
      <c r="M7" s="389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509</v>
      </c>
      <c r="B8" s="395"/>
      <c r="C8" s="395"/>
      <c r="F8" s="85"/>
      <c r="G8" s="86"/>
      <c r="K8" s="389" t="s">
        <v>67</v>
      </c>
      <c r="L8" s="389"/>
      <c r="M8" s="389"/>
      <c r="N8" s="391" t="s">
        <v>506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500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507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510</v>
      </c>
      <c r="B7" s="389"/>
      <c r="C7" s="389"/>
      <c r="F7" s="85"/>
      <c r="G7" s="86"/>
      <c r="K7" s="389" t="s">
        <v>66</v>
      </c>
      <c r="L7" s="389"/>
      <c r="M7" s="389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509</v>
      </c>
      <c r="B8" s="395"/>
      <c r="C8" s="395"/>
      <c r="F8" s="85"/>
      <c r="G8" s="86"/>
      <c r="K8" s="389" t="s">
        <v>67</v>
      </c>
      <c r="L8" s="389"/>
      <c r="M8" s="389"/>
      <c r="N8" s="391" t="s">
        <v>506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7" t="s">
        <v>91</v>
      </c>
      <c r="B2" s="387"/>
      <c r="C2" s="387"/>
    </row>
    <row r="3" spans="1:18 16382:16383" ht="15" customHeight="1" x14ac:dyDescent="0.35">
      <c r="A3" s="388" t="s">
        <v>92</v>
      </c>
      <c r="B3" s="388"/>
      <c r="C3" s="388"/>
      <c r="F3" s="85"/>
      <c r="G3" s="1"/>
      <c r="J3" s="389" t="s">
        <v>43</v>
      </c>
      <c r="K3" s="389"/>
      <c r="L3" s="389"/>
      <c r="M3" s="388"/>
      <c r="N3" s="388"/>
      <c r="O3" s="38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8" t="s">
        <v>65</v>
      </c>
      <c r="B4" s="388"/>
      <c r="C4" s="388"/>
      <c r="F4" s="85"/>
      <c r="G4" s="1"/>
      <c r="J4" s="389" t="s">
        <v>44</v>
      </c>
      <c r="K4" s="389"/>
      <c r="L4" s="389"/>
      <c r="M4" s="392">
        <f ca="1">TODAY()+1</f>
        <v>46296</v>
      </c>
      <c r="N4" s="392"/>
      <c r="O4" s="39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3" t="s">
        <v>93</v>
      </c>
      <c r="B5" s="393"/>
      <c r="C5" s="393"/>
      <c r="F5" s="85"/>
      <c r="G5" s="1"/>
      <c r="J5" s="389" t="s">
        <v>45</v>
      </c>
      <c r="K5" s="389"/>
      <c r="L5" s="389"/>
      <c r="M5" s="392">
        <f ca="1">M4-1</f>
        <v>46295</v>
      </c>
      <c r="N5" s="388"/>
      <c r="O5" s="388"/>
      <c r="Q5" s="85"/>
      <c r="R5" s="1"/>
    </row>
    <row r="6" spans="1:18 16382:16383" ht="15" customHeight="1" x14ac:dyDescent="0.35">
      <c r="A6" s="389" t="s">
        <v>94</v>
      </c>
      <c r="B6" s="389"/>
      <c r="C6" s="389"/>
      <c r="F6" s="85"/>
      <c r="G6" s="86"/>
      <c r="J6" s="389" t="s">
        <v>69</v>
      </c>
      <c r="K6" s="389"/>
      <c r="L6" s="389"/>
      <c r="M6" s="391" t="s">
        <v>62</v>
      </c>
      <c r="N6" s="391"/>
      <c r="O6" s="39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9" t="s">
        <v>73</v>
      </c>
      <c r="B7" s="389"/>
      <c r="C7" s="389"/>
      <c r="F7" s="85"/>
      <c r="G7" s="86"/>
      <c r="J7" s="389" t="s">
        <v>66</v>
      </c>
      <c r="K7" s="389"/>
      <c r="L7" s="389"/>
      <c r="M7" s="391" t="s">
        <v>70</v>
      </c>
      <c r="N7" s="391"/>
      <c r="O7" s="39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89" t="s">
        <v>67</v>
      </c>
      <c r="K8" s="389"/>
      <c r="L8" s="389"/>
      <c r="M8" s="391" t="s">
        <v>71</v>
      </c>
      <c r="N8" s="391"/>
      <c r="O8" s="391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89" t="s">
        <v>68</v>
      </c>
      <c r="K9" s="389"/>
      <c r="L9" s="389"/>
      <c r="M9" s="391" t="s">
        <v>104</v>
      </c>
      <c r="N9" s="391"/>
      <c r="O9" s="391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89" t="s">
        <v>46</v>
      </c>
      <c r="K10" s="389"/>
      <c r="L10" s="389"/>
      <c r="M10" s="388" t="s">
        <v>47</v>
      </c>
      <c r="N10" s="388"/>
      <c r="O10" s="38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9" t="s">
        <v>48</v>
      </c>
      <c r="K11" s="389"/>
      <c r="L11" s="389"/>
      <c r="M11" s="388" t="s">
        <v>49</v>
      </c>
      <c r="N11" s="388"/>
      <c r="O11" s="38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9" t="s">
        <v>50</v>
      </c>
      <c r="K12" s="389"/>
      <c r="L12" s="389"/>
      <c r="M12" s="388"/>
      <c r="N12" s="388"/>
      <c r="O12" s="38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9" t="s">
        <v>51</v>
      </c>
      <c r="B14" s="340"/>
      <c r="C14" s="343" t="s">
        <v>90</v>
      </c>
      <c r="D14" s="88" t="s">
        <v>52</v>
      </c>
      <c r="E14" s="95" t="s">
        <v>74</v>
      </c>
      <c r="F14" s="115" t="s">
        <v>53</v>
      </c>
      <c r="G14" s="386" t="s">
        <v>54</v>
      </c>
      <c r="H14" s="348"/>
      <c r="I14" s="349" t="s">
        <v>77</v>
      </c>
      <c r="J14" s="347" t="s">
        <v>55</v>
      </c>
      <c r="K14" s="348"/>
      <c r="L14" s="349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1"/>
      <c r="B15" s="342"/>
      <c r="C15" s="34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0"/>
      <c r="J15" s="144" t="s">
        <v>39</v>
      </c>
      <c r="K15" s="145" t="s">
        <v>59</v>
      </c>
      <c r="L15" s="350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5"/>
      <c r="M28" s="362" t="s">
        <v>60</v>
      </c>
      <c r="N28" s="363"/>
      <c r="O28" s="139">
        <f>I25</f>
        <v>1452.8</v>
      </c>
    </row>
    <row r="29" spans="1:18 16383:16383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8"/>
      <c r="M29" s="364" t="s">
        <v>85</v>
      </c>
      <c r="N29" s="365"/>
      <c r="O29" s="140">
        <f>K25</f>
        <v>0</v>
      </c>
    </row>
    <row r="30" spans="1:18 16383:16383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8"/>
      <c r="M30" s="364" t="s">
        <v>86</v>
      </c>
      <c r="N30" s="365"/>
      <c r="O30" s="140">
        <f>J25</f>
        <v>50.848000000000006</v>
      </c>
    </row>
    <row r="31" spans="1:18 16383:16383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8"/>
      <c r="L31" s="131"/>
      <c r="M31" s="364" t="s">
        <v>87</v>
      </c>
      <c r="N31" s="365"/>
      <c r="O31" s="140">
        <f>O28-O29-O30</f>
        <v>1401.952</v>
      </c>
    </row>
    <row r="32" spans="1:18 16383:16383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8"/>
      <c r="L33" s="131"/>
      <c r="M33" s="366" t="s">
        <v>76</v>
      </c>
      <c r="N33" s="367"/>
      <c r="O33" s="140">
        <f>O31+O32</f>
        <v>1710.3814400000001</v>
      </c>
    </row>
    <row r="34" spans="2:15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8" t="s">
        <v>88</v>
      </c>
      <c r="N35" s="369"/>
      <c r="O35" s="141">
        <f>O28-O29+O31+O34</f>
        <v>2897.511536</v>
      </c>
    </row>
    <row r="36" spans="2:15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1" t="s">
        <v>438</v>
      </c>
      <c r="D1" s="403" t="s">
        <v>439</v>
      </c>
      <c r="E1" s="331" t="s">
        <v>58</v>
      </c>
      <c r="F1" s="331"/>
      <c r="G1" s="332" t="s">
        <v>440</v>
      </c>
      <c r="H1" s="332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1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26" t="s">
        <v>438</v>
      </c>
      <c r="D7" s="330" t="s">
        <v>439</v>
      </c>
      <c r="E7" s="407" t="s">
        <v>58</v>
      </c>
      <c r="F7" s="407"/>
      <c r="G7" s="408" t="s">
        <v>440</v>
      </c>
      <c r="H7" s="332"/>
      <c r="I7" s="333" t="s">
        <v>441</v>
      </c>
      <c r="J7" s="334"/>
      <c r="K7" s="333" t="s">
        <v>442</v>
      </c>
      <c r="L7" s="334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28"/>
      <c r="D8" s="330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27" t="s">
        <v>438</v>
      </c>
      <c r="D13" s="329" t="s">
        <v>439</v>
      </c>
      <c r="E13" s="331" t="s">
        <v>58</v>
      </c>
      <c r="F13" s="331"/>
      <c r="G13" s="332" t="s">
        <v>440</v>
      </c>
      <c r="H13" s="332"/>
      <c r="I13" s="333" t="s">
        <v>441</v>
      </c>
      <c r="J13" s="334"/>
      <c r="K13" s="333" t="s">
        <v>442</v>
      </c>
      <c r="L13" s="334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28"/>
      <c r="D14" s="330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27" t="s">
        <v>438</v>
      </c>
      <c r="D20" s="329" t="s">
        <v>439</v>
      </c>
      <c r="E20" s="331" t="s">
        <v>58</v>
      </c>
      <c r="F20" s="331"/>
      <c r="G20" s="332" t="s">
        <v>440</v>
      </c>
      <c r="H20" s="332"/>
      <c r="I20" s="333" t="s">
        <v>441</v>
      </c>
      <c r="J20" s="334"/>
      <c r="K20" s="333" t="s">
        <v>442</v>
      </c>
      <c r="L20" s="334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28"/>
      <c r="D21" s="330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27" t="s">
        <v>438</v>
      </c>
      <c r="D27" s="329" t="s">
        <v>439</v>
      </c>
      <c r="E27" s="331" t="s">
        <v>58</v>
      </c>
      <c r="F27" s="331"/>
      <c r="G27" s="332" t="s">
        <v>440</v>
      </c>
      <c r="H27" s="332"/>
      <c r="I27" s="333" t="s">
        <v>441</v>
      </c>
      <c r="J27" s="334"/>
      <c r="K27" s="333" t="s">
        <v>442</v>
      </c>
      <c r="L27" s="334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28"/>
      <c r="D28" s="330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1" t="s">
        <v>438</v>
      </c>
      <c r="C1" s="403" t="s">
        <v>439</v>
      </c>
      <c r="D1" s="331" t="s">
        <v>58</v>
      </c>
      <c r="E1" s="331"/>
      <c r="F1" s="332" t="s">
        <v>440</v>
      </c>
      <c r="G1" s="332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1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2026-09-30T05:23:17Z</dcterms:modified>
</cp:coreProperties>
</file>