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D82D3DE-F6AB-4BD3-94A3-15A2CEA1B437}" xr6:coauthVersionLast="47" xr6:coauthVersionMax="47" xr10:uidLastSave="{00000000-0000-0000-0000-000000000000}"/>
  <bookViews>
    <workbookView xWindow="-110" yWindow="-110" windowWidth="19420" windowHeight="10420" tabRatio="948" firstSheet="3" activeTab="12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 l="1"/>
  <c r="N5" i="64" s="1"/>
  <c r="N4" i="59"/>
  <c r="N5" i="11"/>
  <c r="N4" i="51"/>
  <c r="N5" i="51" s="1"/>
  <c r="N4" i="67"/>
  <c r="N5" i="67" s="1"/>
  <c r="N4" i="63"/>
  <c r="N5" i="63" s="1"/>
  <c r="N4" i="58"/>
  <c r="N5" i="58" s="1"/>
  <c r="N4" i="50"/>
  <c r="N5" i="50" s="1"/>
  <c r="N4" i="46"/>
  <c r="N5" i="46" s="1"/>
  <c r="N4" i="70"/>
  <c r="N5" i="70" s="1"/>
  <c r="N4" i="61"/>
  <c r="N5" i="61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8"/>
  <c r="K12" i="62"/>
  <c r="M21" i="47"/>
  <c r="O21" i="47" s="1"/>
  <c r="P21" i="47" s="1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<sst xmlns="http://schemas.openxmlformats.org/spreadsheetml/2006/main" count="3948" uniqueCount="524">
  <si>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</si>
  <si>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</si>
  <si>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</si>
  <si>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</si>
  <si>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</si>
  <si>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</si>
  <si>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</si>
  <si>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</si>
  <si>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</si>
  <si>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</si>
  <si>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</si>
  <si>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</si>
  <si>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</si>
  <si>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</si>
  <si>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</si>
  <si>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</si>
  <si>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</si>
  <si>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</si>
  <si>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</si>
  <si>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</si>
  <si>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</si>
  <si>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</si>
  <si>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</si>
  <si>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</si>
  <si>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</si>
  <si>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</si>
  <si>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</si>
  <si>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</si>
  <si>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</si>
  <si>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</si>
  <si>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</si>
  <si>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</si>
  <si>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</si>
  <si>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</si>
  <si>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</si>
  <si>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</si>
  <si>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</si>
  <si>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</si>
  <si>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</si>
  <si>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</si>
  <si>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</si>
  <si>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</si>
  <si>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</si>
  <si>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</si>
  <si>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</si>
  <si>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</si>
  <si>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</si>
  <si>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</si>
  <si>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</si>
  <si>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</si>
  <si>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</si>
  <si>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</si>
  <si>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</si>
  <si>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</si>
  <si>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</si>
  <si>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</si>
  <si>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</si>
  <si>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</si>
  <si>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</si>
  <si>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</si>
  <si>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</si>
  <si>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</si>
  <si>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</si>
  <si>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</si>
  <si>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</si>
  <si>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</si>
  <si>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</si>
  <si>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</si>
  <si>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</si>
  <si>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</si>
  <si>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</si>
  <si>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</si>
  <si>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</si>
  <si>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</si>
  <si>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</si>
  <si>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</si>
  <si>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</si>
  <si>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</si>
  <si>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</si>
  <si>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</si>
  <si>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</si>
  <si>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</si>
  <si>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</si>
  <si>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</si>
  <si>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</si>
  <si>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</si>
  <si>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</si>
  <si>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</si>
  <si>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</si>
  <si>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</si>
  <si>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</si>
  <si>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</si>
  <si>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</si>
  <si>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</si>
  <si>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</si>
  <si>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</si>
  <si>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</si>
  <si>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</si>
  <si>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</si>
  <si>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</si>
  <si>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</si>
  <si>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</si>
  <si>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</si>
  <si>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</si>
  <si>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</si>
  <si>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</si>
  <si>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</si>
  <si>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</si>
  <si>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</si>
  <si>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</si>
  <si>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</si>
  <si>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</si>
  <si>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</si>
  <si>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</si>
  <si>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</si>
  <si>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</si>
  <si>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</si>
  <si>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</si>
  <si>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</si>
  <si>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</si>
  <si>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</si>
  <si>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</si>
  <si>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</si>
  <si>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</si>
  <si>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</si>
  <si>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</si>
  <si>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</si>
  <si>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</si>
  <si>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</si>
  <si>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</si>
  <si>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</si>
  <si>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</si>
  <si>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</si>
  <si>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</si>
  <si>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</si>
  <si>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</si>
  <si>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</si>
  <si>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</si>
  <si>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</si>
  <si>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</si>
  <si>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</si>
  <si>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</si>
  <si>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</si>
  <si>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</si>
  <si>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</si>
  <si>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</si>
  <si>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</si>
  <si>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</si>
  <si>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</si>
  <si>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</si>
  <si>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</si>
  <si>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</si>
  <si>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</si>
  <si>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</si>
  <si>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</si>
  <si>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</si>
  <si>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</si>
  <si>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</si>
  <si>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</si>
  <si>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</si>
  <si>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</si>
  <si>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</si>
  <si>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</si>
  <si>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</si>
  <si>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</si>
  <si>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</si>
  <si>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</si>
  <si>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</si>
  <si>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</si>
  <si>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</si>
  <si>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</si>
  <si>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</si>
  <si>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</si>
  <si>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</si>
  <si>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</si>
  <si>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</si>
  <si>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</si>
  <si>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</si>
  <si>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</si>
  <si>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</si>
  <si>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</si>
  <si>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</si>
  <si>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</si>
  <si>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</si>
  <si>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</si>
  <si>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</si>
  <si>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</si>
  <si>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</si>
  <si>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</si>
  <si>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</si>
  <si>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</si>
  <si>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</si>
  <si>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</si>
  <si>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</si>
  <si>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</si>
  <si>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</si>
  <si>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</si>
  <si>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</si>
  <si>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</si>
  <si>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</si>
  <si>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</si>
  <si>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</si>
  <si>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</si>
  <si>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</si>
  <si>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</si>
  <si>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</si>
  <si>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</si>
  <si>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</si>
  <si>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</si>
  <si>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</si>
  <si>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</si>
  <si>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</si>
  <si>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</si>
  <si>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</si>
  <si>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</si>
  <si>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</si>
  <si>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</si>
  <si>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</si>
  <si>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</si>
  <si>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</si>
  <si>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</si>
  <si>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</si>
  <si>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</si>
  <si>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</si>
  <si>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</si>
  <si>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</si>
  <si>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</si>
  <si>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</si>
  <si>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</si>
  <si>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</si>
  <si>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</si>
  <si>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</si>
  <si>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</si>
  <si>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</si>
  <si>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</si>
  <si>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</si>
  <si>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</si>
  <si>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</si>
  <si>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</si>
  <si>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</si>
  <si>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</si>
  <si>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</si>
  <si>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</si>
  <si>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</si>
  <si>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</si>
  <si>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</si>
  <si>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</si>
  <si>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</si>
  <si>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</si>
  <si>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</si>
  <si>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</si>
  <si>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</si>
  <si>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</si>
  <si>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</si>
  <si>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</si>
  <si>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</si>
  <si>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</si>
  <si>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</si>
  <si>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</si>
  <si>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</si>
  <si>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</si>
  <si>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</si>
  <si>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</si>
  <si>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</si>
  <si>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</si>
  <si>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</si>
  <si>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</si>
  <si>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</si>
  <si>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</si>
  <si>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</si>
  <si>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</si>
  <si>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</si>
  <si>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</si>
  <si>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</si>
  <si>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</si>
  <si>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</si>
  <si>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</si>
  <si>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</si>
  <si>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</si>
  <si>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</si>
  <si>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</si>
  <si>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</si>
  <si>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</si>
  <si>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</si>
  <si>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</si>
  <si>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</si>
  <si>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</si>
  <si>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</si>
  <si>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</si>
  <si>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</si>
  <si>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</si>
  <si>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</si>
  <si>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</si>
  <si>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</si>
  <si>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</si>
  <si>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</si>
  <si>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</si>
  <si>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</si>
  <si>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</si>
  <si>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</si>
  <si>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</si>
  <si>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</si>
  <si>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</si>
  <si>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</si>
  <si>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</si>
  <si>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</si>
  <si>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</si>
  <si>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</si>
  <si>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</si>
  <si>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</si>
  <si>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</si>
  <si>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</si>
  <si>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</si>
  <si>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</si>
  <si>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</si>
  <si>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</si>
  <si>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</si>
  <si>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</si>
  <si>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</si>
  <si>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</si>
  <si>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</si>
  <si>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</si>
  <si>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</si>
  <si>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</si>
  <si>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</si>
  <si>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</si>
  <si>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</si>
  <si>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</si>
  <si>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</si>
  <si>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</si>
  <si>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</si>
  <si>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</si>
  <si>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</si>
  <si>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</si>
  <si>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</si>
  <si>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</si>
  <si>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</si>
  <si>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</si>
  <si>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</si>
  <si>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</si>
  <si>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</si>
  <si>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</si>
  <si>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</si>
  <si>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</si>
  <si>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</si>
  <si>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</si>
  <si>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</si>
  <si>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</si>
  <si>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</si>
  <si>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</si>
  <si>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</si>
  <si>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</si>
  <si>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</si>
  <si>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</si>
  <si>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</si>
  <si>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</si>
  <si>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</si>
  <si>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</si>
  <si>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</si>
  <si>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</si>
  <si>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</si>
  <si>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</si>
  <si>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</si>
  <si>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</si>
  <si>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</si>
  <si>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</si>
  <si>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</si>
  <si>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</si>
  <si>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</si>
  <si>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</si>
  <si>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</si>
  <si>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</si>
  <si>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</si>
  <si>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</si>
  <si>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</si>
  <si>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</si>
  <si>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</si>
  <si>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</si>
  <si>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</si>
  <si>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</si>
  <si>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</si>
  <si>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</si>
  <si>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</si>
  <si>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</si>
  <si>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</si>
  <si>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</si>
  <si>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</si>
  <si>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</si>
  <si>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</si>
  <si>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</si>
  <si>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</si>
  <si>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</si>
  <si>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</si>
  <si>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</si>
  <si>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</si>
  <si>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</si>
  <si>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</si>
  <si>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</si>
  <si>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</si>
  <si>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</si>
  <si>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</si>
  <si>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</si>
  <si>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</si>
  <si>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</si>
  <si>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</si>
  <si>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</si>
  <si>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</si>
  <si>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</si>
  <si>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</si>
  <si>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</si>
  <si>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</si>
  <si>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</si>
  <si>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</si>
  <si>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</si>
  <si>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</si>
  <si>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</si>
  <si>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</si>
  <si>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</si>
  <si>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</si>
  <si>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</si>
  <si>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</si>
  <si>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</si>
  <si>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</si>
  <si>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</si>
  <si>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</si>
  <si>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</si>
  <si>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</si>
  <si>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</si>
  <si>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</si>
  <si>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</si>
  <si>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</si>
  <si>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</si>
  <si>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</si>
  <si>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</si>
  <si>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</si>
  <si>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</si>
  <si>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</si>
  <si>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</si>
  <si>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</si>
  <si>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</si>
  <si>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</si>
  <si>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</si>
  <si>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</si>
  <si>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</si>
  <si>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</si>
  <si>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</si>
  <si>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</si>
  <si>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</si>
  <si>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</si>
  <si>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</si>
  <si>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</si>
  <si>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</si>
  <si>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</si>
  <si>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</si>
  <si>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</si>
  <si>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</si>
  <si>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</si>
  <si>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</si>
  <si>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</si>
  <si>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</si>
  <si>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</si>
  <si>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</si>
  <si>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</si>
  <si>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</si>
  <si>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</si>
  <si>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</si>
  <si>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</si>
  <si>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</si>
  <si>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</si>
  <si>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</si>
  <si>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</si>
  <si>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</si>
  <si>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</si>
  <si>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</si>
  <si>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</si>
  <si>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</si>
  <si>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</si>
  <si>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</si>
  <si>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</si>
  <si>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</si>
  <si>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</si>
  <si>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</si>
  <si>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</si>
  <si>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</si>
  <si>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</si>
  <si>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</si>
  <si>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</si>
  <si>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</si>
  <si>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</si>
  <si>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</si>
  <si>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</si>
  <si>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</si>
  <si>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</si>
  <si>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</si>
  <si>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</si>
  <si>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</si>
  <si>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</si>
  <si>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</si>
  <si>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</si>
  <si>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</si>
  <si>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</si>
  <si>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</si>
  <si>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</si>
  <si>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</si>
  <si>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</si>
  <si>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</si>
  <si>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</si>
  <si>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</si>
  <si>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</si>
  <si>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</si>
  <si>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</si>
  <si>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</si>
  <si>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</si>
  <si>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</si>
  <si>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SK Store</t>
  </si>
  <si>
    <t>Address: Qanchi Bazar</t>
  </si>
  <si>
    <t xml:space="preserve">Hani Chirag Din </t>
  </si>
  <si>
    <t>Ahmad Store</t>
  </si>
  <si>
    <t xml:space="preserve">Address: Shoket Town </t>
  </si>
  <si>
    <t>Ibrahim Store</t>
  </si>
  <si>
    <t xml:space="preserve">Address: Punjab Society </t>
  </si>
  <si>
    <t>Punjab store</t>
  </si>
  <si>
    <t>Husain Store</t>
  </si>
  <si>
    <t xml:space="preserve">Urban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</si>
</sst>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activeCellId="1" sqref="S6:S8 S3:S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SK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Hani Chirag Din </v>
      </c>
      <c r="T4" s="301">
        <f>+'2'!P35</f>
        <v>1019.2732122775423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Ahmad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Ibrahim Store</v>
      </c>
      <c r="T6" s="301">
        <f>+'4'!P35</f>
        <v>1568.1057925423729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46</v>
      </c>
      <c r="I7" s="235">
        <f>(G7*D7)*F7+H7*F7</f>
        <v>2413.2750000000001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193.06199999999998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84.464625000000012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2135.7483750000001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456.10169491525403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12.959250349576271</v>
      </c>
      <c r="P7" s="310">
        <f>M7+N7+O7</f>
        <v>2604.8093202648306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46</v>
      </c>
      <c r="R7" s="313">
        <v>5</v>
      </c>
      <c r="S7" s="300" t="str">
        <f>+'5'!A6:A6</f>
        <v>Punjab store</v>
      </c>
      <c r="T7" s="301">
        <f>+'5'!P35</f>
        <v>16203.789503771184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46</v>
      </c>
      <c r="I8" s="236">
        <f t="shared" ref="I8:I14" si="0">(G8*D8)*F8+H8*F8</f>
        <v>2413.2750000000001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193.06199999999998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84.464625000000012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2135.7483750000001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456.10169491525403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12.959250349576271</v>
      </c>
      <c r="P8" s="311">
        <f t="shared" ref="P8:P15" si="2">M8+N8+O8</f>
        <v>2604.8093202648306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46</v>
      </c>
      <c r="R8" s="313">
        <v>6</v>
      </c>
      <c r="S8" s="300" t="str">
        <f>+'6'!A6:A6</f>
        <v>Husain Store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46</v>
      </c>
      <c r="I9" s="236">
        <f t="shared" si="0"/>
        <v>2413.2750000000001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193.06199999999998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84.464625000000012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2135.7483750000001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456.10169491525403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12.959250349576271</v>
      </c>
      <c r="P9" s="311">
        <f t="shared" si="2"/>
        <v>2604.8093202648306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 xml:space="preserve">Urban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74</v>
      </c>
      <c r="I10" s="236">
        <f t="shared" si="0"/>
        <v>5375.36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430.02880000000005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188.13760000000002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4757.1935999999996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1015.9322033898306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28.865629016949157</v>
      </c>
      <c r="P10" s="311">
        <f t="shared" si="2"/>
        <v>5801.9914324067795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73</v>
      </c>
      <c r="I11" s="236">
        <f t="shared" si="0"/>
        <v>5302.72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424.21760000000006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185.59520000000001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4692.9072000000006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1002.2033898305085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28.475552949152547</v>
      </c>
      <c r="P11" s="311">
        <f t="shared" si="2"/>
        <v>5723.5861427796608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73</v>
      </c>
      <c r="I12" s="236">
        <f t="shared" si="0"/>
        <v>5302.72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424.21760000000006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185.59520000000001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4692.9072000000006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1002.2033898305085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28.475552949152547</v>
      </c>
      <c r="P12" s="311">
        <f t="shared" si="2"/>
        <v>5723.5861427796608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8.9499999999999993</v>
      </c>
      <c r="H16" s="113">
        <f t="shared" ref="H16:M16" si="3">SUM(H7:H15)</f>
        <v>358</v>
      </c>
      <c r="I16" s="114">
        <f t="shared" si="3"/>
        <v>23220.625000000004</v>
      </c>
      <c r="J16" s="274">
        <f>SUM(J7:J15)</f>
        <v>1857.65</v>
      </c>
      <c r="K16" s="275">
        <f t="shared" si="3"/>
        <v>812.72187500000007</v>
      </c>
      <c r="L16" s="276">
        <f t="shared" si="3"/>
        <v>0</v>
      </c>
      <c r="M16" s="232">
        <f t="shared" si="3"/>
        <v>20550.253125000003</v>
      </c>
      <c r="N16" s="233">
        <f>SUM(N7:N15)</f>
        <v>4388.6440677966093</v>
      </c>
      <c r="O16" s="101">
        <f>SUM(O7:O15)</f>
        <v>124.69448596398306</v>
      </c>
      <c r="P16" s="113">
        <f>SUM(P7:P15)</f>
        <v>25063.591678760597</v>
      </c>
      <c r="Q16" s="128">
        <f>SUM(Q7:Q15)</f>
        <v>252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23220.625000000004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1857.65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812.72187500000007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20550.253125000003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4388.6440677966093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24938.897192796612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124.69448596398306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25063.591678760597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25063.591678760593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944.32499999999993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75.545999999999992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33.051375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835.72762499999999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1014.2022012711864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4" t="s">
        <v>88</v>
      </c>
      <c r="O35" s="375"/>
      <c r="P35" s="297">
        <f>+P33+P34</f>
        <v>1019.2732122775423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K24" sqref="K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19" sqref="A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1200.9839999999999</v>
      </c>
      <c r="K25" s="275">
        <f t="shared" si="7"/>
        <v>525.43050000000005</v>
      </c>
      <c r="L25" s="276">
        <f t="shared" si="7"/>
        <v>0</v>
      </c>
      <c r="M25" s="232">
        <f t="shared" si="7"/>
        <v>13285.8855</v>
      </c>
      <c r="N25" s="233">
        <f>SUM(N16:N24)</f>
        <v>2837.2881355932195</v>
      </c>
      <c r="O25" s="101">
        <f>SUM(O16:O24)</f>
        <v>80.615868177966092</v>
      </c>
      <c r="P25" s="234">
        <f>SUM(P16:P24)</f>
        <v>16203.789503771186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15012.300000000001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1200.9839999999999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525.43050000000005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13285.8855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16123.173635593219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80.615868177966092</v>
      </c>
    </row>
    <row r="35" spans="2:16" ht="15.75" customHeight="1" thickBot="1" x14ac:dyDescent="0.4">
      <c r="N35" s="374" t="s">
        <v>88</v>
      </c>
      <c r="O35" s="375"/>
      <c r="P35" s="297">
        <f>+P33+P34</f>
        <v>16203.789503771184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E21" sqref="E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549.15254237288127</v>
      </c>
      <c r="O25" s="101">
        <f>SUM(O16:O24)</f>
        <v>15.603042711864408</v>
      </c>
      <c r="P25" s="234">
        <f>SUM(P16:P24)</f>
        <v>3136.2115850847463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549.15254237288127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J25" sqref="J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40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40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abSelected="1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2026-09-30T11:04:39Z</dcterms:modified>
</cp:coreProperties>
</file>