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02147EA-4587-4481-9EED-4066B4B9728E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1" l="1"/>
  <c r="N4" i="57"/>
  <c r="N4" i="53"/>
  <c r="N4" i="45"/>
  <c r="N4" i="68"/>
  <c r="N5" i="68" s="1"/>
  <c r="N4" i="55"/>
  <c r="N5" i="55" s="1"/>
  <c r="N4" i="69"/>
  <c r="N5" i="69" s="1"/>
  <c r="N4" i="65"/>
  <c r="N5" i="65" s="1"/>
  <c r="N4" i="60"/>
  <c r="N4" i="52"/>
  <c r="N5" i="52" s="1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12" i="62" l="1"/>
  <c r="P12" i="62" s="1"/>
  <c r="O25" i="48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<sst xmlns="http://schemas.openxmlformats.org/spreadsheetml/2006/main" count="3947" uniqueCount="530">
  <si>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</si>
  <si>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</si>
  <si>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</si>
  <si>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</si>
  <si>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</si>
  <si>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</si>
  <si>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</si>
  <si>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</si>
  <si>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</si>
  <si>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</si>
  <si>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</si>
  <si>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</si>
  <si>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</si>
  <si>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</si>
  <si>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</si>
  <si>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</si>
  <si>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</si>
  <si>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</si>
  <si>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</si>
  <si>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</si>
  <si>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</si>
  <si>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</si>
  <si>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</si>
  <si>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</si>
  <si>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</si>
  <si>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</si>
  <si>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</si>
  <si>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</si>
  <si>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</si>
  <si>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</si>
  <si>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</si>
  <si>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</si>
  <si>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</si>
  <si>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</si>
  <si>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</si>
  <si>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</si>
  <si>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</si>
  <si>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</si>
  <si>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</si>
  <si>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</si>
  <si>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</si>
  <si>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</si>
  <si>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</si>
  <si>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</si>
  <si>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</si>
  <si>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</si>
  <si>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</si>
  <si>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</si>
  <si>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</si>
  <si>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</si>
  <si>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</si>
  <si>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</si>
  <si>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</si>
  <si>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</si>
  <si>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</si>
  <si>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</si>
  <si>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</si>
  <si>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</si>
  <si>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</si>
  <si>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</si>
  <si>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</si>
  <si>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</si>
  <si>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</si>
  <si>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</si>
  <si>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</si>
  <si>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</si>
  <si>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</si>
  <si>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</si>
  <si>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</si>
  <si>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</si>
  <si>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</si>
  <si>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</si>
  <si>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</si>
  <si>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</si>
  <si>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</si>
  <si>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</si>
  <si>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</si>
  <si>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</si>
  <si>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</si>
  <si>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</si>
  <si>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</si>
  <si>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</si>
  <si>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</si>
  <si>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</si>
  <si>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</si>
  <si>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</si>
  <si>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</si>
  <si>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</si>
  <si>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</si>
  <si>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</si>
  <si>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</si>
  <si>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</si>
  <si>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</si>
  <si>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</si>
  <si>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</si>
  <si>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</si>
  <si>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</si>
  <si>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</si>
  <si>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</si>
  <si>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</si>
  <si>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</si>
  <si>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</si>
  <si>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</si>
  <si>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</si>
  <si>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</si>
  <si>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</si>
  <si>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</si>
  <si>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</si>
  <si>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</si>
  <si>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</si>
  <si>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</si>
  <si>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</si>
  <si>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</si>
  <si>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</si>
  <si>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</si>
  <si>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</si>
  <si>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</si>
  <si>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</si>
  <si>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</si>
  <si>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</si>
  <si>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</si>
  <si>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</si>
  <si>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</si>
  <si>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</si>
  <si>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</si>
  <si>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</si>
  <si>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</si>
  <si>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</si>
  <si>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</si>
  <si>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</si>
  <si>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</si>
  <si>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</si>
  <si>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</si>
  <si>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</si>
  <si>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</si>
  <si>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</si>
  <si>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</si>
  <si>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</si>
  <si>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</si>
  <si>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</si>
  <si>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</si>
  <si>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</si>
  <si>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</si>
  <si>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</si>
  <si>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</si>
  <si>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</si>
  <si>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</si>
  <si>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</si>
  <si>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</si>
  <si>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</si>
  <si>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</si>
  <si>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</si>
  <si>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</si>
  <si>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</si>
  <si>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</si>
  <si>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</si>
  <si>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</si>
  <si>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</si>
  <si>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</si>
  <si>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</si>
  <si>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</si>
  <si>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</si>
  <si>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</si>
  <si>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</si>
  <si>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</si>
  <si>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</si>
  <si>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</si>
  <si>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</si>
  <si>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</si>
  <si>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</si>
  <si>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</si>
  <si>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</si>
  <si>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</si>
  <si>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</si>
  <si>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</si>
  <si>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</si>
  <si>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</si>
  <si>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</si>
  <si>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</si>
  <si>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</si>
  <si>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</si>
  <si>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</si>
  <si>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</si>
  <si>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</si>
  <si>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</si>
  <si>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</si>
  <si>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</si>
  <si>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</si>
  <si>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</si>
  <si>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</si>
  <si>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</si>
  <si>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</si>
  <si>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</si>
  <si>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</si>
  <si>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</si>
  <si>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</si>
  <si>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</si>
  <si>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</si>
  <si>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</si>
  <si>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</si>
  <si>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</si>
  <si>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</si>
  <si>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</si>
  <si>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</si>
  <si>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</si>
  <si>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</si>
  <si>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</si>
  <si>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</si>
  <si>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</si>
  <si>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</si>
  <si>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</si>
  <si>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</si>
  <si>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</si>
  <si>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</si>
  <si>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</si>
  <si>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</si>
  <si>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</si>
  <si>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</si>
  <si>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</si>
  <si>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</si>
  <si>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</si>
  <si>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</si>
  <si>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</si>
  <si>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</si>
  <si>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</si>
  <si>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</si>
  <si>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</si>
  <si>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</si>
  <si>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</si>
  <si>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</si>
  <si>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</si>
  <si>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</si>
  <si>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</si>
  <si>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</si>
  <si>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</si>
  <si>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</si>
  <si>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</si>
  <si>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</si>
  <si>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</si>
  <si>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</si>
  <si>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</si>
  <si>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</si>
  <si>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</si>
  <si>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</si>
  <si>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</si>
  <si>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</si>
  <si>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</si>
  <si>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</si>
  <si>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</si>
  <si>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</si>
  <si>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</si>
  <si>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</si>
  <si>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</si>
  <si>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</si>
  <si>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</si>
  <si>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</si>
  <si>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</si>
  <si>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</si>
  <si>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</si>
  <si>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</si>
  <si>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</si>
  <si>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</si>
  <si>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</si>
  <si>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</si>
  <si>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</si>
  <si>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</si>
  <si>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</si>
  <si>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</si>
  <si>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</si>
  <si>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</si>
  <si>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</si>
  <si>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</si>
  <si>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</si>
  <si>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</si>
  <si>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</si>
  <si>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</si>
  <si>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</si>
  <si>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</si>
  <si>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</si>
  <si>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</si>
  <si>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</si>
  <si>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</si>
  <si>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</si>
  <si>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</si>
  <si>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</si>
  <si>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</si>
  <si>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</si>
  <si>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</si>
  <si>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</si>
  <si>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</si>
  <si>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</si>
  <si>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</si>
  <si>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</si>
  <si>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</si>
  <si>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</si>
  <si>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</si>
  <si>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</si>
  <si>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</si>
  <si>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</si>
  <si>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</si>
  <si>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</si>
  <si>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</si>
  <si>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</si>
  <si>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</si>
  <si>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</si>
  <si>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</si>
  <si>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</si>
  <si>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</si>
  <si>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</si>
  <si>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</si>
  <si>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</si>
  <si>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</si>
  <si>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</si>
  <si>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</si>
  <si>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</si>
  <si>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</si>
  <si>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</si>
  <si>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</si>
  <si>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</si>
  <si>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</si>
  <si>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</si>
  <si>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</si>
  <si>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</si>
  <si>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</si>
  <si>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</si>
  <si>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</si>
  <si>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</si>
  <si>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</si>
  <si>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</si>
  <si>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</si>
  <si>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</si>
  <si>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</si>
  <si>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</si>
  <si>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</si>
  <si>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</si>
  <si>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</si>
  <si>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</si>
  <si>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</si>
  <si>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</si>
  <si>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</si>
  <si>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</si>
  <si>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</si>
  <si>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</si>
  <si>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</si>
  <si>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</si>
  <si>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</si>
  <si>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</si>
  <si>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</si>
  <si>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</si>
  <si>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</si>
  <si>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</si>
  <si>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</si>
  <si>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</si>
  <si>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</si>
  <si>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</si>
  <si>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</si>
  <si>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</si>
  <si>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</si>
  <si>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</si>
  <si>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</si>
  <si>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</si>
  <si>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</si>
  <si>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</si>
  <si>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</si>
  <si>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</si>
  <si>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</si>
  <si>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</si>
  <si>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</si>
  <si>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</si>
  <si>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</si>
  <si>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</si>
  <si>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</si>
  <si>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</si>
  <si>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</si>
  <si>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</si>
  <si>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</si>
  <si>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</si>
  <si>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</si>
  <si>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</si>
  <si>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</si>
  <si>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</si>
  <si>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</si>
  <si>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</si>
  <si>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</si>
  <si>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</si>
  <si>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</si>
  <si>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</si>
  <si>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</si>
  <si>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</si>
  <si>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</si>
  <si>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</si>
  <si>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</si>
  <si>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</si>
  <si>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</si>
  <si>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</si>
  <si>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</si>
  <si>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</si>
  <si>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</si>
  <si>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</si>
  <si>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</si>
  <si>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</si>
  <si>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</si>
  <si>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</si>
  <si>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</si>
  <si>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</si>
  <si>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</si>
  <si>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</si>
  <si>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</si>
  <si>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</si>
  <si>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</si>
  <si>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</si>
  <si>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</si>
  <si>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</si>
  <si>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</si>
  <si>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</si>
  <si>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</si>
  <si>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</si>
  <si>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</si>
  <si>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</si>
  <si>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</si>
  <si>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</si>
  <si>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</si>
  <si>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</si>
  <si>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</si>
  <si>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</si>
  <si>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</si>
  <si>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</si>
  <si>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</si>
  <si>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</si>
  <si>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</si>
  <si>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</si>
  <si>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</si>
  <si>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</si>
  <si>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</si>
  <si>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</si>
  <si>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</si>
  <si>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</si>
  <si>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</si>
  <si>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</si>
  <si>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</si>
  <si>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</si>
  <si>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</si>
  <si>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</si>
  <si>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</si>
  <si>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</si>
  <si>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</si>
  <si>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</si>
  <si>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</si>
  <si>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</si>
  <si>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</si>
  <si>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</si>
  <si>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</si>
  <si>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</si>
  <si>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</si>
  <si>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</si>
  <si>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</si>
  <si>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</si>
  <si>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</si>
  <si>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</si>
  <si>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</si>
  <si>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</si>
  <si>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</si>
  <si>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</si>
  <si>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</si>
  <si>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</si>
  <si>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</si>
  <si>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</si>
  <si>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</si>
  <si>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</si>
  <si>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</si>
  <si>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</si>
  <si>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</si>
  <si>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</si>
  <si>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</si>
  <si>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</si>
  <si>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</si>
  <si>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</si>
  <si>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</si>
  <si>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</si>
  <si>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</si>
  <si>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</si>
  <si>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</si>
  <si>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</si>
  <si>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</si>
  <si>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</si>
  <si>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</si>
  <si>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</si>
  <si>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</si>
  <si>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</si>
  <si>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</si>
  <si>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</si>
  <si>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</si>
  <si>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</si>
  <si>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</si>
  <si>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</si>
  <si>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</si>
  <si>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</si>
  <si>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</si>
  <si>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</si>
  <si>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</si>
  <si>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</si>
  <si>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</si>
  <si>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</si>
  <si>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</si>
  <si>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</si>
  <si>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</si>
  <si>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</si>
  <si>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</si>
  <si>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</si>
  <si>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</si>
  <si>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</si>
  <si>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</si>
  <si>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</si>
  <si>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Jabbar</t>
  </si>
  <si>
    <t>SMS Store</t>
  </si>
  <si>
    <t xml:space="preserve">Address: Sajad Garden </t>
  </si>
  <si>
    <t>Ata e Haq Store</t>
  </si>
  <si>
    <t>Invoice No # :00012</t>
  </si>
  <si>
    <t>Classic Store</t>
  </si>
  <si>
    <t>Smokie Mart</t>
  </si>
  <si>
    <t xml:space="preserve">Address: Canal Fort </t>
  </si>
  <si>
    <t>Family Store</t>
  </si>
  <si>
    <t>Address: Cant Fort</t>
  </si>
  <si>
    <t xml:space="preserve">City Mart </t>
  </si>
  <si>
    <t xml:space="preserve">Address: Al Rehman Garden </t>
  </si>
  <si>
    <t xml:space="preserve">FGC Mart </t>
  </si>
  <si>
    <t xml:space="preserve">Address: Rehman Garden </t>
  </si>
  <si>
    <t>786 Store</t>
  </si>
  <si>
    <t xml:space="preserve">Amas Mart </t>
  </si>
  <si>
    <t xml:space="preserve">Address: Al Hafeez Garden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</si>
</sst>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topLeftCell="A9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513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f ca="1">TODAY()</f>
        <v>46293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>SMS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Ata e Haq Store</v>
      </c>
      <c r="T4" s="301">
        <f>+'2'!P35</f>
        <v>9233.4270752542379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Classic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Smokie Mart</v>
      </c>
      <c r="T6" s="301">
        <f>+'4'!P35</f>
        <v>1411.2952132881355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</v>
      </c>
      <c r="I7" s="235">
        <f>(G7*D7)*F7+H7*F7</f>
        <v>209.85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16.788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7.3447500000000003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185.71724999999998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39.661016949152526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1.1268913347457625</v>
      </c>
      <c r="P7" s="310">
        <f>M7+N7+O7</f>
        <v>226.50515828389825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Family Store</v>
      </c>
      <c r="T7" s="301">
        <f>+'5'!P35</f>
        <v>4530.103165677966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54</v>
      </c>
      <c r="I8" s="236">
        <f t="shared" ref="I8:I14" si="0">(G8*D8)*F8+H8*F8</f>
        <v>2832.9749999999999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226.63800000000001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99.154125000000008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2507.182875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535.42372881355914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15.213033019067796</v>
      </c>
      <c r="P8" s="311">
        <f t="shared" ref="P8:P15" si="2">M8+N8+O8</f>
        <v>3057.8196368326271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City Mart </v>
      </c>
      <c r="T8" s="301">
        <f>+'6'!P35</f>
        <v>940.86347552542372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54</v>
      </c>
      <c r="I9" s="236">
        <f t="shared" si="0"/>
        <v>2832.9749999999999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226.63800000000001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99.154125000000008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2507.182875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535.42372881355914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15.213033019067796</v>
      </c>
      <c r="P9" s="311">
        <f t="shared" si="2"/>
        <v>3057.8196368326271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FGC Mart </v>
      </c>
      <c r="T9" s="301">
        <f>+'7'!P35</f>
        <v>1916.578687690678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111</v>
      </c>
      <c r="I10" s="236">
        <f t="shared" si="0"/>
        <v>8063.04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703.15520000000015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282.20640000000003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7077.6783999999998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1523.8983050847455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43.007883525423729</v>
      </c>
      <c r="P10" s="311">
        <f t="shared" si="2"/>
        <v>8644.5845886101706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786 Store</v>
      </c>
      <c r="T10" s="301">
        <f>+'8'!P35</f>
        <v>1620.3789503771181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406.78400000000005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3799.0719999999997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823.72881355932213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23.114004067796614</v>
      </c>
      <c r="P11" s="311">
        <f t="shared" si="2"/>
        <v>4645.9148176271183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Amas Mart </v>
      </c>
      <c r="T11" s="301">
        <f>+'9'!P35</f>
        <v>3136.2115850847458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121</v>
      </c>
      <c r="I12" s="236">
        <f t="shared" si="0"/>
        <v>8789.44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761.26720000000012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307.63040000000007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7720.5424000000003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1661.1864406779659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46.908644203389834</v>
      </c>
      <c r="P12" s="311">
        <f t="shared" si="2"/>
        <v>9428.6374848813557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10.1</v>
      </c>
      <c r="H16" s="113">
        <f t="shared" ref="H16:M16" si="3">SUM(H7:H15)</f>
        <v>404</v>
      </c>
      <c r="I16" s="114">
        <f t="shared" si="3"/>
        <v>27086.68</v>
      </c>
      <c r="J16" s="274">
        <f>SUM(J7:J15)</f>
        <v>2341.2704000000003</v>
      </c>
      <c r="K16" s="275">
        <f t="shared" si="3"/>
        <v>948.03380000000016</v>
      </c>
      <c r="L16" s="276">
        <f t="shared" si="3"/>
        <v>0</v>
      </c>
      <c r="M16" s="232">
        <f t="shared" si="3"/>
        <v>23797.375800000002</v>
      </c>
      <c r="N16" s="233">
        <f>SUM(N7:N15)</f>
        <v>5119.3220338983047</v>
      </c>
      <c r="O16" s="101">
        <f>SUM(O7:O15)</f>
        <v>144.58348916949154</v>
      </c>
      <c r="P16" s="113">
        <f>SUM(P7:P15)</f>
        <v>29061.2813230678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27086.68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2341.2704000000003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948.03380000000016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23797.375799999998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5119.3220338983047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28916.697833898303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144.58348916949154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29061.281323067793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29061.2813230678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F6" sqref="F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Summary!H3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7.2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232.44799999999998</v>
      </c>
      <c r="K25" s="275">
        <f t="shared" si="10"/>
        <v>101.696</v>
      </c>
      <c r="L25" s="276">
        <f t="shared" si="10"/>
        <v>0</v>
      </c>
      <c r="M25" s="232">
        <f t="shared" si="10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2905.6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232.44799999999998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101.696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2571.4560000000001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3120.6085423728814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5" t="s">
        <v>88</v>
      </c>
      <c r="O35" s="376"/>
      <c r="P35" s="297">
        <f>+P33+P34</f>
        <v>3136.2115850847458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517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871.68000000000006</v>
      </c>
      <c r="K25" s="275">
        <f t="shared" si="7"/>
        <v>305.08800000000002</v>
      </c>
      <c r="L25" s="276">
        <f t="shared" si="7"/>
        <v>0</v>
      </c>
      <c r="M25" s="232">
        <f t="shared" si="7"/>
        <v>7540.0320000000002</v>
      </c>
      <c r="N25" s="233">
        <f>SUM(N16:N24)</f>
        <v>1647.4576271186443</v>
      </c>
      <c r="O25" s="101">
        <f>SUM(O16:O24)</f>
        <v>45.937448135593222</v>
      </c>
      <c r="P25" s="234">
        <f>SUM(P16:P24)</f>
        <v>9233.4270752542379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8716.7999999999993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871.68000000000006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305.08800000000002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7540.0319999999992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9187.4896271186444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45.937448135593222</v>
      </c>
    </row>
    <row r="35" spans="2:16" ht="15.75" customHeight="1" thickBot="1" x14ac:dyDescent="0.4">
      <c r="N35" s="375" t="s">
        <v>88</v>
      </c>
      <c r="O35" s="376"/>
      <c r="P35" s="297">
        <f>+P33+P34</f>
        <v>9233.4270752542379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8.75" customHeight="1" x14ac:dyDescent="0.4">
      <c r="A6" s="401" t="s">
        <v>518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2905.6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232.44800000000001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101.69600000000001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2571.4560000000001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3120.6085423728814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5" t="s">
        <v>88</v>
      </c>
      <c r="O35" s="376"/>
      <c r="P35" s="297">
        <f>+P33+P34</f>
        <v>3136.2115850847458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5" customHeight="1" x14ac:dyDescent="0.4">
      <c r="A6" s="401" t="s">
        <v>519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520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18</v>
      </c>
      <c r="I25" s="114">
        <f t="shared" si="7"/>
        <v>1307.52</v>
      </c>
      <c r="J25" s="274">
        <f>SUM(J16:J24)</f>
        <v>104.60160000000002</v>
      </c>
      <c r="K25" s="275">
        <f t="shared" si="7"/>
        <v>45.763200000000005</v>
      </c>
      <c r="L25" s="276">
        <f t="shared" si="7"/>
        <v>0</v>
      </c>
      <c r="M25" s="232">
        <f t="shared" si="7"/>
        <v>1157.1552000000001</v>
      </c>
      <c r="N25" s="233">
        <f>SUM(N16:N24)</f>
        <v>247.11864406779662</v>
      </c>
      <c r="O25" s="101">
        <f>SUM(O16:O24)</f>
        <v>7.0213692203389835</v>
      </c>
      <c r="P25" s="234">
        <f>SUM(P16:P24)</f>
        <v>1411.2952132881355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1307.52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104.60160000000002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45.763200000000005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1157.1551999999999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247.11864406779662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1404.2738440677965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7.0213692203389826</v>
      </c>
    </row>
    <row r="35" spans="2:16" ht="15.75" customHeight="1" thickBot="1" x14ac:dyDescent="0.4">
      <c r="N35" s="375" t="s">
        <v>88</v>
      </c>
      <c r="O35" s="376"/>
      <c r="P35" s="297">
        <f>+P33+P34</f>
        <v>1411.2952132881355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5" customHeight="1" x14ac:dyDescent="0.4">
      <c r="A6" s="401" t="s">
        <v>521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522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335.76</v>
      </c>
      <c r="K25" s="275">
        <f t="shared" si="7"/>
        <v>146.89500000000001</v>
      </c>
      <c r="L25" s="276">
        <f t="shared" si="7"/>
        <v>0</v>
      </c>
      <c r="M25" s="232">
        <f t="shared" si="7"/>
        <v>3714.3450000000003</v>
      </c>
      <c r="N25" s="233">
        <f>SUM(N16:N24)</f>
        <v>793.22033898305051</v>
      </c>
      <c r="O25" s="101">
        <f>SUM(O16:O24)</f>
        <v>22.537826694915253</v>
      </c>
      <c r="P25" s="234">
        <f>SUM(P16:P24)</f>
        <v>4530.103165677966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4197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335.76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146.89500000000001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3714.3449999999998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4507.5653389830504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22.537826694915253</v>
      </c>
    </row>
    <row r="35" spans="2:16" ht="15.75" customHeight="1" thickBot="1" x14ac:dyDescent="0.4">
      <c r="N35" s="375" t="s">
        <v>88</v>
      </c>
      <c r="O35" s="376"/>
      <c r="P35" s="297">
        <f>+P33+P34</f>
        <v>4530.103165677966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'1'!N4:P5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5" customHeight="1" x14ac:dyDescent="0.4">
      <c r="A6" s="401" t="s">
        <v>523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524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871.68000000000006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69.734400000000008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30.508800000000004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771.43680000000006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936.18256271186442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5" t="s">
        <v>88</v>
      </c>
      <c r="O35" s="376"/>
      <c r="P35" s="297">
        <f>+P33+P34</f>
        <v>940.86347552542372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5" customHeight="1" x14ac:dyDescent="0.4">
      <c r="A6" s="401" t="s">
        <v>525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526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30</v>
      </c>
      <c r="I25" s="114">
        <f t="shared" si="7"/>
        <v>1775.65</v>
      </c>
      <c r="J25" s="274">
        <f>SUM(J16:J24)</f>
        <v>142.05199999999999</v>
      </c>
      <c r="K25" s="275">
        <f t="shared" si="7"/>
        <v>62.147750000000002</v>
      </c>
      <c r="L25" s="276">
        <f t="shared" si="7"/>
        <v>0</v>
      </c>
      <c r="M25" s="232">
        <f t="shared" si="7"/>
        <v>1571.4502500000001</v>
      </c>
      <c r="N25" s="233">
        <f>SUM(N16:N24)</f>
        <v>335.59322033898297</v>
      </c>
      <c r="O25" s="101">
        <f>SUM(O16:O24)</f>
        <v>9.5352173516949144</v>
      </c>
      <c r="P25" s="234">
        <f>SUM(P16:P24)</f>
        <v>1916.578687690678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1775.65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142.05199999999999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62.147750000000002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1571.4502500000001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335.59322033898297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1907.0434703389831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9.5352173516949161</v>
      </c>
    </row>
    <row r="35" spans="2:16" ht="15.75" customHeight="1" thickBot="1" x14ac:dyDescent="0.4">
      <c r="N35" s="375" t="s">
        <v>88</v>
      </c>
      <c r="O35" s="376"/>
      <c r="P35" s="297">
        <f>+P33+P34</f>
        <v>1916.578687690678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5" customHeight="1" x14ac:dyDescent="0.4">
      <c r="A6" s="401" t="s">
        <v>527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524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24</v>
      </c>
      <c r="I25" s="114">
        <f t="shared" si="7"/>
        <v>1501.2299999999998</v>
      </c>
      <c r="J25" s="274">
        <f>SUM(J16:J24)</f>
        <v>120.0984</v>
      </c>
      <c r="K25" s="275">
        <f t="shared" si="7"/>
        <v>52.543050000000008</v>
      </c>
      <c r="L25" s="276">
        <f t="shared" si="7"/>
        <v>0</v>
      </c>
      <c r="M25" s="232">
        <f t="shared" si="7"/>
        <v>1328.5885500000002</v>
      </c>
      <c r="N25" s="233">
        <f>SUM(N16:N24)</f>
        <v>283.72881355932202</v>
      </c>
      <c r="O25" s="101">
        <f>SUM(O16:O24)</f>
        <v>8.0615868177966092</v>
      </c>
      <c r="P25" s="234">
        <f>SUM(P16:P24)</f>
        <v>1620.3789503771184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1501.2299999999998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120.0984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52.543050000000008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1328.5885499999997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283.72881355932202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1612.3173635593216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8.0615868177966075</v>
      </c>
    </row>
    <row r="35" spans="2:16" ht="15.75" customHeight="1" thickBot="1" x14ac:dyDescent="0.4">
      <c r="N35" s="375" t="s">
        <v>88</v>
      </c>
      <c r="O35" s="376"/>
      <c r="P35" s="297">
        <f>+P33+P34</f>
        <v>1620.3789503771181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5" customHeight="1" x14ac:dyDescent="0.4">
      <c r="A6" s="401" t="s">
        <v>528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529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2905.6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232.44800000000001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101.69600000000001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2571.4560000000001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3120.6085423728814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5" t="s">
        <v>88</v>
      </c>
      <c r="O35" s="376"/>
      <c r="P35" s="297">
        <f>+P33+P34</f>
        <v>3136.2115850847458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8.7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46294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46293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2026-09-28T11:37:30Z</dcterms:modified>
</cp:coreProperties>
</file>