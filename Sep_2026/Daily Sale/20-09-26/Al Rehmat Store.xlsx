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E2E6D7E-83F6-4C6D-9C61-74BB66DF46D2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<sst xmlns="http://schemas.openxmlformats.org/spreadsheetml/2006/main" count="3948" uniqueCount="517">
  <si>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</si>
  <si>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</si>
  <si>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</si>
  <si>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</si>
  <si>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</si>
  <si>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</si>
  <si>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</si>
  <si>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</si>
  <si>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</si>
  <si>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</si>
  <si>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</si>
  <si>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</si>
  <si>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</si>
  <si>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</si>
  <si>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</si>
  <si>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</si>
  <si>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</si>
  <si>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</si>
  <si>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</si>
  <si>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</si>
  <si>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</si>
  <si>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</si>
  <si>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</si>
  <si>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</si>
  <si>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</si>
  <si>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</si>
  <si>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</si>
  <si>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</si>
  <si>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</si>
  <si>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</si>
  <si>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</si>
  <si>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</si>
  <si>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</si>
  <si>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</si>
  <si>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</si>
  <si>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</si>
  <si>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</si>
  <si>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</si>
  <si>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</si>
  <si>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</si>
  <si>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</si>
  <si>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</si>
  <si>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</si>
  <si>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</si>
  <si>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</si>
  <si>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</si>
  <si>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</si>
  <si>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</si>
  <si>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</si>
  <si>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</si>
  <si>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</si>
  <si>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</si>
  <si>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</si>
  <si>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</si>
  <si>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</si>
  <si>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</si>
  <si>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</si>
  <si>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</si>
  <si>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</si>
  <si>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</si>
  <si>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</si>
  <si>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</si>
  <si>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</si>
  <si>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</si>
  <si>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</si>
  <si>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</si>
  <si>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</si>
  <si>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</si>
  <si>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</si>
  <si>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</si>
  <si>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</si>
  <si>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</si>
  <si>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</si>
  <si>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</si>
  <si>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</si>
  <si>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</si>
  <si>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</si>
  <si>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</si>
  <si>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</si>
  <si>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</si>
  <si>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</si>
  <si>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</si>
  <si>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</si>
  <si>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</si>
  <si>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</si>
  <si>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</si>
  <si>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</si>
  <si>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</si>
  <si>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</si>
  <si>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</si>
  <si>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</si>
  <si>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</si>
  <si>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</si>
  <si>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</si>
  <si>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</si>
  <si>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</si>
  <si>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</si>
  <si>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</si>
  <si>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</si>
  <si>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</si>
  <si>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</si>
  <si>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</si>
  <si>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</si>
  <si>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</si>
  <si>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</si>
  <si>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</si>
  <si>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</si>
  <si>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</si>
  <si>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</si>
  <si>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</si>
  <si>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</si>
  <si>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</si>
  <si>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</si>
  <si>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</si>
  <si>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</si>
  <si>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</si>
  <si>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</si>
  <si>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</si>
  <si>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</si>
  <si>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</si>
  <si>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</si>
  <si>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</si>
  <si>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</si>
  <si>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</si>
  <si>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</si>
  <si>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</si>
  <si>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</si>
  <si>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</si>
  <si>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</si>
  <si>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</si>
  <si>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</si>
  <si>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</si>
  <si>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</si>
  <si>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</si>
  <si>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</si>
  <si>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</si>
  <si>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</si>
  <si>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</si>
  <si>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</si>
  <si>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</si>
  <si>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</si>
  <si>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</si>
  <si>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</si>
  <si>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</si>
  <si>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</si>
  <si>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</si>
  <si>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</si>
  <si>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</si>
  <si>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</si>
  <si>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</si>
  <si>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</si>
  <si>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</si>
  <si>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</si>
  <si>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</si>
  <si>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</si>
  <si>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</si>
  <si>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</si>
  <si>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</si>
  <si>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</si>
  <si>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</si>
  <si>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</si>
  <si>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</si>
  <si>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</si>
  <si>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</si>
  <si>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</si>
  <si>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</si>
  <si>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</si>
  <si>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</si>
  <si>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</si>
  <si>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</si>
  <si>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</si>
  <si>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</si>
  <si>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</si>
  <si>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</si>
  <si>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</si>
  <si>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</si>
  <si>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</si>
  <si>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</si>
  <si>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</si>
  <si>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</si>
  <si>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</si>
  <si>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</si>
  <si>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</si>
  <si>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</si>
  <si>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</si>
  <si>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</si>
  <si>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</si>
  <si>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</si>
  <si>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</si>
  <si>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</si>
  <si>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</si>
  <si>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</si>
  <si>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</si>
  <si>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</si>
  <si>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</si>
  <si>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</si>
  <si>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</si>
  <si>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</si>
  <si>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</si>
  <si>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</si>
  <si>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</si>
  <si>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</si>
  <si>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</si>
  <si>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</si>
  <si>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</si>
  <si>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</si>
  <si>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</si>
  <si>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</si>
  <si>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</si>
  <si>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</si>
  <si>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</si>
  <si>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</si>
  <si>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</si>
  <si>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</si>
  <si>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</si>
  <si>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</si>
  <si>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</si>
  <si>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</si>
  <si>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</si>
  <si>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</si>
  <si>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</si>
  <si>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</si>
  <si>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</si>
  <si>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</si>
  <si>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</si>
  <si>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</si>
  <si>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</si>
  <si>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</si>
  <si>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</si>
  <si>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</si>
  <si>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</si>
  <si>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</si>
  <si>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</si>
  <si>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</si>
  <si>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</si>
  <si>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</si>
  <si>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</si>
  <si>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</si>
  <si>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</si>
  <si>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</si>
  <si>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</si>
  <si>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</si>
  <si>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</si>
  <si>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</si>
  <si>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</si>
  <si>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</si>
  <si>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</si>
  <si>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</si>
  <si>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</si>
  <si>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</si>
  <si>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</si>
  <si>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</si>
  <si>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</si>
  <si>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</si>
  <si>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</si>
  <si>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</si>
  <si>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</si>
  <si>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</si>
  <si>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</si>
  <si>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</si>
  <si>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</si>
  <si>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</si>
  <si>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</si>
  <si>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</si>
  <si>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</si>
  <si>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</si>
  <si>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</si>
  <si>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</si>
  <si>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</si>
  <si>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</si>
  <si>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</si>
  <si>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</si>
  <si>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</si>
  <si>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</si>
  <si>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</si>
  <si>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</si>
  <si>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</si>
  <si>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</si>
  <si>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</si>
  <si>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</si>
  <si>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</si>
  <si>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</si>
  <si>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</si>
  <si>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</si>
  <si>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</si>
  <si>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</si>
  <si>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</si>
  <si>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</si>
  <si>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</si>
  <si>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</si>
  <si>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</si>
  <si>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</si>
  <si>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</si>
  <si>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</si>
  <si>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</si>
  <si>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</si>
  <si>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</si>
  <si>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</si>
  <si>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</si>
  <si>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</si>
  <si>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</si>
  <si>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</si>
  <si>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</si>
  <si>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</si>
  <si>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</si>
  <si>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</si>
  <si>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</si>
  <si>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</si>
  <si>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</si>
  <si>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</si>
  <si>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</si>
  <si>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</si>
  <si>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</si>
  <si>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</si>
  <si>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</si>
  <si>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</si>
  <si>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</si>
  <si>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</si>
  <si>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</si>
  <si>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</si>
  <si>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</si>
  <si>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</si>
  <si>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</si>
  <si>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</si>
  <si>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</si>
  <si>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</si>
  <si>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</si>
  <si>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</si>
  <si>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</si>
  <si>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</si>
  <si>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</si>
  <si>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</si>
  <si>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</si>
  <si>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</si>
  <si>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</si>
  <si>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</si>
  <si>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</si>
  <si>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</si>
  <si>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</si>
  <si>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</si>
  <si>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</si>
  <si>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</si>
  <si>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</si>
  <si>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</si>
  <si>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</si>
  <si>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</si>
  <si>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</si>
  <si>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</si>
  <si>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</si>
  <si>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</si>
  <si>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</si>
  <si>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</si>
  <si>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</si>
  <si>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</si>
  <si>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</si>
  <si>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</si>
  <si>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</si>
  <si>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</si>
  <si>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</si>
  <si>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</si>
  <si>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</si>
  <si>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</si>
  <si>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</si>
  <si>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</si>
  <si>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</si>
  <si>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</si>
  <si>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</si>
  <si>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</si>
  <si>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</si>
  <si>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</si>
  <si>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</si>
  <si>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</si>
  <si>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</si>
  <si>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</si>
  <si>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</si>
  <si>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</si>
  <si>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</si>
  <si>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</si>
  <si>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</si>
  <si>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</si>
  <si>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</si>
  <si>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</si>
  <si>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</si>
  <si>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</si>
  <si>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</si>
  <si>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</si>
  <si>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</si>
  <si>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</si>
  <si>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</si>
  <si>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</si>
  <si>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</si>
  <si>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</si>
  <si>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</si>
  <si>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</si>
  <si>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</si>
  <si>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</si>
  <si>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</si>
  <si>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</si>
  <si>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</si>
  <si>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</si>
  <si>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</si>
  <si>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</si>
  <si>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</si>
  <si>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</si>
  <si>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</si>
  <si>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</si>
  <si>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</si>
  <si>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</si>
  <si>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</si>
  <si>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</si>
  <si>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</si>
  <si>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</si>
  <si>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</si>
  <si>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</si>
  <si>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</si>
  <si>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</si>
  <si>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</si>
  <si>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</si>
  <si>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</si>
  <si>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</si>
  <si>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</si>
  <si>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</si>
  <si>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</si>
  <si>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</si>
  <si>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</si>
  <si>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</si>
  <si>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</si>
  <si>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</si>
  <si>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</si>
  <si>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</si>
  <si>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</si>
  <si>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</si>
  <si>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</si>
  <si>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</si>
  <si>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</si>
  <si>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</si>
  <si>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</si>
  <si>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</si>
  <si>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</si>
  <si>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</si>
  <si>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</si>
  <si>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</si>
  <si>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</si>
  <si>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</si>
  <si>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</si>
  <si>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</si>
  <si>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</si>
  <si>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</si>
  <si>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</si>
  <si>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</si>
  <si>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</si>
  <si>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</si>
  <si>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</si>
  <si>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</si>
  <si>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</si>
  <si>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</si>
  <si>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</si>
  <si>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</si>
  <si>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</si>
  <si>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</si>
  <si>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</si>
  <si>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</si>
  <si>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</si>
  <si>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</si>
  <si>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</si>
  <si>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</si>
  <si>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</si>
  <si>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</si>
  <si>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</si>
  <si>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</si>
  <si>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</si>
  <si>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</si>
  <si>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</si>
  <si>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</si>
  <si>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</si>
  <si>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</si>
  <si>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</si>
  <si>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</si>
  <si>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</si>
  <si>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</si>
  <si>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</si>
  <si>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</si>
  <si>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</si>
  <si>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</si>
  <si>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</si>
  <si>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</si>
  <si>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</si>
  <si>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</si>
  <si>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</si>
  <si>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</si>
  <si>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</si>
  <si>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</si>
  <si>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</si>
  <si>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</si>
  <si>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</si>
  <si>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</si>
  <si>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</si>
  <si>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</si>
  <si>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</si>
  <si>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</si>
  <si>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</si>
  <si>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</si>
  <si>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</si>
  <si>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</si>
  <si>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</si>
  <si>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</si>
  <si>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</si>
  <si>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</si>
  <si>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</si>
  <si>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</si>
  <si>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</si>
  <si>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</si>
  <si>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Address: Adress </t>
  </si>
  <si>
    <t xml:space="preserve">Al Rehmat </t>
  </si>
  <si>
    <t>Al Rehmat Store</t>
  </si>
  <si>
    <t>NTN #: 2167476-7</t>
  </si>
  <si>
    <t>Invoice No # :412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</si>
</sst>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f ca="1">TODAY()</f>
        <v>46286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 Rehmat Store</v>
      </c>
      <c r="T3" s="301">
        <f>+'1'!P35</f>
        <v>7523.5524907627114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Rehmat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Rehmat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Rehmat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Rehmat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Al Rehmat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Rehmat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Al Rehmat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Al Rehmat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Al Rehmat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 Rehmat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Al Rehmat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Al Rehmat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3</v>
      </c>
      <c r="H16" s="113">
        <f t="shared" ref="H16:M16" si="3">SUM(H7:H15)</f>
        <v>120</v>
      </c>
      <c r="I16" s="114">
        <f t="shared" si="3"/>
        <v>7102.6</v>
      </c>
      <c r="J16" s="274">
        <f>SUM(J7:J15)</f>
        <v>710.26</v>
      </c>
      <c r="K16" s="275">
        <f t="shared" si="3"/>
        <v>248.59100000000001</v>
      </c>
      <c r="L16" s="276">
        <f t="shared" si="3"/>
        <v>0</v>
      </c>
      <c r="M16" s="232">
        <f t="shared" si="3"/>
        <v>6143.7489999999998</v>
      </c>
      <c r="N16" s="233">
        <f>SUM(N7:N15)</f>
        <v>1342.3728813559319</v>
      </c>
      <c r="O16" s="101">
        <f>SUM(O7:O15)</f>
        <v>37.430609406779659</v>
      </c>
      <c r="P16" s="113">
        <f>SUM(P7:P15)</f>
        <v>7523.5524907627114</v>
      </c>
      <c r="Q16" s="128">
        <f>SUM(Q7:Q15)</f>
        <v>0</v>
      </c>
      <c r="R16" s="313">
        <v>14</v>
      </c>
      <c r="S16" s="315" t="str">
        <f>+'14'!A6:A6</f>
        <v>Al Rehmat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Al Rehmat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Al Rehmat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7102.6</v>
      </c>
      <c r="R19" s="299">
        <v>17</v>
      </c>
      <c r="S19" s="300" t="str">
        <f>+'17'!A6:A6</f>
        <v>Al Rehmat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710.26</v>
      </c>
      <c r="R20" s="299">
        <v>18</v>
      </c>
      <c r="S20" s="300" t="str">
        <f>+'18'!A6:A6</f>
        <v>Al Rehmat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248.59100000000001</v>
      </c>
      <c r="R21" s="299">
        <v>19</v>
      </c>
      <c r="S21" s="300" t="str">
        <f>+'19'!A6:A6</f>
        <v>Al Rehmat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6143.7489999999998</v>
      </c>
      <c r="R22" s="299">
        <v>20</v>
      </c>
      <c r="S22" s="300" t="str">
        <f>+'20'!A6:A6</f>
        <v>Al Rehmat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1342.3728813559319</v>
      </c>
      <c r="R23" s="299">
        <v>21</v>
      </c>
      <c r="S23" s="300" t="str">
        <f>+'21'!A6:A6</f>
        <v>Al Rehmat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7486.1218813559317</v>
      </c>
      <c r="R24" s="299">
        <v>22</v>
      </c>
      <c r="S24" s="300" t="str">
        <f>+'22'!A6:A6</f>
        <v>Al Rehmat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37.430609406779659</v>
      </c>
      <c r="R25" s="299">
        <v>23</v>
      </c>
      <c r="S25" s="300" t="str">
        <f>+'23'!A6:A6</f>
        <v>Al Rehmat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7523.5524907627114</v>
      </c>
      <c r="R26" s="299">
        <v>24</v>
      </c>
      <c r="S26" s="300" t="str">
        <f>+'24'!A6:A6</f>
        <v>Al Rehmat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Al Rehmat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Al Rehmat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Al Rehmat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Al Rehmat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Al Rehmat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Al Rehmat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7523.5524907627114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S5" sqref="S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Summary!H3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7102.6</v>
      </c>
      <c r="J25" s="274">
        <f>SUM(J16:J24)</f>
        <v>710.26</v>
      </c>
      <c r="K25" s="275">
        <f t="shared" si="10"/>
        <v>248.59100000000001</v>
      </c>
      <c r="L25" s="276">
        <f t="shared" si="10"/>
        <v>0</v>
      </c>
      <c r="M25" s="232">
        <f t="shared" si="10"/>
        <v>6143.7489999999998</v>
      </c>
      <c r="N25" s="233">
        <f>SUM(N16:N24)</f>
        <v>1342.3728813559319</v>
      </c>
      <c r="O25" s="101">
        <f>SUM(O16:O24)</f>
        <v>37.430609406779659</v>
      </c>
      <c r="P25" s="234">
        <f>SUM(P16:P24)</f>
        <v>7523.5524907627114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7102.6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710.26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248.59100000000001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6143.7489999999998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7486.1218813559317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37.430609406779659</v>
      </c>
    </row>
    <row r="35" spans="2:16" ht="15.75" customHeight="1" thickBot="1" x14ac:dyDescent="0.4">
      <c r="N35" s="345" t="s">
        <v>88</v>
      </c>
      <c r="O35" s="346"/>
      <c r="P35" s="297">
        <f>+P33+P34</f>
        <v>7523.5524907627114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'1'!N4:P5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2026-09-21T05:12:30Z</dcterms:modified>
</cp:coreProperties>
</file>