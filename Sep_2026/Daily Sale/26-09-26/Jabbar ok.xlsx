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7F6E3B2-3721-41D7-8FC9-4EB27642ADE7}" xr6:coauthVersionLast="47" xr6:coauthVersionMax="47" xr10:uidLastSave="{00000000-0000-0000-0000-000000000000}"/>
  <bookViews>
    <workbookView xWindow="-110" yWindow="-110" windowWidth="19420" windowHeight="10420" tabRatio="948" firstSheet="3" activeTab="11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8" l="1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<sst xmlns="http://schemas.openxmlformats.org/spreadsheetml/2006/main" count="3948" uniqueCount="526">
  <si>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</si>
  <si>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</si>
  <si>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</si>
  <si>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</si>
  <si>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</si>
  <si>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</si>
  <si>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</si>
  <si>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</si>
  <si>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</si>
  <si>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</si>
  <si>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</si>
  <si>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</si>
  <si>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</si>
  <si>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</si>
  <si>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</si>
  <si>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</si>
  <si>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</si>
  <si>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</si>
  <si>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</si>
  <si>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</si>
  <si>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</si>
  <si>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</si>
  <si>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</si>
  <si>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</si>
  <si>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</si>
  <si>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</si>
  <si>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</si>
  <si>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</si>
  <si>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</si>
  <si>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</si>
  <si>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</si>
  <si>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</si>
  <si>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</si>
  <si>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</si>
  <si>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</si>
  <si>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</si>
  <si>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</si>
  <si>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</si>
  <si>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</si>
  <si>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</si>
  <si>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</si>
  <si>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</si>
  <si>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</si>
  <si>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</si>
  <si>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</si>
  <si>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</si>
  <si>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</si>
  <si>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</si>
  <si>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</si>
  <si>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</si>
  <si>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</si>
  <si>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</si>
  <si>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</si>
  <si>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</si>
  <si>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</si>
  <si>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</si>
  <si>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</si>
  <si>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</si>
  <si>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</si>
  <si>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</si>
  <si>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</si>
  <si>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</si>
  <si>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</si>
  <si>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</si>
  <si>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</si>
  <si>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</si>
  <si>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</si>
  <si>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</si>
  <si>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</si>
  <si>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</si>
  <si>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</si>
  <si>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</si>
  <si>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</si>
  <si>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</si>
  <si>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</si>
  <si>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</si>
  <si>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</si>
  <si>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</si>
  <si>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</si>
  <si>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</si>
  <si>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</si>
  <si>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</si>
  <si>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</si>
  <si>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</si>
  <si>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</si>
  <si>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</si>
  <si>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</si>
  <si>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</si>
  <si>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</si>
  <si>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</si>
  <si>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</si>
  <si>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</si>
  <si>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</si>
  <si>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</si>
  <si>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</si>
  <si>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</si>
  <si>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</si>
  <si>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</si>
  <si>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</si>
  <si>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</si>
  <si>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</si>
  <si>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</si>
  <si>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</si>
  <si>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</si>
  <si>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</si>
  <si>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</si>
  <si>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</si>
  <si>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</si>
  <si>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</si>
  <si>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</si>
  <si>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</si>
  <si>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</si>
  <si>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</si>
  <si>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</si>
  <si>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</si>
  <si>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</si>
  <si>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</si>
  <si>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</si>
  <si>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</si>
  <si>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</si>
  <si>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</si>
  <si>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</si>
  <si>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</si>
  <si>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</si>
  <si>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</si>
  <si>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</si>
  <si>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</si>
  <si>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</si>
  <si>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</si>
  <si>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</si>
  <si>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</si>
  <si>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</si>
  <si>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</si>
  <si>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</si>
  <si>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</si>
  <si>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</si>
  <si>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</si>
  <si>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</si>
  <si>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</si>
  <si>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</si>
  <si>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</si>
  <si>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</si>
  <si>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</si>
  <si>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</si>
  <si>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</si>
  <si>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</si>
  <si>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</si>
  <si>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</si>
  <si>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</si>
  <si>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</si>
  <si>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</si>
  <si>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</si>
  <si>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</si>
  <si>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</si>
  <si>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</si>
  <si>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</si>
  <si>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</si>
  <si>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</si>
  <si>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</si>
  <si>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</si>
  <si>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</si>
  <si>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</si>
  <si>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</si>
  <si>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</si>
  <si>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</si>
  <si>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</si>
  <si>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</si>
  <si>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</si>
  <si>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</si>
  <si>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</si>
  <si>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</si>
  <si>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</si>
  <si>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</si>
  <si>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</si>
  <si>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</si>
  <si>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</si>
  <si>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</si>
  <si>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</si>
  <si>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</si>
  <si>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</si>
  <si>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</si>
  <si>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</si>
  <si>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</si>
  <si>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</si>
  <si>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</si>
  <si>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</si>
  <si>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</si>
  <si>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</si>
  <si>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</si>
  <si>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</si>
  <si>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</si>
  <si>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</si>
  <si>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</si>
  <si>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</si>
  <si>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</si>
  <si>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</si>
  <si>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</si>
  <si>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</si>
  <si>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</si>
  <si>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</si>
  <si>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</si>
  <si>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</si>
  <si>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</si>
  <si>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</si>
  <si>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</si>
  <si>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</si>
  <si>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</si>
  <si>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</si>
  <si>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</si>
  <si>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</si>
  <si>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</si>
  <si>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</si>
  <si>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</si>
  <si>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</si>
  <si>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</si>
  <si>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</si>
  <si>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</si>
  <si>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</si>
  <si>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</si>
  <si>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</si>
  <si>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</si>
  <si>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</si>
  <si>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</si>
  <si>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</si>
  <si>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</si>
  <si>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</si>
  <si>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</si>
  <si>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</si>
  <si>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</si>
  <si>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</si>
  <si>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</si>
  <si>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</si>
  <si>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</si>
  <si>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</si>
  <si>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</si>
  <si>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</si>
  <si>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</si>
  <si>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</si>
  <si>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</si>
  <si>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</si>
  <si>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</si>
  <si>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</si>
  <si>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</si>
  <si>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</si>
  <si>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</si>
  <si>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</si>
  <si>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</si>
  <si>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</si>
  <si>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</si>
  <si>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</si>
  <si>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</si>
  <si>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</si>
  <si>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</si>
  <si>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</si>
  <si>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</si>
  <si>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</si>
  <si>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</si>
  <si>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</si>
  <si>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</si>
  <si>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</si>
  <si>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</si>
  <si>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</si>
  <si>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</si>
  <si>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</si>
  <si>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</si>
  <si>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</si>
  <si>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</si>
  <si>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</si>
  <si>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</si>
  <si>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</si>
  <si>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</si>
  <si>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</si>
  <si>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</si>
  <si>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</si>
  <si>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</si>
  <si>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</si>
  <si>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</si>
  <si>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</si>
  <si>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</si>
  <si>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</si>
  <si>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</si>
  <si>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</si>
  <si>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</si>
  <si>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</si>
  <si>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</si>
  <si>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</si>
  <si>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</si>
  <si>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</si>
  <si>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</si>
  <si>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</si>
  <si>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</si>
  <si>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</si>
  <si>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</si>
  <si>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</si>
  <si>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</si>
  <si>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</si>
  <si>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</si>
  <si>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</si>
  <si>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</si>
  <si>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</si>
  <si>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</si>
  <si>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</si>
  <si>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</si>
  <si>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</si>
  <si>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</si>
  <si>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</si>
  <si>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</si>
  <si>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</si>
  <si>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</si>
  <si>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</si>
  <si>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</si>
  <si>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</si>
  <si>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</si>
  <si>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</si>
  <si>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</si>
  <si>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</si>
  <si>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</si>
  <si>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</si>
  <si>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</si>
  <si>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</si>
  <si>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</si>
  <si>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</si>
  <si>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</si>
  <si>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</si>
  <si>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</si>
  <si>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</si>
  <si>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</si>
  <si>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</si>
  <si>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</si>
  <si>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</si>
  <si>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</si>
  <si>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</si>
  <si>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</si>
  <si>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</si>
  <si>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</si>
  <si>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</si>
  <si>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</si>
  <si>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</si>
  <si>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</si>
  <si>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</si>
  <si>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</si>
  <si>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</si>
  <si>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</si>
  <si>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</si>
  <si>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</si>
  <si>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</si>
  <si>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</si>
  <si>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</si>
  <si>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</si>
  <si>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</si>
  <si>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</si>
  <si>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</si>
  <si>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</si>
  <si>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</si>
  <si>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</si>
  <si>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</si>
  <si>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</si>
  <si>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</si>
  <si>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</si>
  <si>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</si>
  <si>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</si>
  <si>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</si>
  <si>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</si>
  <si>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</si>
  <si>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</si>
  <si>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</si>
  <si>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</si>
  <si>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</si>
  <si>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</si>
  <si>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</si>
  <si>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</si>
  <si>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</si>
  <si>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</si>
  <si>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</si>
  <si>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</si>
  <si>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</si>
  <si>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</si>
  <si>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</si>
  <si>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</si>
  <si>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</si>
  <si>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</si>
  <si>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</si>
  <si>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</si>
  <si>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</si>
  <si>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</si>
  <si>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</si>
  <si>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</si>
  <si>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</si>
  <si>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</si>
  <si>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</si>
  <si>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</si>
  <si>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</si>
  <si>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</si>
  <si>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</si>
  <si>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</si>
  <si>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</si>
  <si>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</si>
  <si>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</si>
  <si>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</si>
  <si>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</si>
  <si>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</si>
  <si>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</si>
  <si>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</si>
  <si>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</si>
  <si>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</si>
  <si>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</si>
  <si>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</si>
  <si>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</si>
  <si>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</si>
  <si>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</si>
  <si>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</si>
  <si>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</si>
  <si>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</si>
  <si>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</si>
  <si>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</si>
  <si>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</si>
  <si>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</si>
  <si>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</si>
  <si>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</si>
  <si>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</si>
  <si>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</si>
  <si>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</si>
  <si>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</si>
  <si>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</si>
  <si>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</si>
  <si>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</si>
  <si>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</si>
  <si>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</si>
  <si>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</si>
  <si>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</si>
  <si>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</si>
  <si>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</si>
  <si>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</si>
  <si>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</si>
  <si>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</si>
  <si>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</si>
  <si>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</si>
  <si>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</si>
  <si>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</si>
  <si>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</si>
  <si>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</si>
  <si>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</si>
  <si>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</si>
  <si>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</si>
  <si>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</si>
  <si>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</si>
  <si>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</si>
  <si>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</si>
  <si>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</si>
  <si>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</si>
  <si>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</si>
  <si>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</si>
  <si>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</si>
  <si>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</si>
  <si>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</si>
  <si>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</si>
  <si>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</si>
  <si>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</si>
  <si>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</si>
  <si>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</si>
  <si>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</si>
  <si>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</si>
  <si>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</si>
  <si>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</si>
  <si>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</si>
  <si>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</si>
  <si>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</si>
  <si>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</si>
  <si>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</si>
  <si>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</si>
  <si>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</si>
  <si>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</si>
  <si>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</si>
  <si>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</si>
  <si>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</si>
  <si>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</si>
  <si>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</si>
  <si>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</si>
  <si>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</si>
  <si>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</si>
  <si>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</si>
  <si>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</si>
  <si>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</si>
  <si>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</si>
  <si>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</si>
  <si>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</si>
  <si>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</si>
  <si>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</si>
  <si>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</si>
  <si>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</si>
  <si>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</si>
  <si>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</si>
  <si>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</si>
  <si>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</si>
  <si>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</si>
  <si>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</si>
  <si>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</si>
  <si>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</si>
  <si>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</si>
  <si>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</si>
  <si>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</si>
  <si>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</si>
  <si>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</si>
  <si>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</si>
  <si>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</si>
  <si>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</si>
  <si>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</si>
  <si>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</si>
  <si>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</si>
  <si>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</si>
  <si>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</si>
  <si>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</si>
  <si>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</si>
  <si>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</si>
  <si>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</si>
  <si>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Bravo Store</t>
  </si>
  <si>
    <t>Address: Phase 6</t>
  </si>
  <si>
    <t>Al Noor Store</t>
  </si>
  <si>
    <t xml:space="preserve">Address: Edden City </t>
  </si>
  <si>
    <t xml:space="preserve">Prograssive Mart </t>
  </si>
  <si>
    <t>Ch Store</t>
  </si>
  <si>
    <t xml:space="preserve">Address: Sami Town </t>
  </si>
  <si>
    <t>Asif store</t>
  </si>
  <si>
    <t xml:space="preserve">Address: Sami town </t>
  </si>
  <si>
    <t>Bhati Store</t>
  </si>
  <si>
    <t xml:space="preserve">Premier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</si>
</sst>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9" activeCellId="1" sqref="S3:S5 S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Bravo Store</v>
      </c>
      <c r="T3" s="301">
        <f>+'1'!P35</f>
        <v>2265.051582838983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Noor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Prograssive Mart </v>
      </c>
      <c r="T5" s="301">
        <f>+'3'!P35</f>
        <v>1881.7269510508474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Ch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</v>
      </c>
      <c r="I7" s="235">
        <f>(G7*D7)*F7+H7*F7</f>
        <v>1049.25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83.94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36.723750000000003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928.58625000000006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198.30508474576263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5.6344566737288133</v>
      </c>
      <c r="P7" s="310">
        <f>M7+N7+O7</f>
        <v>1132.5257914194915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14</v>
      </c>
      <c r="R7" s="313">
        <v>5</v>
      </c>
      <c r="S7" s="300" t="str">
        <f>+'5'!A6:A6</f>
        <v>Asif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13</v>
      </c>
      <c r="R8" s="313">
        <v>6</v>
      </c>
      <c r="S8" s="300" t="str">
        <f>+'6'!A6:A6</f>
        <v>Bhati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13</v>
      </c>
      <c r="R9" s="313">
        <v>7</v>
      </c>
      <c r="S9" s="300" t="str">
        <f>+'7'!A6:A6</f>
        <v xml:space="preserve">Premier Mart 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27</v>
      </c>
      <c r="I10" s="236">
        <f t="shared" si="0"/>
        <v>1961.28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156.9024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68.644800000000004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1735.7328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370.67796610169495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10.532053830508474</v>
      </c>
      <c r="P10" s="311">
        <f t="shared" si="2"/>
        <v>2116.9428199322037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67</v>
      </c>
      <c r="I12" s="236">
        <f t="shared" si="0"/>
        <v>4866.88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389.35040000000004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170.3408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4307.1887999999999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919.83050847457639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26.135096542372882</v>
      </c>
      <c r="P12" s="311">
        <f t="shared" si="2"/>
        <v>5253.1544050169487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3.6</v>
      </c>
      <c r="H16" s="113">
        <f t="shared" ref="H16:M16" si="3">SUM(H7:H15)</f>
        <v>144</v>
      </c>
      <c r="I16" s="114">
        <f t="shared" si="3"/>
        <v>9653.06</v>
      </c>
      <c r="J16" s="274">
        <f>SUM(J7:J15)</f>
        <v>772.24480000000005</v>
      </c>
      <c r="K16" s="275">
        <f t="shared" si="3"/>
        <v>337.85710000000006</v>
      </c>
      <c r="L16" s="276">
        <f t="shared" si="3"/>
        <v>0</v>
      </c>
      <c r="M16" s="232">
        <f t="shared" si="3"/>
        <v>8542.9580999999998</v>
      </c>
      <c r="N16" s="233">
        <f>SUM(N7:N15)</f>
        <v>1824.406779661017</v>
      </c>
      <c r="O16" s="101">
        <f>SUM(O7:O15)</f>
        <v>51.836824398305083</v>
      </c>
      <c r="P16" s="113">
        <f>SUM(P7:P15)</f>
        <v>10419.201704059322</v>
      </c>
      <c r="Q16" s="128">
        <f>SUM(Q7:Q15)</f>
        <v>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9653.06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772.24480000000005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337.85710000000006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8542.9580999999998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1824.406779661017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10367.364879661018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51.836824398305083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10419.201704059324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10419.201704059324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D21" sqref="D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167.88</v>
      </c>
      <c r="K25" s="275">
        <f t="shared" si="10"/>
        <v>73.447500000000005</v>
      </c>
      <c r="L25" s="276">
        <f t="shared" si="10"/>
        <v>0</v>
      </c>
      <c r="M25" s="232">
        <f t="shared" si="10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1743.3600000000001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139.46880000000002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61.017600000000009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1542.8736000000001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1872.3651254237288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5" t="s">
        <v>88</v>
      </c>
      <c r="O35" s="346"/>
      <c r="P35" s="297">
        <f>+P33+P34</f>
        <v>1881.7269510508474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13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9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13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14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abSelected="1" workbookViewId="0">
      <selection activeCell="G13" sqref="G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2026-09-30T10:38:42Z</dcterms:modified>
</cp:coreProperties>
</file>