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D376EBAF-C8B2-4A28-AD5C-AC6545510439}" xr6:coauthVersionLast="47" xr6:coauthVersionMax="47" xr10:uidLastSave="{00000000-0000-0000-0000-000000000000}"/>
  <bookViews>
    <workbookView xWindow="-110" yWindow="-110" windowWidth="19420" windowHeight="10420" tabRatio="948" firstSheet="3" activeTab="12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externalReferences>
    <externalReference r:id="rId39"/>
  </externalReference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O34" i="49" l="1"/>
  <c r="H25" i="49"/>
  <c r="G25" i="49"/>
  <c r="A25" i="49"/>
  <c r="F24" i="49"/>
  <c r="E24" i="49"/>
  <c r="D24" i="49"/>
  <c r="B24" i="49"/>
  <c r="C24" i="49" s="1"/>
  <c r="K23" i="49"/>
  <c r="I23" i="49"/>
  <c r="F23" i="49"/>
  <c r="E23" i="49"/>
  <c r="D23" i="49"/>
  <c r="C23" i="49"/>
  <c r="B23" i="49"/>
  <c r="F22" i="49"/>
  <c r="E22" i="49"/>
  <c r="D22" i="49"/>
  <c r="B22" i="49"/>
  <c r="C22" i="49" s="1"/>
  <c r="I21" i="49"/>
  <c r="K21" i="49" s="1"/>
  <c r="F21" i="49"/>
  <c r="E21" i="49"/>
  <c r="D21" i="49"/>
  <c r="C21" i="49"/>
  <c r="B21" i="49"/>
  <c r="F20" i="49"/>
  <c r="E20" i="49"/>
  <c r="D20" i="49"/>
  <c r="B20" i="49"/>
  <c r="C20" i="49" s="1"/>
  <c r="K19" i="49"/>
  <c r="I19" i="49"/>
  <c r="F19" i="49"/>
  <c r="E19" i="49"/>
  <c r="D19" i="49"/>
  <c r="C19" i="49"/>
  <c r="B19" i="49"/>
  <c r="F18" i="49"/>
  <c r="E18" i="49"/>
  <c r="D18" i="49"/>
  <c r="B18" i="49"/>
  <c r="C18" i="49" s="1"/>
  <c r="I17" i="49"/>
  <c r="K17" i="49" s="1"/>
  <c r="F17" i="49"/>
  <c r="E17" i="49"/>
  <c r="D17" i="49"/>
  <c r="C17" i="49"/>
  <c r="B17" i="49"/>
  <c r="F16" i="49"/>
  <c r="E16" i="49"/>
  <c r="D16" i="49"/>
  <c r="C16" i="49"/>
  <c r="B16" i="49"/>
  <c r="O15" i="49"/>
  <c r="C12" i="49"/>
  <c r="C11" i="49"/>
  <c r="N6" i="49"/>
  <c r="N4" i="49"/>
  <c r="N5" i="49" s="1"/>
  <c r="F22" i="47"/>
  <c r="N6" i="43"/>
  <c r="N6" i="44"/>
  <c r="N6" i="45"/>
  <c r="N6" i="46"/>
  <c r="N6" i="47"/>
  <c r="N6" i="48"/>
  <c r="N6" i="50"/>
  <c r="N6" i="51"/>
  <c r="N6" i="52"/>
  <c r="N6" i="53"/>
  <c r="N6" i="54"/>
  <c r="N6" i="55"/>
  <c r="N6" i="56"/>
  <c r="N6" i="57"/>
  <c r="N6" i="58"/>
  <c r="N6" i="59"/>
  <c r="N6" i="60"/>
  <c r="N6" i="61"/>
  <c r="N6" i="63"/>
  <c r="N6" i="64"/>
  <c r="N6" i="65"/>
  <c r="N6" i="66"/>
  <c r="N6" i="67"/>
  <c r="N6" i="68"/>
  <c r="N6" i="69"/>
  <c r="N6" i="70"/>
  <c r="N6" i="71"/>
  <c r="N6" i="72"/>
  <c r="N6" i="11"/>
  <c r="S16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I16" i="49" l="1"/>
  <c r="L17" i="49"/>
  <c r="I20" i="49"/>
  <c r="L21" i="49"/>
  <c r="J23" i="49"/>
  <c r="M23" i="49" s="1"/>
  <c r="I24" i="49"/>
  <c r="I18" i="49"/>
  <c r="L19" i="49"/>
  <c r="I22" i="49"/>
  <c r="L23" i="49"/>
  <c r="N4" i="11"/>
  <c r="N4" i="47" s="1"/>
  <c r="N5" i="47" s="1"/>
  <c r="Q16" i="62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L20" i="49" l="1"/>
  <c r="K20" i="49"/>
  <c r="L18" i="49"/>
  <c r="K18" i="49"/>
  <c r="L24" i="49"/>
  <c r="K24" i="49"/>
  <c r="M24" i="49" s="1"/>
  <c r="J24" i="49"/>
  <c r="J22" i="49"/>
  <c r="M22" i="49"/>
  <c r="L22" i="49"/>
  <c r="K22" i="49"/>
  <c r="I25" i="49"/>
  <c r="P28" i="49" s="1"/>
  <c r="L16" i="49"/>
  <c r="K16" i="49"/>
  <c r="J16" i="49"/>
  <c r="N4" i="58"/>
  <c r="N4" i="68"/>
  <c r="N5" i="68" s="1"/>
  <c r="N4" i="51"/>
  <c r="N4" i="55"/>
  <c r="N5" i="55" s="1"/>
  <c r="N4" i="67"/>
  <c r="N5" i="67" s="1"/>
  <c r="N4" i="46"/>
  <c r="N4" i="53"/>
  <c r="N4" i="69"/>
  <c r="N5" i="69" s="1"/>
  <c r="N4" i="59"/>
  <c r="N4" i="61"/>
  <c r="N5" i="11"/>
  <c r="N4" i="50"/>
  <c r="N5" i="50" s="1"/>
  <c r="N4" i="57"/>
  <c r="N4" i="64"/>
  <c r="N5" i="64" s="1"/>
  <c r="N4" i="63"/>
  <c r="N5" i="63" s="1"/>
  <c r="N4" i="70"/>
  <c r="N5" i="70" s="1"/>
  <c r="N4" i="45"/>
  <c r="N4" i="65"/>
  <c r="N5" i="65" s="1"/>
  <c r="N4" i="60"/>
  <c r="N4" i="52"/>
  <c r="N5" i="52" s="1"/>
  <c r="N4" i="44"/>
  <c r="N4" i="72"/>
  <c r="N5" i="72" s="1"/>
  <c r="N4" i="71"/>
  <c r="N5" i="71" s="1"/>
  <c r="N4" i="54"/>
  <c r="N5" i="54" s="1"/>
  <c r="N4" i="66"/>
  <c r="N5" i="66" s="1"/>
  <c r="N4" i="43"/>
  <c r="N5" i="43" s="1"/>
  <c r="N4" i="56"/>
  <c r="N5" i="56" s="1"/>
  <c r="N4" i="48"/>
  <c r="N5" i="48" s="1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S22" i="62"/>
  <c r="S21" i="62"/>
  <c r="S20" i="62"/>
  <c r="S19" i="62"/>
  <c r="S18" i="62"/>
  <c r="S17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V24" i="49"/>
  <c r="N24" i="49" s="1"/>
  <c r="U23" i="49"/>
  <c r="U24" i="49" s="1"/>
  <c r="T23" i="49"/>
  <c r="T24" i="49" s="1"/>
  <c r="V23" i="49"/>
  <c r="N23" i="49" s="1"/>
  <c r="O23" i="49" s="1"/>
  <c r="V22" i="49"/>
  <c r="N22" i="49" s="1"/>
  <c r="O22" i="49" s="1"/>
  <c r="V21" i="49"/>
  <c r="N21" i="49" s="1"/>
  <c r="T20" i="49"/>
  <c r="T21" i="49" s="1"/>
  <c r="V20" i="49"/>
  <c r="N20" i="49" s="1"/>
  <c r="V19" i="49"/>
  <c r="N19" i="49" s="1"/>
  <c r="V18" i="49"/>
  <c r="N18" i="49" s="1"/>
  <c r="T17" i="49"/>
  <c r="T18" i="49" s="1"/>
  <c r="S17" i="49"/>
  <c r="V17" i="49"/>
  <c r="N17" i="49" s="1"/>
  <c r="V16" i="49"/>
  <c r="N16" i="49" s="1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L25" i="49" l="1"/>
  <c r="S18" i="49"/>
  <c r="J17" i="49"/>
  <c r="M17" i="49" s="1"/>
  <c r="O17" i="49" s="1"/>
  <c r="P24" i="49"/>
  <c r="O24" i="49"/>
  <c r="P23" i="49"/>
  <c r="N25" i="49"/>
  <c r="P32" i="49" s="1"/>
  <c r="K25" i="49"/>
  <c r="P30" i="49" s="1"/>
  <c r="P22" i="49"/>
  <c r="M16" i="49"/>
  <c r="N24" i="43"/>
  <c r="N24" i="45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P17" i="49" l="1"/>
  <c r="S19" i="49"/>
  <c r="J18" i="49"/>
  <c r="O16" i="49"/>
  <c r="N25" i="58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S20" i="49" l="1"/>
  <c r="J19" i="49"/>
  <c r="M19" i="49" s="1"/>
  <c r="M18" i="49"/>
  <c r="P16" i="49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O18" i="49" l="1"/>
  <c r="P18" i="49"/>
  <c r="O19" i="49"/>
  <c r="P19" i="49" s="1"/>
  <c r="S21" i="49"/>
  <c r="J21" i="49" s="1"/>
  <c r="M21" i="49" s="1"/>
  <c r="J20" i="49"/>
  <c r="P17" i="14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M20" i="49" l="1"/>
  <c r="J25" i="49"/>
  <c r="P29" i="49" s="1"/>
  <c r="P31" i="49" s="1"/>
  <c r="P33" i="49" s="1"/>
  <c r="P34" i="49" s="1"/>
  <c r="P35" i="49" s="1"/>
  <c r="O21" i="49"/>
  <c r="P21" i="49" s="1"/>
  <c r="F19" i="1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O20" i="49" l="1"/>
  <c r="O25" i="49" s="1"/>
  <c r="P20" i="49"/>
  <c r="P25" i="49" s="1"/>
  <c r="M25" i="49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I22" i="47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6" i="48" l="1"/>
  <c r="K12" i="62"/>
  <c r="M20" i="46"/>
  <c r="O20" i="46" s="1"/>
  <c r="P20" i="46" s="1"/>
  <c r="M17" i="45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R20" i="49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M12" i="62" l="1"/>
  <c r="P30" i="70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T10" i="62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M14" i="62" l="1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<sst xmlns="http://schemas.openxmlformats.org/spreadsheetml/2006/main" count="3948" uniqueCount="524">
  <si>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</si>
  <si>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</si>
  <si>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</si>
  <si>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</si>
  <si>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</si>
  <si>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</si>
  <si>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</si>
  <si>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</si>
  <si>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</si>
  <si>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</si>
  <si>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</si>
  <si>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</si>
  <si>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</si>
  <si>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</si>
  <si>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</si>
  <si>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</si>
  <si>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</si>
  <si>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</si>
  <si>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</si>
  <si>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</si>
  <si>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</si>
  <si>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</si>
  <si>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</si>
  <si>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</si>
  <si>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</si>
  <si>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</si>
  <si>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</si>
  <si>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</si>
  <si>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</si>
  <si>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</si>
  <si>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</si>
  <si>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</si>
  <si>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</si>
  <si>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</si>
  <si>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</si>
  <si>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</si>
  <si>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</si>
  <si>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</si>
  <si>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</si>
  <si>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</si>
  <si>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</si>
  <si>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</si>
  <si>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</si>
  <si>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</si>
  <si>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</si>
  <si>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</si>
  <si>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</si>
  <si>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</si>
  <si>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</si>
  <si>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</si>
  <si>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</si>
  <si>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</si>
  <si>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</si>
  <si>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</si>
  <si>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</si>
  <si>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</si>
  <si>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</si>
  <si>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</si>
  <si>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</si>
  <si>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</si>
  <si>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</si>
  <si>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</si>
  <si>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</si>
  <si>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</si>
  <si>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</si>
  <si>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</si>
  <si>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</si>
  <si>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</si>
  <si>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</si>
  <si>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</si>
  <si>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</si>
  <si>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</si>
  <si>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</si>
  <si>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</si>
  <si>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</si>
  <si>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</si>
  <si>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</si>
  <si>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</si>
  <si>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</si>
  <si>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</si>
  <si>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</si>
  <si>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</si>
  <si>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</si>
  <si>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</si>
  <si>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</si>
  <si>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</si>
  <si>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</si>
  <si>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</si>
  <si>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</si>
  <si>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</si>
  <si>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</si>
  <si>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</si>
  <si>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</si>
  <si>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</si>
  <si>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</si>
  <si>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</si>
  <si>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</si>
  <si>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</si>
  <si>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</si>
  <si>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</si>
  <si>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</si>
  <si>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</si>
  <si>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</si>
  <si>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</si>
  <si>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</si>
  <si>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</si>
  <si>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</si>
  <si>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</si>
  <si>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</si>
  <si>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</si>
  <si>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</si>
  <si>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</si>
  <si>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</si>
  <si>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</si>
  <si>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</si>
  <si>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</si>
  <si>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</si>
  <si>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</si>
  <si>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</si>
  <si>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</si>
  <si>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</si>
  <si>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</si>
  <si>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</si>
  <si>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</si>
  <si>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</si>
  <si>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</si>
  <si>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</si>
  <si>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</si>
  <si>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</si>
  <si>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</si>
  <si>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</si>
  <si>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</si>
  <si>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</si>
  <si>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</si>
  <si>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</si>
  <si>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</si>
  <si>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</si>
  <si>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</si>
  <si>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</si>
  <si>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</si>
  <si>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</si>
  <si>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</si>
  <si>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</si>
  <si>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</si>
  <si>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</si>
  <si>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</si>
  <si>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</si>
  <si>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</si>
  <si>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</si>
  <si>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</si>
  <si>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</si>
  <si>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</si>
  <si>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</si>
  <si>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</si>
  <si>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</si>
  <si>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</si>
  <si>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</si>
  <si>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</si>
  <si>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</si>
  <si>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</si>
  <si>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</si>
  <si>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</si>
  <si>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</si>
  <si>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</si>
  <si>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</si>
  <si>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</si>
  <si>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</si>
  <si>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</si>
  <si>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</si>
  <si>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</si>
  <si>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</si>
  <si>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</si>
  <si>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</si>
  <si>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</si>
  <si>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</si>
  <si>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</si>
  <si>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</si>
  <si>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</si>
  <si>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</si>
  <si>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</si>
  <si>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</si>
  <si>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</si>
  <si>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</si>
  <si>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</si>
  <si>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</si>
  <si>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</si>
  <si>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</si>
  <si>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</si>
  <si>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</si>
  <si>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</si>
  <si>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</si>
  <si>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</si>
  <si>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</si>
  <si>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</si>
  <si>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</si>
  <si>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</si>
  <si>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</si>
  <si>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</si>
  <si>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</si>
  <si>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</si>
  <si>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</si>
  <si>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</si>
  <si>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</si>
  <si>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</si>
  <si>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</si>
  <si>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</si>
  <si>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</si>
  <si>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</si>
  <si>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</si>
  <si>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</si>
  <si>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</si>
  <si>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</si>
  <si>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</si>
  <si>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</si>
  <si>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</si>
  <si>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</si>
  <si>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</si>
  <si>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</si>
  <si>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</si>
  <si>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</si>
  <si>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</si>
  <si>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</si>
  <si>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</si>
  <si>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</si>
  <si>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</si>
  <si>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</si>
  <si>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</si>
  <si>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</si>
  <si>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</si>
  <si>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</si>
  <si>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</si>
  <si>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</si>
  <si>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</si>
  <si>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</si>
  <si>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</si>
  <si>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</si>
  <si>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</si>
  <si>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</si>
  <si>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</si>
  <si>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</si>
  <si>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</si>
  <si>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</si>
  <si>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</si>
  <si>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</si>
  <si>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</si>
  <si>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</si>
  <si>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</si>
  <si>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</si>
  <si>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</si>
  <si>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</si>
  <si>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</si>
  <si>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</si>
  <si>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</si>
  <si>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</si>
  <si>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</si>
  <si>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</si>
  <si>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</si>
  <si>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</si>
  <si>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</si>
  <si>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</si>
  <si>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</si>
  <si>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</si>
  <si>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</si>
  <si>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</si>
  <si>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</si>
  <si>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</si>
  <si>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</si>
  <si>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</si>
  <si>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</si>
  <si>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</si>
  <si>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</si>
  <si>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</si>
  <si>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</si>
  <si>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</si>
  <si>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</si>
  <si>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</si>
  <si>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</si>
  <si>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</si>
  <si>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</si>
  <si>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</si>
  <si>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</si>
  <si>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</si>
  <si>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</si>
  <si>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</si>
  <si>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</si>
  <si>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</si>
  <si>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</si>
  <si>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</si>
  <si>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</si>
  <si>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</si>
  <si>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</si>
  <si>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</si>
  <si>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</si>
  <si>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</si>
  <si>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</si>
  <si>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</si>
  <si>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</si>
  <si>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</si>
  <si>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</si>
  <si>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</si>
  <si>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</si>
  <si>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</si>
  <si>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</si>
  <si>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</si>
  <si>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</si>
  <si>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</si>
  <si>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</si>
  <si>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</si>
  <si>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</si>
  <si>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</si>
  <si>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</si>
  <si>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</si>
  <si>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</si>
  <si>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</si>
  <si>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</si>
  <si>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</si>
  <si>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</si>
  <si>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</si>
  <si>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</si>
  <si>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</si>
  <si>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</si>
  <si>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</si>
  <si>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</si>
  <si>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</si>
  <si>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</si>
  <si>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</si>
  <si>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</si>
  <si>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</si>
  <si>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</si>
  <si>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</si>
  <si>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</si>
  <si>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</si>
  <si>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</si>
  <si>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</si>
  <si>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</si>
  <si>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</si>
  <si>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</si>
  <si>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</si>
  <si>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</si>
  <si>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</si>
  <si>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</si>
  <si>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</si>
  <si>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</si>
  <si>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</si>
  <si>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</si>
  <si>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</si>
  <si>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</si>
  <si>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</si>
  <si>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</si>
  <si>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</si>
  <si>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</si>
  <si>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</si>
  <si>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</si>
  <si>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</si>
  <si>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</si>
  <si>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</si>
  <si>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</si>
  <si>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</si>
  <si>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</si>
  <si>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</si>
  <si>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</si>
  <si>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</si>
  <si>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</si>
  <si>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</si>
  <si>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</si>
  <si>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</si>
  <si>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</si>
  <si>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</si>
  <si>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</si>
  <si>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</si>
  <si>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</si>
  <si>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</si>
  <si>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</si>
  <si>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</si>
  <si>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</si>
  <si>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</si>
  <si>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</si>
  <si>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</si>
  <si>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</si>
  <si>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</si>
  <si>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</si>
  <si>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</si>
  <si>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</si>
  <si>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</si>
  <si>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</si>
  <si>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</si>
  <si>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</si>
  <si>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</si>
  <si>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</si>
  <si>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</si>
  <si>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</si>
  <si>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</si>
  <si>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</si>
  <si>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</si>
  <si>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</si>
  <si>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</si>
  <si>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</si>
  <si>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</si>
  <si>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</si>
  <si>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</si>
  <si>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</si>
  <si>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</si>
  <si>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</si>
  <si>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</si>
  <si>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</si>
  <si>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</si>
  <si>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</si>
  <si>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</si>
  <si>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</si>
  <si>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</si>
  <si>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</si>
  <si>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</si>
  <si>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</si>
  <si>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</si>
  <si>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</si>
  <si>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</si>
  <si>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</si>
  <si>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</si>
  <si>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</si>
  <si>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</si>
  <si>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</si>
  <si>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</si>
  <si>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</si>
  <si>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</si>
  <si>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</si>
  <si>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</si>
  <si>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</si>
  <si>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</si>
  <si>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</si>
  <si>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</si>
  <si>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</si>
  <si>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</si>
  <si>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</si>
  <si>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</si>
  <si>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</si>
  <si>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</si>
  <si>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</si>
  <si>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</si>
  <si>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</si>
  <si>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</si>
  <si>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</si>
  <si>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</si>
  <si>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</si>
  <si>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</si>
  <si>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</si>
  <si>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</si>
  <si>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</si>
  <si>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</si>
  <si>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</si>
  <si>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</si>
  <si>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</si>
  <si>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</si>
  <si>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</si>
  <si>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</si>
  <si>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</si>
  <si>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</si>
  <si>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</si>
  <si>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</si>
  <si>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</si>
  <si>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</si>
  <si>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</si>
  <si>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</si>
  <si>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</si>
  <si>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</si>
  <si>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</si>
  <si>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</si>
  <si>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</si>
  <si>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</si>
  <si>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</si>
  <si>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</si>
  <si>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</si>
  <si>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</si>
  <si>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</si>
  <si>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</si>
  <si>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</si>
  <si>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</si>
  <si>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</si>
  <si>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</si>
  <si>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</si>
  <si>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</si>
  <si>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</si>
  <si>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</si>
  <si>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</si>
  <si>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</si>
  <si>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</si>
  <si>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</si>
  <si>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</si>
  <si>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</si>
  <si>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</si>
  <si>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</si>
  <si>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</si>
  <si>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</si>
  <si>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</si>
  <si>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</si>
  <si>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</si>
  <si>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</si>
  <si>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</si>
  <si>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</si>
  <si>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</si>
  <si>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</si>
  <si>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</si>
  <si>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</si>
  <si>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</si>
  <si>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</si>
  <si>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</si>
  <si>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</si>
  <si>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</si>
  <si>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</si>
  <si>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</si>
  <si>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</si>
  <si>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</si>
  <si>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</si>
  <si>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Shop Name</t>
  </si>
  <si>
    <t>Furqan</t>
  </si>
  <si>
    <t>Swat Variety Store</t>
  </si>
  <si>
    <t>Address: Gopal Nager Bazar</t>
  </si>
  <si>
    <t>Husnain Store</t>
  </si>
  <si>
    <t xml:space="preserve">Friend Mart </t>
  </si>
  <si>
    <t>E Cart Stroe</t>
  </si>
  <si>
    <t>Fazale Kabeer</t>
  </si>
  <si>
    <t>New Kashmir Bakerry</t>
  </si>
  <si>
    <t xml:space="preserve">Pak Bakers </t>
  </si>
  <si>
    <t xml:space="preserve">Peer Cash N Carry </t>
  </si>
  <si>
    <t>Address: Zahore Ellahi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</si>
</sst>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5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9" fontId="35" fillId="0" borderId="1" xfId="0" applyNumberFormat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3" xfId="0" applyFont="1" applyBorder="1" applyAlignment="1">
      <alignment horizontal="center" vertical="center"/>
    </xf>
    <xf numFmtId="2" fontId="0" fillId="0" borderId="3" xfId="0" applyNumberFormat="1" applyBorder="1"/>
    <xf numFmtId="0" fontId="0" fillId="0" borderId="3" xfId="0" applyBorder="1"/>
    <xf numFmtId="0" fontId="40" fillId="0" borderId="3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786\Desktop\Elite-Git\Sep_2026\Daily%20Sale\25-09-26\Furqan.xlsx" TargetMode="External"/><Relationship Id="rId1" Type="http://schemas.openxmlformats.org/officeDocument/2006/relationships/externalLinkPath" Target="/Users/786/Desktop/Elite-Git/Sep_2026/Daily%20Sale/25-09-26/Furq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ist Price List (2)"/>
      <sheetName val="Dist Price List"/>
      <sheetName val="Cust. Price List"/>
      <sheetName val="Summary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Customer Invoice (2)"/>
      <sheetName val="Sheet1"/>
      <sheetName val="Sheet3"/>
      <sheetName val="Sheet2"/>
    </sheetNames>
    <sheetDataSet>
      <sheetData sheetId="0"/>
      <sheetData sheetId="1"/>
      <sheetData sheetId="2">
        <row r="6">
          <cell r="D6" t="str">
            <v>CCN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0.11</v>
          </cell>
          <cell r="O6">
            <v>5.7708750000000002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0.11</v>
          </cell>
          <cell r="O7">
            <v>5.7708750000000002</v>
          </cell>
        </row>
        <row r="8">
          <cell r="D8" t="str">
            <v>BCN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0.11</v>
          </cell>
          <cell r="O8">
            <v>5.7708750000000002</v>
          </cell>
        </row>
        <row r="9">
          <cell r="D9" t="str">
            <v>CCNJ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0.11</v>
          </cell>
          <cell r="O9">
            <v>7.9904000000000002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0.11</v>
          </cell>
          <cell r="O10">
            <v>7.9904000000000002</v>
          </cell>
        </row>
        <row r="11">
          <cell r="D11" t="str">
            <v>BCNJ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0.11</v>
          </cell>
          <cell r="O11">
            <v>7.9904000000000002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0.11</v>
          </cell>
          <cell r="O12">
            <v>4.3153000000000006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0.11</v>
          </cell>
          <cell r="O13">
            <v>4.3153000000000006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0.11</v>
          </cell>
          <cell r="O14">
            <v>4.3153000000000006</v>
          </cell>
        </row>
      </sheetData>
      <sheetData sheetId="3">
        <row r="2">
          <cell r="H2" t="str">
            <v>Furqan</v>
          </cell>
        </row>
      </sheetData>
      <sheetData sheetId="4">
        <row r="4">
          <cell r="N4">
            <v>46290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3" t="s">
        <v>24</v>
      </c>
      <c r="B2" s="323"/>
      <c r="C2" s="323"/>
      <c r="D2" s="323"/>
      <c r="E2" s="323"/>
      <c r="F2" s="323"/>
      <c r="G2" s="323"/>
      <c r="H2" s="323"/>
    </row>
    <row r="3" spans="1:21" ht="18" thickBot="1" x14ac:dyDescent="0.35">
      <c r="A3" s="324" t="s">
        <v>15</v>
      </c>
      <c r="B3" s="324"/>
      <c r="C3" s="324"/>
      <c r="D3" s="324"/>
      <c r="E3" s="324"/>
      <c r="F3" s="324"/>
      <c r="G3" s="324"/>
      <c r="H3" s="324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5" t="s">
        <v>37</v>
      </c>
      <c r="P3" s="326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7" t="s">
        <v>25</v>
      </c>
      <c r="D4" s="328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1" t="s">
        <v>30</v>
      </c>
      <c r="H13" s="322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1" t="s">
        <v>30</v>
      </c>
      <c r="H26" s="322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1" t="s">
        <v>30</v>
      </c>
      <c r="H37" s="322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9"/>
      <c r="B3" s="329"/>
      <c r="C3" s="329"/>
      <c r="D3" s="329"/>
      <c r="E3" s="329"/>
      <c r="F3" s="330"/>
      <c r="G3" s="330"/>
      <c r="H3" s="330"/>
      <c r="I3" s="330"/>
      <c r="J3" s="330"/>
      <c r="K3" s="330"/>
      <c r="L3" s="330"/>
      <c r="M3" s="330"/>
      <c r="N3" s="330"/>
      <c r="O3" s="330"/>
      <c r="P3" s="330"/>
      <c r="Q3" s="330"/>
      <c r="R3" s="330"/>
      <c r="S3" s="330"/>
      <c r="T3" s="330"/>
      <c r="U3" s="330"/>
      <c r="V3" s="330"/>
      <c r="W3" s="330"/>
      <c r="X3" s="330"/>
      <c r="Y3" s="330"/>
    </row>
    <row r="4" spans="1:29" x14ac:dyDescent="0.35">
      <c r="A4" s="331" t="s">
        <v>436</v>
      </c>
      <c r="B4" s="165" t="s">
        <v>437</v>
      </c>
      <c r="C4" s="165"/>
      <c r="D4" s="333" t="s">
        <v>438</v>
      </c>
      <c r="E4" s="335" t="s">
        <v>439</v>
      </c>
      <c r="F4" s="337" t="s">
        <v>58</v>
      </c>
      <c r="G4" s="337"/>
      <c r="H4" s="338" t="s">
        <v>440</v>
      </c>
      <c r="I4" s="338"/>
      <c r="J4" s="339" t="s">
        <v>441</v>
      </c>
      <c r="K4" s="340"/>
      <c r="L4" s="339" t="s">
        <v>442</v>
      </c>
      <c r="M4" s="340"/>
      <c r="N4" s="341" t="s">
        <v>443</v>
      </c>
      <c r="O4" s="341"/>
      <c r="P4" s="339" t="s">
        <v>86</v>
      </c>
      <c r="Q4" s="340"/>
      <c r="R4" s="339" t="s">
        <v>444</v>
      </c>
      <c r="S4" s="340"/>
      <c r="T4" s="342" t="s">
        <v>445</v>
      </c>
      <c r="U4" s="342"/>
      <c r="V4" s="343" t="s">
        <v>446</v>
      </c>
      <c r="W4" s="344"/>
      <c r="X4" s="343" t="s">
        <v>447</v>
      </c>
      <c r="Y4" s="344"/>
    </row>
    <row r="5" spans="1:29" ht="26.25" customHeight="1" thickBot="1" x14ac:dyDescent="0.4">
      <c r="A5" s="332"/>
      <c r="B5" s="167" t="s">
        <v>448</v>
      </c>
      <c r="C5" s="167" t="s">
        <v>438</v>
      </c>
      <c r="D5" s="334"/>
      <c r="E5" s="336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workbookViewId="0">
      <selection activeCell="S3" sqref="S3:S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6328125" bestFit="1" customWidth="1"/>
    <col min="10" max="10" width="10.906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7.81640625" hidden="1" customWidth="1"/>
    <col min="16" max="16" width="6.6328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9" t="s">
        <v>91</v>
      </c>
      <c r="B2" s="369"/>
      <c r="C2" s="369"/>
      <c r="E2" s="356" t="s">
        <v>498</v>
      </c>
      <c r="F2" s="357"/>
      <c r="G2" s="357"/>
      <c r="H2" s="354" t="s">
        <v>513</v>
      </c>
      <c r="I2" s="354"/>
      <c r="J2" s="355"/>
      <c r="R2" s="351" t="s">
        <v>497</v>
      </c>
      <c r="S2" s="352"/>
      <c r="T2" s="353"/>
    </row>
    <row r="3" spans="1:20 16377:16378" ht="21.75" customHeight="1" thickBot="1" x14ac:dyDescent="0.4">
      <c r="A3" s="370" t="s">
        <v>92</v>
      </c>
      <c r="B3" s="370"/>
      <c r="C3" s="370"/>
      <c r="E3" s="360" t="s">
        <v>508</v>
      </c>
      <c r="F3" s="361"/>
      <c r="G3" s="361"/>
      <c r="H3" s="358">
        <v>46291</v>
      </c>
      <c r="I3" s="358"/>
      <c r="J3" s="359"/>
      <c r="K3" s="371" t="s">
        <v>43</v>
      </c>
      <c r="L3" s="371"/>
      <c r="M3" s="371"/>
      <c r="N3" s="370"/>
      <c r="O3" s="370"/>
      <c r="P3" s="370"/>
      <c r="R3" s="299">
        <v>1</v>
      </c>
      <c r="S3" s="300" t="str">
        <f>+'1'!A6:A6</f>
        <v>Swat Variety Store</v>
      </c>
      <c r="T3" s="301">
        <f>+'1'!P35</f>
        <v>3136.2115850847458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N4" s="316">
        <v>46258</v>
      </c>
      <c r="R4" s="299">
        <v>2</v>
      </c>
      <c r="S4" s="300" t="str">
        <f>+'2'!A6:A6</f>
        <v>Husnain Store</v>
      </c>
      <c r="T4" s="301">
        <f>+'2'!P35</f>
        <v>2700.6315839618646</v>
      </c>
      <c r="XEX4" t="s">
        <v>105</v>
      </c>
    </row>
    <row r="5" spans="1:20 16377:16378" ht="21.75" customHeight="1" thickBot="1" x14ac:dyDescent="0.4">
      <c r="A5" s="390" t="s">
        <v>51</v>
      </c>
      <c r="B5" s="362"/>
      <c r="C5" s="392" t="s">
        <v>90</v>
      </c>
      <c r="D5" s="115" t="s">
        <v>52</v>
      </c>
      <c r="E5" s="394" t="s">
        <v>58</v>
      </c>
      <c r="F5" s="395"/>
      <c r="G5" s="367" t="s">
        <v>54</v>
      </c>
      <c r="H5" s="368"/>
      <c r="I5" s="396" t="s">
        <v>77</v>
      </c>
      <c r="J5" s="366" t="s">
        <v>55</v>
      </c>
      <c r="K5" s="367"/>
      <c r="L5" s="368"/>
      <c r="M5" s="362" t="s">
        <v>84</v>
      </c>
      <c r="N5" s="364" t="s">
        <v>495</v>
      </c>
      <c r="O5" s="103" t="s">
        <v>89</v>
      </c>
      <c r="P5" s="115" t="s">
        <v>56</v>
      </c>
      <c r="Q5" s="314" t="s">
        <v>507</v>
      </c>
      <c r="R5" s="313">
        <v>3</v>
      </c>
      <c r="S5" s="300" t="str">
        <f>+'3'!A6:A6</f>
        <v xml:space="preserve">Friend Mart </v>
      </c>
      <c r="T5" s="301">
        <f>+'3'!P35</f>
        <v>3136.2115850847458</v>
      </c>
      <c r="XEX5" t="s">
        <v>106</v>
      </c>
    </row>
    <row r="6" spans="1:20 16377:16378" ht="21.75" customHeight="1" thickBot="1" x14ac:dyDescent="0.4">
      <c r="A6" s="391"/>
      <c r="B6" s="363"/>
      <c r="C6" s="393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5"/>
      <c r="J6" s="143" t="s">
        <v>59</v>
      </c>
      <c r="K6" s="144" t="s">
        <v>39</v>
      </c>
      <c r="L6" s="145" t="s">
        <v>493</v>
      </c>
      <c r="M6" s="363"/>
      <c r="N6" s="365"/>
      <c r="O6" s="228" t="e">
        <f>IF(#REF!="Filer",0.5%,2.5%)</f>
        <v>#REF!</v>
      </c>
      <c r="P6" s="111" t="s">
        <v>38</v>
      </c>
      <c r="Q6" s="314" t="s">
        <v>506</v>
      </c>
      <c r="R6" s="313">
        <v>4</v>
      </c>
      <c r="S6" s="300" t="str">
        <f>+'4'!A6:A6</f>
        <v>E Cart Stroe</v>
      </c>
      <c r="T6" s="301">
        <f>+'4'!P35</f>
        <v>1620.3789503771181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32</v>
      </c>
      <c r="I7" s="235">
        <f>(G7*D7)*F7+H7*F7</f>
        <v>1678.8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140.59950000000001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58.758000000000003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1479.4424999999999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317.2881355932202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8.9836531779661009</v>
      </c>
      <c r="P7" s="310">
        <f>M7+N7+O7</f>
        <v>1805.7142887711861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14</v>
      </c>
      <c r="R7" s="313">
        <v>5</v>
      </c>
      <c r="S7" s="300" t="str">
        <f>+'5'!A6:A6</f>
        <v>Fazale Kabeer</v>
      </c>
      <c r="T7" s="301">
        <f>+'5'!P35</f>
        <v>1685.7159505455511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43</v>
      </c>
      <c r="I8" s="236">
        <f t="shared" ref="I8:I14" si="0">(G8*D8)*F8+H8*F8</f>
        <v>2255.8874999999998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201.45600000000002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78.956062500000002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1975.4754374999998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426.35593220338967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12.009156848516948</v>
      </c>
      <c r="P8" s="311">
        <f t="shared" ref="P8:P15" si="2">M8+N8+O8</f>
        <v>2413.8405265519064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3">
        <v>6</v>
      </c>
      <c r="S8" s="300" t="str">
        <f>+'6'!A6:A6</f>
        <v>New Kashmir Bakerry</v>
      </c>
      <c r="T8" s="301">
        <f>+'6'!P35</f>
        <v>4050.947375942796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59</v>
      </c>
      <c r="I9" s="236">
        <f t="shared" si="0"/>
        <v>3095.2874999999999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267.55874999999997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108.33506249999999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2719.3936874999999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584.99999999999977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16.5219684375</v>
      </c>
      <c r="P9" s="311">
        <f t="shared" si="2"/>
        <v>3320.9156559375001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1</v>
      </c>
      <c r="R9" s="313">
        <v>7</v>
      </c>
      <c r="S9" s="300" t="str">
        <f>+'7'!A6:A6</f>
        <v xml:space="preserve">Pak Bakers </v>
      </c>
      <c r="T9" s="301">
        <f>+'7'!P35</f>
        <v>1254.4890811588984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93</v>
      </c>
      <c r="I10" s="236">
        <f t="shared" si="0"/>
        <v>6755.52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569.49760000000003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236.44320000000002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5949.5792000000001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1276.7796610169491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36.131794305084746</v>
      </c>
      <c r="P10" s="311">
        <f t="shared" si="2"/>
        <v>7262.4906553220335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3">
        <v>8</v>
      </c>
      <c r="S10" s="300" t="str">
        <f>+'8'!A6:A6</f>
        <v xml:space="preserve">Peer Cash N Carry </v>
      </c>
      <c r="T10" s="301">
        <f>+'8'!P35</f>
        <v>7117.4442370709739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60</v>
      </c>
      <c r="I11" s="236">
        <f t="shared" si="0"/>
        <v>4358.3999999999996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377.72800000000001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152.54400000000001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3828.1279999999997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823.72881355932213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23.25928406779661</v>
      </c>
      <c r="P11" s="311">
        <f t="shared" si="2"/>
        <v>4675.1160976271176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3">
        <v>9</v>
      </c>
      <c r="S11" s="300" t="str">
        <f>+'9'!A6:A6</f>
        <v>Shop Name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67</v>
      </c>
      <c r="I12" s="236">
        <f t="shared" si="0"/>
        <v>4866.88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418.40640000000008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170.34080000000003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4278.1328000000003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919.83050847457639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25.989816542372882</v>
      </c>
      <c r="P12" s="311">
        <f t="shared" si="2"/>
        <v>5223.9531250169493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3">
        <v>10</v>
      </c>
      <c r="S12" s="300" t="str">
        <f>+'10'!A6:A6</f>
        <v>Shop Name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00" t="str">
        <f>+'11'!A6:A6</f>
        <v>Shop Name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3">
        <v>12</v>
      </c>
      <c r="S14" s="300" t="str">
        <f>+'12'!A6:A6</f>
        <v>Shop Name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3">
        <v>13</v>
      </c>
      <c r="S15" s="300" t="str">
        <f>+'13'!A6:A6</f>
        <v>Shop Name</v>
      </c>
      <c r="T15" s="301">
        <f>+'13'!P35</f>
        <v>0</v>
      </c>
    </row>
    <row r="16" spans="1:20 16377:16378" ht="21.75" customHeight="1" thickBot="1" x14ac:dyDescent="0.4">
      <c r="A16" s="372">
        <f>COUNT(A7:A15)</f>
        <v>0</v>
      </c>
      <c r="B16" s="373"/>
      <c r="C16" s="373" t="s">
        <v>40</v>
      </c>
      <c r="D16" s="373"/>
      <c r="E16" s="373"/>
      <c r="F16" s="374"/>
      <c r="G16" s="117">
        <f>H16/40</f>
        <v>8.85</v>
      </c>
      <c r="H16" s="113">
        <f t="shared" ref="H16:M16" si="3">SUM(H7:H15)</f>
        <v>354</v>
      </c>
      <c r="I16" s="114">
        <f t="shared" si="3"/>
        <v>23010.775000000001</v>
      </c>
      <c r="J16" s="274">
        <f>SUM(J7:J15)</f>
        <v>1975.2462500000004</v>
      </c>
      <c r="K16" s="275">
        <f t="shared" si="3"/>
        <v>805.37712500000009</v>
      </c>
      <c r="L16" s="276">
        <f t="shared" si="3"/>
        <v>0</v>
      </c>
      <c r="M16" s="232">
        <f t="shared" si="3"/>
        <v>20230.151624999999</v>
      </c>
      <c r="N16" s="233">
        <f>SUM(N7:N15)</f>
        <v>4348.9830508474579</v>
      </c>
      <c r="O16" s="101">
        <f>SUM(O7:O15)</f>
        <v>122.89567337923729</v>
      </c>
      <c r="P16" s="113">
        <f>SUM(P7:P15)</f>
        <v>24702.030349226694</v>
      </c>
      <c r="Q16" s="128">
        <f>SUM(Q7:Q15)</f>
        <v>15</v>
      </c>
      <c r="R16" s="313">
        <v>14</v>
      </c>
      <c r="S16" s="315" t="str">
        <f>+'14'!A6:A6</f>
        <v>Shop Name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Shop Name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Shop Name</v>
      </c>
      <c r="T18" s="301">
        <f>+'16'!P35</f>
        <v>0</v>
      </c>
    </row>
    <row r="19" spans="1:20" ht="21.75" customHeight="1" x14ac:dyDescent="0.35">
      <c r="B19" s="375" t="s">
        <v>64</v>
      </c>
      <c r="C19" s="376"/>
      <c r="D19" s="376"/>
      <c r="E19" s="376"/>
      <c r="F19" s="376"/>
      <c r="G19" s="376"/>
      <c r="H19" s="376"/>
      <c r="I19" s="376"/>
      <c r="J19" s="376"/>
      <c r="K19" s="376"/>
      <c r="L19" s="377"/>
      <c r="N19" s="384" t="s">
        <v>60</v>
      </c>
      <c r="O19" s="385"/>
      <c r="P19" s="139">
        <f>I16</f>
        <v>23010.775000000001</v>
      </c>
      <c r="R19" s="299">
        <v>17</v>
      </c>
      <c r="S19" s="300" t="str">
        <f>+'17'!A6:A6</f>
        <v>Shop Name</v>
      </c>
      <c r="T19" s="301">
        <f>+'17'!P35</f>
        <v>0</v>
      </c>
    </row>
    <row r="20" spans="1:20" ht="21.75" customHeight="1" x14ac:dyDescent="0.35">
      <c r="B20" s="378"/>
      <c r="C20" s="379"/>
      <c r="D20" s="379"/>
      <c r="E20" s="379"/>
      <c r="F20" s="379"/>
      <c r="G20" s="379"/>
      <c r="H20" s="379"/>
      <c r="I20" s="379"/>
      <c r="J20" s="379"/>
      <c r="K20" s="379"/>
      <c r="L20" s="380"/>
      <c r="N20" s="386" t="s">
        <v>85</v>
      </c>
      <c r="O20" s="387"/>
      <c r="P20" s="140">
        <f>+J16</f>
        <v>1975.2462500000004</v>
      </c>
      <c r="R20" s="299">
        <v>18</v>
      </c>
      <c r="S20" s="300" t="str">
        <f>+'18'!A6:A6</f>
        <v>Shop Name</v>
      </c>
      <c r="T20" s="301">
        <f>+'18'!P35</f>
        <v>0</v>
      </c>
    </row>
    <row r="21" spans="1:20" ht="21.75" customHeight="1" x14ac:dyDescent="0.35">
      <c r="B21" s="378"/>
      <c r="C21" s="379"/>
      <c r="D21" s="379"/>
      <c r="E21" s="379"/>
      <c r="F21" s="379"/>
      <c r="G21" s="379"/>
      <c r="H21" s="379"/>
      <c r="I21" s="379"/>
      <c r="J21" s="379"/>
      <c r="K21" s="379"/>
      <c r="L21" s="380"/>
      <c r="N21" s="386" t="s">
        <v>86</v>
      </c>
      <c r="O21" s="387"/>
      <c r="P21" s="140">
        <f>+K16+L16</f>
        <v>805.37712500000009</v>
      </c>
      <c r="R21" s="299">
        <v>19</v>
      </c>
      <c r="S21" s="300" t="str">
        <f>+'19'!A6:A6</f>
        <v>Shop Name</v>
      </c>
      <c r="T21" s="301">
        <f>+'19'!P35</f>
        <v>0</v>
      </c>
    </row>
    <row r="22" spans="1:20" ht="21.75" customHeight="1" x14ac:dyDescent="0.35">
      <c r="B22" s="378"/>
      <c r="C22" s="379"/>
      <c r="D22" s="379"/>
      <c r="E22" s="379"/>
      <c r="F22" s="379"/>
      <c r="G22" s="379"/>
      <c r="H22" s="379"/>
      <c r="I22" s="379"/>
      <c r="J22" s="379"/>
      <c r="K22" s="379"/>
      <c r="L22" s="380"/>
      <c r="M22" s="131"/>
      <c r="N22" s="386" t="s">
        <v>87</v>
      </c>
      <c r="O22" s="387"/>
      <c r="P22" s="140">
        <f>P19-P20-P21</f>
        <v>20230.151625000002</v>
      </c>
      <c r="R22" s="299">
        <v>20</v>
      </c>
      <c r="S22" s="300" t="str">
        <f>+'20'!A6:A6</f>
        <v>Shop Name</v>
      </c>
      <c r="T22" s="301">
        <f>+'20'!P35</f>
        <v>0</v>
      </c>
    </row>
    <row r="23" spans="1:20" ht="21.75" customHeight="1" x14ac:dyDescent="0.35">
      <c r="B23" s="378"/>
      <c r="C23" s="379"/>
      <c r="D23" s="379"/>
      <c r="E23" s="379"/>
      <c r="F23" s="379"/>
      <c r="G23" s="379"/>
      <c r="H23" s="379"/>
      <c r="I23" s="379"/>
      <c r="J23" s="379"/>
      <c r="K23" s="379"/>
      <c r="L23" s="380"/>
      <c r="M23" s="131"/>
      <c r="N23" s="136" t="s">
        <v>61</v>
      </c>
      <c r="O23" s="133">
        <v>0.18</v>
      </c>
      <c r="P23" s="140">
        <f>+N16</f>
        <v>4348.9830508474579</v>
      </c>
      <c r="R23" s="299">
        <v>21</v>
      </c>
      <c r="S23" s="300" t="str">
        <f>+'21'!A6:A6</f>
        <v>Shop Name</v>
      </c>
      <c r="T23" s="301">
        <f>+'21'!P35</f>
        <v>0</v>
      </c>
    </row>
    <row r="24" spans="1:20" ht="21.75" customHeight="1" x14ac:dyDescent="0.35">
      <c r="B24" s="378"/>
      <c r="C24" s="379"/>
      <c r="D24" s="379"/>
      <c r="E24" s="379"/>
      <c r="F24" s="379"/>
      <c r="G24" s="379"/>
      <c r="H24" s="379"/>
      <c r="I24" s="379"/>
      <c r="J24" s="379"/>
      <c r="K24" s="379"/>
      <c r="L24" s="380"/>
      <c r="M24" s="131"/>
      <c r="N24" s="388" t="s">
        <v>76</v>
      </c>
      <c r="O24" s="389"/>
      <c r="P24" s="140">
        <f>P22+P23</f>
        <v>24579.134675847461</v>
      </c>
      <c r="R24" s="299">
        <v>22</v>
      </c>
      <c r="S24" s="300" t="str">
        <f>+'22'!A6:A6</f>
        <v>Shop Name</v>
      </c>
      <c r="T24" s="301">
        <f>+'22'!P35</f>
        <v>0</v>
      </c>
    </row>
    <row r="25" spans="1:20" ht="21.75" customHeight="1" thickBot="1" x14ac:dyDescent="0.4">
      <c r="B25" s="381"/>
      <c r="C25" s="382"/>
      <c r="D25" s="382"/>
      <c r="E25" s="382"/>
      <c r="F25" s="382"/>
      <c r="G25" s="382"/>
      <c r="H25" s="382"/>
      <c r="I25" s="382"/>
      <c r="J25" s="382"/>
      <c r="K25" s="382"/>
      <c r="L25" s="383"/>
      <c r="M25" s="99"/>
      <c r="N25" s="138" t="s">
        <v>83</v>
      </c>
      <c r="O25" s="137" t="e">
        <f>IF(#REF!="Filer",0.5%,2.5%)</f>
        <v>#REF!</v>
      </c>
      <c r="P25" s="140">
        <f>+O16</f>
        <v>122.89567337923729</v>
      </c>
      <c r="R25" s="299">
        <v>23</v>
      </c>
      <c r="S25" s="300" t="str">
        <f>+'23'!A6:A6</f>
        <v>Shop Name</v>
      </c>
      <c r="T25" s="301">
        <f>+'23'!P35</f>
        <v>0</v>
      </c>
    </row>
    <row r="26" spans="1:20" ht="21.75" customHeight="1" thickBot="1" x14ac:dyDescent="0.4">
      <c r="N26" s="345" t="s">
        <v>88</v>
      </c>
      <c r="O26" s="346"/>
      <c r="P26" s="297">
        <f>+P24+P25</f>
        <v>24702.030349226698</v>
      </c>
      <c r="R26" s="299">
        <v>24</v>
      </c>
      <c r="S26" s="300" t="str">
        <f>+'24'!A6:A6</f>
        <v>Shop Name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7"/>
      <c r="D27" s="347"/>
      <c r="E27" s="347"/>
      <c r="F27" s="347"/>
      <c r="G27" s="347"/>
      <c r="H27" s="347"/>
      <c r="I27" s="348"/>
      <c r="J27" s="349"/>
      <c r="K27" s="350"/>
      <c r="R27" s="299">
        <v>25</v>
      </c>
      <c r="S27" s="300" t="str">
        <f>+'25'!A6:A6</f>
        <v>Shop Name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Shop Name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Shop Name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Shop Name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Shop Name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Shop Name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24702.030349226694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4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Summary!H3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7.25" customHeight="1" x14ac:dyDescent="0.4">
      <c r="A6" s="399" t="s">
        <v>514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17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7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7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7"/>
        <v>1452.8</v>
      </c>
      <c r="J21" s="272">
        <f t="shared" si="1"/>
        <v>116.224</v>
      </c>
      <c r="K21" s="128">
        <f t="shared" si="1"/>
        <v>50.848000000000006</v>
      </c>
      <c r="L21" s="119">
        <f t="shared" si="1"/>
        <v>0</v>
      </c>
      <c r="M21" s="230">
        <f t="shared" si="2"/>
        <v>1285.7280000000001</v>
      </c>
      <c r="N21" s="277">
        <f t="shared" si="3"/>
        <v>274.57627118644069</v>
      </c>
      <c r="O21" s="239">
        <f t="shared" si="4"/>
        <v>7.8015213559322039</v>
      </c>
      <c r="P21" s="119">
        <f t="shared" si="5"/>
        <v>1568.1057925423729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" si="8">SUM(G16:G24)</f>
        <v>0</v>
      </c>
      <c r="H25" s="113">
        <f t="shared" ref="H25" si="9">SUM(H16:H24)</f>
        <v>40</v>
      </c>
      <c r="I25" s="114">
        <f t="shared" ref="I25:M25" si="10">SUM(I16:I24)</f>
        <v>2905.6</v>
      </c>
      <c r="J25" s="274">
        <f>SUM(J16:J24)</f>
        <v>232.44800000000001</v>
      </c>
      <c r="K25" s="275">
        <f t="shared" si="10"/>
        <v>101.69600000000001</v>
      </c>
      <c r="L25" s="276">
        <f t="shared" si="10"/>
        <v>0</v>
      </c>
      <c r="M25" s="232">
        <f t="shared" si="10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232.44800000000001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101.69600000000001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516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20</v>
      </c>
      <c r="I18" s="236">
        <f t="shared" si="0"/>
        <v>1049.25</v>
      </c>
      <c r="J18" s="272">
        <f t="shared" si="1"/>
        <v>83.94</v>
      </c>
      <c r="K18" s="128">
        <f t="shared" si="1"/>
        <v>36.723750000000003</v>
      </c>
      <c r="L18" s="119">
        <f t="shared" si="1"/>
        <v>0</v>
      </c>
      <c r="M18" s="230">
        <f t="shared" si="2"/>
        <v>928.58625000000006</v>
      </c>
      <c r="N18" s="277">
        <f t="shared" si="3"/>
        <v>198.30508474576263</v>
      </c>
      <c r="O18" s="239">
        <f t="shared" si="4"/>
        <v>5.6344566737288133</v>
      </c>
      <c r="P18" s="119">
        <f t="shared" si="5"/>
        <v>1132.5257914194915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116.224</v>
      </c>
      <c r="K19" s="128">
        <f t="shared" si="1"/>
        <v>50.848000000000006</v>
      </c>
      <c r="L19" s="119">
        <f t="shared" si="1"/>
        <v>0</v>
      </c>
      <c r="M19" s="230">
        <f t="shared" si="2"/>
        <v>1285.7280000000001</v>
      </c>
      <c r="N19" s="277">
        <f t="shared" si="3"/>
        <v>274.57627118644069</v>
      </c>
      <c r="O19" s="239">
        <f t="shared" si="4"/>
        <v>7.8015213559322039</v>
      </c>
      <c r="P19" s="119">
        <f t="shared" si="5"/>
        <v>1568.1057925423729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2502.0500000000002</v>
      </c>
      <c r="J25" s="274">
        <f>SUM(J16:J24)</f>
        <v>200.16399999999999</v>
      </c>
      <c r="K25" s="275">
        <f t="shared" si="7"/>
        <v>87.571750000000009</v>
      </c>
      <c r="L25" s="276">
        <f t="shared" si="7"/>
        <v>0</v>
      </c>
      <c r="M25" s="232">
        <f t="shared" si="7"/>
        <v>2214.3142500000004</v>
      </c>
      <c r="N25" s="233">
        <f>SUM(N16:N24)</f>
        <v>472.88135593220329</v>
      </c>
      <c r="O25" s="101">
        <f>SUM(O16:O24)</f>
        <v>13.435978029661017</v>
      </c>
      <c r="P25" s="234">
        <f>SUM(P16:P24)</f>
        <v>2700.6315839618646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2502.0500000000002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200.16399999999999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87.571750000000009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2214.3142500000004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472.88135593220329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2687.1956059322038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13.435978029661019</v>
      </c>
    </row>
    <row r="35" spans="2:16" ht="15.75" customHeight="1" thickBot="1" x14ac:dyDescent="0.4">
      <c r="N35" s="345" t="s">
        <v>88</v>
      </c>
      <c r="O35" s="346"/>
      <c r="P35" s="297">
        <f>+P33+P34</f>
        <v>2700.6315839618646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7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8.75" customHeight="1" x14ac:dyDescent="0.4">
      <c r="A6" s="399" t="s">
        <v>517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116.224</v>
      </c>
      <c r="K19" s="128">
        <f t="shared" si="1"/>
        <v>50.848000000000006</v>
      </c>
      <c r="L19" s="119">
        <f t="shared" si="1"/>
        <v>0</v>
      </c>
      <c r="M19" s="230">
        <f t="shared" si="2"/>
        <v>1285.7280000000001</v>
      </c>
      <c r="N19" s="277">
        <f t="shared" si="3"/>
        <v>274.57627118644069</v>
      </c>
      <c r="O19" s="239">
        <f t="shared" si="4"/>
        <v>7.8015213559322039</v>
      </c>
      <c r="P19" s="119">
        <f t="shared" si="5"/>
        <v>1568.1057925423729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40</v>
      </c>
      <c r="I25" s="114">
        <f t="shared" si="7"/>
        <v>2905.6</v>
      </c>
      <c r="J25" s="274">
        <f>SUM(J16:J24)</f>
        <v>232.44800000000001</v>
      </c>
      <c r="K25" s="275">
        <f t="shared" si="7"/>
        <v>101.69600000000001</v>
      </c>
      <c r="L25" s="276">
        <f t="shared" si="7"/>
        <v>0</v>
      </c>
      <c r="M25" s="232">
        <f t="shared" si="7"/>
        <v>2571.4560000000001</v>
      </c>
      <c r="N25" s="233">
        <f>SUM(N16:N24)</f>
        <v>549.15254237288138</v>
      </c>
      <c r="O25" s="101">
        <f>SUM(O16:O24)</f>
        <v>15.603042711864408</v>
      </c>
      <c r="P25" s="234">
        <f>SUM(P16:P24)</f>
        <v>3136.2115850847458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2905.6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232.44800000000001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101.69600000000001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2571.4560000000001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549.15254237288138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3120.6085423728814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15.603042711864408</v>
      </c>
    </row>
    <row r="35" spans="2:16" ht="15.75" customHeight="1" thickBot="1" x14ac:dyDescent="0.4">
      <c r="N35" s="345" t="s">
        <v>88</v>
      </c>
      <c r="O35" s="346"/>
      <c r="P35" s="297">
        <f>+P33+P34</f>
        <v>3136.2115850847458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518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</v>
      </c>
      <c r="I16" s="235">
        <f>(G16*D16)*F16+H16*F16</f>
        <v>209.85</v>
      </c>
      <c r="J16" s="271">
        <f>$I16*S16</f>
        <v>16.788</v>
      </c>
      <c r="K16" s="127">
        <f>$I16*T16</f>
        <v>7.3447500000000003</v>
      </c>
      <c r="L16" s="118">
        <f>$I16*U16</f>
        <v>0</v>
      </c>
      <c r="M16" s="229">
        <f>I16-SUM(J16:L16)</f>
        <v>185.71724999999998</v>
      </c>
      <c r="N16" s="248">
        <f>+(G16*D16+H16)*V16</f>
        <v>39.661016949152526</v>
      </c>
      <c r="O16" s="238">
        <f>(N16+M16)*$O$15</f>
        <v>1.1268913347457625</v>
      </c>
      <c r="P16" s="118">
        <f>M16+N16+O16</f>
        <v>226.50515828389825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</v>
      </c>
      <c r="I17" s="236">
        <f t="shared" ref="I17:I23" si="0">(G17*D17)*F17+H17*F17</f>
        <v>209.85</v>
      </c>
      <c r="J17" s="272">
        <f t="shared" ref="J17:L24" si="1">$I17*S17</f>
        <v>16.788</v>
      </c>
      <c r="K17" s="128">
        <f>$I17*T17</f>
        <v>7.3447500000000003</v>
      </c>
      <c r="L17" s="119">
        <f>$I17*U17</f>
        <v>0</v>
      </c>
      <c r="M17" s="230">
        <f t="shared" ref="M17:M24" si="2">I17-SUM(J17:L17)</f>
        <v>185.71724999999998</v>
      </c>
      <c r="N17" s="277">
        <f t="shared" ref="N17:N24" si="3">+(G17*D17+H17)*V17</f>
        <v>39.661016949152526</v>
      </c>
      <c r="O17" s="239">
        <f t="shared" ref="O17:O24" si="4">(N17+M17)*$O$15</f>
        <v>1.1268913347457625</v>
      </c>
      <c r="P17" s="119">
        <f t="shared" ref="P17:P24" si="5">M17+N17+O17</f>
        <v>226.50515828389825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</v>
      </c>
      <c r="I18" s="236">
        <f t="shared" si="0"/>
        <v>209.85</v>
      </c>
      <c r="J18" s="272">
        <f t="shared" si="1"/>
        <v>16.788</v>
      </c>
      <c r="K18" s="128">
        <f t="shared" si="1"/>
        <v>7.3447500000000003</v>
      </c>
      <c r="L18" s="119">
        <f t="shared" si="1"/>
        <v>0</v>
      </c>
      <c r="M18" s="230">
        <f t="shared" si="2"/>
        <v>185.71724999999998</v>
      </c>
      <c r="N18" s="277">
        <f t="shared" si="3"/>
        <v>39.661016949152526</v>
      </c>
      <c r="O18" s="239">
        <f t="shared" si="4"/>
        <v>1.1268913347457625</v>
      </c>
      <c r="P18" s="119">
        <f t="shared" si="5"/>
        <v>226.50515828389825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4</v>
      </c>
      <c r="I19" s="236">
        <f t="shared" si="0"/>
        <v>290.56</v>
      </c>
      <c r="J19" s="272">
        <f t="shared" si="1"/>
        <v>23.244800000000001</v>
      </c>
      <c r="K19" s="128">
        <f t="shared" si="1"/>
        <v>10.169600000000001</v>
      </c>
      <c r="L19" s="119">
        <f t="shared" si="1"/>
        <v>0</v>
      </c>
      <c r="M19" s="230">
        <f t="shared" si="2"/>
        <v>257.1456</v>
      </c>
      <c r="N19" s="277">
        <f t="shared" si="3"/>
        <v>54.915254237288138</v>
      </c>
      <c r="O19" s="239">
        <f t="shared" si="4"/>
        <v>1.5603042711864408</v>
      </c>
      <c r="P19" s="119">
        <f t="shared" si="5"/>
        <v>313.62115850847459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4</v>
      </c>
      <c r="I20" s="236">
        <f t="shared" si="0"/>
        <v>290.56</v>
      </c>
      <c r="J20" s="272">
        <f t="shared" si="1"/>
        <v>23.244800000000001</v>
      </c>
      <c r="K20" s="128">
        <f t="shared" si="1"/>
        <v>10.169600000000001</v>
      </c>
      <c r="L20" s="119">
        <f t="shared" si="1"/>
        <v>0</v>
      </c>
      <c r="M20" s="230">
        <f t="shared" si="2"/>
        <v>257.1456</v>
      </c>
      <c r="N20" s="277">
        <f t="shared" si="3"/>
        <v>54.915254237288138</v>
      </c>
      <c r="O20" s="239">
        <f t="shared" si="4"/>
        <v>1.5603042711864408</v>
      </c>
      <c r="P20" s="119">
        <f t="shared" si="5"/>
        <v>313.62115850847459</v>
      </c>
      <c r="Q20" s="319"/>
      <c r="R20">
        <f>P20/21</f>
        <v>14.934340881355933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4</v>
      </c>
      <c r="I21" s="236">
        <f t="shared" si="0"/>
        <v>290.56</v>
      </c>
      <c r="J21" s="272">
        <f t="shared" si="1"/>
        <v>23.244800000000001</v>
      </c>
      <c r="K21" s="128">
        <f t="shared" si="1"/>
        <v>10.169600000000001</v>
      </c>
      <c r="L21" s="119">
        <f t="shared" si="1"/>
        <v>0</v>
      </c>
      <c r="M21" s="230">
        <f t="shared" si="2"/>
        <v>257.1456</v>
      </c>
      <c r="N21" s="277">
        <f t="shared" si="3"/>
        <v>54.915254237288138</v>
      </c>
      <c r="O21" s="239">
        <f t="shared" si="4"/>
        <v>1.5603042711864408</v>
      </c>
      <c r="P21" s="119">
        <f t="shared" si="5"/>
        <v>313.62115850847459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24</v>
      </c>
      <c r="I25" s="114">
        <f t="shared" si="7"/>
        <v>1501.2299999999998</v>
      </c>
      <c r="J25" s="274">
        <f>SUM(J16:J24)</f>
        <v>120.0984</v>
      </c>
      <c r="K25" s="275">
        <f t="shared" si="7"/>
        <v>52.543050000000008</v>
      </c>
      <c r="L25" s="276">
        <f t="shared" si="7"/>
        <v>0</v>
      </c>
      <c r="M25" s="232">
        <f t="shared" si="7"/>
        <v>1328.5885500000002</v>
      </c>
      <c r="N25" s="233">
        <f>SUM(N16:N24)</f>
        <v>283.72881355932202</v>
      </c>
      <c r="O25" s="101">
        <f>SUM(O16:O24)</f>
        <v>8.0615868177966092</v>
      </c>
      <c r="P25" s="234">
        <f>SUM(P16:P24)</f>
        <v>1620.3789503771184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1501.2299999999998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120.0984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52.543050000000008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1328.5885499999997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283.72881355932202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1612.3173635593216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8.0615868177966075</v>
      </c>
    </row>
    <row r="35" spans="2:16" ht="15.75" customHeight="1" thickBot="1" x14ac:dyDescent="0.4">
      <c r="N35" s="345" t="s">
        <v>88</v>
      </c>
      <c r="O35" s="346"/>
      <c r="P35" s="297">
        <f>+P33+P34</f>
        <v>1620.3789503771181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4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11.36328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519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</v>
      </c>
      <c r="I16" s="235">
        <f>(G16*D16)*F16+H16*F16</f>
        <v>314.77499999999998</v>
      </c>
      <c r="J16" s="271">
        <f>$I16*S16</f>
        <v>25.181999999999999</v>
      </c>
      <c r="K16" s="127">
        <f>$I16*T16</f>
        <v>11.017125</v>
      </c>
      <c r="L16" s="118">
        <f>$I16*U16</f>
        <v>0</v>
      </c>
      <c r="M16" s="229">
        <f>I16-SUM(J16:L16)</f>
        <v>278.575875</v>
      </c>
      <c r="N16" s="248">
        <f>+(G16*D16+H16)*V16</f>
        <v>59.491525423728788</v>
      </c>
      <c r="O16" s="238">
        <f>(N16+M16)*$O$15</f>
        <v>1.6903370021186439</v>
      </c>
      <c r="P16" s="118">
        <f>M16+N16+O16</f>
        <v>339.75773742584744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</v>
      </c>
      <c r="I17" s="236">
        <f t="shared" ref="I17:I23" si="0">(G17*D17)*F17+H17*F17</f>
        <v>157.38749999999999</v>
      </c>
      <c r="J17" s="272">
        <f t="shared" ref="J17:L24" si="1">$I17*S17</f>
        <v>12.590999999999999</v>
      </c>
      <c r="K17" s="128">
        <f>$I17*T17</f>
        <v>5.5085625</v>
      </c>
      <c r="L17" s="119">
        <f>$I17*U17</f>
        <v>0</v>
      </c>
      <c r="M17" s="230">
        <f t="shared" ref="M17:M24" si="2">I17-SUM(J17:L17)</f>
        <v>139.2879375</v>
      </c>
      <c r="N17" s="277">
        <f t="shared" ref="N17:N24" si="3">+(G17*D17+H17)*V17</f>
        <v>29.745762711864394</v>
      </c>
      <c r="O17" s="239">
        <f t="shared" ref="O17:O24" si="4">(N17+M17)*$O$15</f>
        <v>0.84516850105932195</v>
      </c>
      <c r="P17" s="119">
        <f t="shared" ref="P17:P24" si="5">M17+N17+O17</f>
        <v>169.87886871292372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6</v>
      </c>
      <c r="I19" s="236">
        <f t="shared" si="0"/>
        <v>435.84000000000003</v>
      </c>
      <c r="J19" s="272">
        <f t="shared" si="1"/>
        <v>34.867200000000004</v>
      </c>
      <c r="K19" s="128">
        <f t="shared" si="1"/>
        <v>15.254400000000002</v>
      </c>
      <c r="L19" s="119">
        <f t="shared" si="1"/>
        <v>0</v>
      </c>
      <c r="M19" s="230">
        <f t="shared" si="2"/>
        <v>385.71840000000003</v>
      </c>
      <c r="N19" s="277">
        <f t="shared" si="3"/>
        <v>82.372881355932208</v>
      </c>
      <c r="O19" s="239">
        <f t="shared" si="4"/>
        <v>2.3404564067796612</v>
      </c>
      <c r="P19" s="119">
        <f t="shared" si="5"/>
        <v>470.43173776271186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6</v>
      </c>
      <c r="I20" s="236">
        <f t="shared" si="0"/>
        <v>435.84000000000003</v>
      </c>
      <c r="J20" s="272">
        <f t="shared" si="1"/>
        <v>34.867200000000004</v>
      </c>
      <c r="K20" s="128">
        <f t="shared" si="1"/>
        <v>15.254400000000002</v>
      </c>
      <c r="L20" s="119">
        <f t="shared" si="1"/>
        <v>0</v>
      </c>
      <c r="M20" s="230">
        <f t="shared" si="2"/>
        <v>385.71840000000003</v>
      </c>
      <c r="N20" s="277">
        <f t="shared" si="3"/>
        <v>82.372881355932208</v>
      </c>
      <c r="O20" s="239">
        <f t="shared" si="4"/>
        <v>2.3404564067796612</v>
      </c>
      <c r="P20" s="119">
        <f t="shared" si="5"/>
        <v>470.43173776271186</v>
      </c>
      <c r="Q20" s="319"/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3</v>
      </c>
      <c r="I21" s="236">
        <f t="shared" si="0"/>
        <v>217.92000000000002</v>
      </c>
      <c r="J21" s="272">
        <f t="shared" si="1"/>
        <v>17.433600000000002</v>
      </c>
      <c r="K21" s="128">
        <f t="shared" si="1"/>
        <v>7.6272000000000011</v>
      </c>
      <c r="L21" s="119">
        <f t="shared" si="1"/>
        <v>0</v>
      </c>
      <c r="M21" s="230">
        <f t="shared" si="2"/>
        <v>192.85920000000002</v>
      </c>
      <c r="N21" s="277">
        <f t="shared" si="3"/>
        <v>41.186440677966104</v>
      </c>
      <c r="O21" s="239">
        <f t="shared" si="4"/>
        <v>1.1702282033898306</v>
      </c>
      <c r="P21" s="119">
        <f t="shared" si="5"/>
        <v>235.21586888135593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24</v>
      </c>
      <c r="I25" s="114">
        <f t="shared" si="7"/>
        <v>1561.7625000000003</v>
      </c>
      <c r="J25" s="274">
        <f>SUM(J16:J24)</f>
        <v>124.94099999999999</v>
      </c>
      <c r="K25" s="275">
        <f t="shared" si="7"/>
        <v>54.661687500000006</v>
      </c>
      <c r="L25" s="276">
        <f t="shared" si="7"/>
        <v>0</v>
      </c>
      <c r="M25" s="232">
        <f t="shared" si="7"/>
        <v>1382.1598125</v>
      </c>
      <c r="N25" s="233">
        <f>SUM(N16:N24)</f>
        <v>295.16949152542372</v>
      </c>
      <c r="O25" s="101">
        <f>SUM(O16:O24)</f>
        <v>8.386646520127119</v>
      </c>
      <c r="P25" s="234">
        <f>SUM(P16:P24)</f>
        <v>1685.7159505455509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1561.7625000000003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124.94099999999999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54.661687500000006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1382.1598125000003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295.16949152542372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1677.3293040254239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8.386646520127119</v>
      </c>
    </row>
    <row r="35" spans="2:16" ht="15.75" customHeight="1" thickBot="1" x14ac:dyDescent="0.4">
      <c r="N35" s="345" t="s">
        <v>88</v>
      </c>
      <c r="O35" s="346"/>
      <c r="P35" s="297">
        <f>+P33+P34</f>
        <v>1685.7159505455511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6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'1'!N4:P5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520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10</v>
      </c>
      <c r="I16" s="235">
        <f>(G16*D16)*F16+H16*F16</f>
        <v>524.625</v>
      </c>
      <c r="J16" s="271">
        <f>$I16*S16</f>
        <v>41.97</v>
      </c>
      <c r="K16" s="127">
        <f>$I16*T16</f>
        <v>18.361875000000001</v>
      </c>
      <c r="L16" s="118">
        <f>$I16*U16</f>
        <v>0</v>
      </c>
      <c r="M16" s="229">
        <f>I16-SUM(J16:L16)</f>
        <v>464.29312500000003</v>
      </c>
      <c r="N16" s="248">
        <f>+(G16*D16+H16)*V16</f>
        <v>99.152542372881314</v>
      </c>
      <c r="O16" s="238">
        <f>(N16+M16)*$O$15</f>
        <v>2.8172283368644067</v>
      </c>
      <c r="P16" s="118">
        <f>M16+N16+O16</f>
        <v>566.26289570974575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10</v>
      </c>
      <c r="I17" s="236">
        <f t="shared" ref="I17:I23" si="0">(G17*D17)*F17+H17*F17</f>
        <v>524.625</v>
      </c>
      <c r="J17" s="272">
        <f t="shared" ref="J17:L24" si="1">$I17*S17</f>
        <v>41.97</v>
      </c>
      <c r="K17" s="128">
        <f>$I17*T17</f>
        <v>18.361875000000001</v>
      </c>
      <c r="L17" s="119">
        <f>$I17*U17</f>
        <v>0</v>
      </c>
      <c r="M17" s="230">
        <f t="shared" ref="M17:M24" si="2">I17-SUM(J17:L17)</f>
        <v>464.29312500000003</v>
      </c>
      <c r="N17" s="277">
        <f t="shared" ref="N17:N24" si="3">+(G17*D17+H17)*V17</f>
        <v>99.152542372881314</v>
      </c>
      <c r="O17" s="239">
        <f t="shared" ref="O17:O24" si="4">(N17+M17)*$O$15</f>
        <v>2.8172283368644067</v>
      </c>
      <c r="P17" s="119">
        <f t="shared" ref="P17:P24" si="5">M17+N17+O17</f>
        <v>566.26289570974575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10</v>
      </c>
      <c r="I18" s="236">
        <f t="shared" si="0"/>
        <v>524.625</v>
      </c>
      <c r="J18" s="272">
        <f t="shared" si="1"/>
        <v>41.97</v>
      </c>
      <c r="K18" s="128">
        <f t="shared" si="1"/>
        <v>18.361875000000001</v>
      </c>
      <c r="L18" s="119">
        <f t="shared" si="1"/>
        <v>0</v>
      </c>
      <c r="M18" s="230">
        <f t="shared" si="2"/>
        <v>464.29312500000003</v>
      </c>
      <c r="N18" s="277">
        <f t="shared" si="3"/>
        <v>99.152542372881314</v>
      </c>
      <c r="O18" s="239">
        <f t="shared" si="4"/>
        <v>2.8172283368644067</v>
      </c>
      <c r="P18" s="119">
        <f t="shared" si="5"/>
        <v>566.26289570974575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10</v>
      </c>
      <c r="I19" s="236">
        <f t="shared" si="0"/>
        <v>726.4</v>
      </c>
      <c r="J19" s="272">
        <f t="shared" si="1"/>
        <v>58.112000000000002</v>
      </c>
      <c r="K19" s="128">
        <f t="shared" si="1"/>
        <v>25.424000000000003</v>
      </c>
      <c r="L19" s="119">
        <f t="shared" si="1"/>
        <v>0</v>
      </c>
      <c r="M19" s="230">
        <f t="shared" si="2"/>
        <v>642.86400000000003</v>
      </c>
      <c r="N19" s="277">
        <f t="shared" si="3"/>
        <v>137.28813559322035</v>
      </c>
      <c r="O19" s="239">
        <f t="shared" si="4"/>
        <v>3.9007606779661019</v>
      </c>
      <c r="P19" s="119">
        <f t="shared" si="5"/>
        <v>784.05289627118646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10</v>
      </c>
      <c r="I20" s="236">
        <f t="shared" si="0"/>
        <v>726.4</v>
      </c>
      <c r="J20" s="272">
        <f t="shared" si="1"/>
        <v>58.112000000000002</v>
      </c>
      <c r="K20" s="128">
        <f t="shared" si="1"/>
        <v>25.424000000000003</v>
      </c>
      <c r="L20" s="119">
        <f t="shared" si="1"/>
        <v>0</v>
      </c>
      <c r="M20" s="230">
        <f t="shared" si="2"/>
        <v>642.86400000000003</v>
      </c>
      <c r="N20" s="277">
        <f t="shared" si="3"/>
        <v>137.28813559322035</v>
      </c>
      <c r="O20" s="239">
        <f t="shared" si="4"/>
        <v>3.9007606779661019</v>
      </c>
      <c r="P20" s="119">
        <f t="shared" si="5"/>
        <v>784.05289627118646</v>
      </c>
      <c r="Q20" s="319"/>
      <c r="R20">
        <f>P20/21</f>
        <v>37.335852203389834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10</v>
      </c>
      <c r="I21" s="236">
        <f t="shared" si="0"/>
        <v>726.4</v>
      </c>
      <c r="J21" s="272">
        <f t="shared" si="1"/>
        <v>58.112000000000002</v>
      </c>
      <c r="K21" s="128">
        <f t="shared" si="1"/>
        <v>25.424000000000003</v>
      </c>
      <c r="L21" s="119">
        <f t="shared" si="1"/>
        <v>0</v>
      </c>
      <c r="M21" s="230">
        <f t="shared" si="2"/>
        <v>642.86400000000003</v>
      </c>
      <c r="N21" s="277">
        <f t="shared" si="3"/>
        <v>137.28813559322035</v>
      </c>
      <c r="O21" s="239">
        <f t="shared" si="4"/>
        <v>3.9007606779661019</v>
      </c>
      <c r="P21" s="119">
        <f t="shared" si="5"/>
        <v>784.05289627118646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60</v>
      </c>
      <c r="I25" s="114">
        <f t="shared" si="7"/>
        <v>3753.0750000000003</v>
      </c>
      <c r="J25" s="274">
        <f>SUM(J16:J24)</f>
        <v>300.24599999999998</v>
      </c>
      <c r="K25" s="275">
        <f t="shared" si="7"/>
        <v>131.35762500000001</v>
      </c>
      <c r="L25" s="276">
        <f t="shared" si="7"/>
        <v>0</v>
      </c>
      <c r="M25" s="232">
        <f t="shared" si="7"/>
        <v>3321.4713750000001</v>
      </c>
      <c r="N25" s="233">
        <f>SUM(N16:N24)</f>
        <v>709.32203389830488</v>
      </c>
      <c r="O25" s="101">
        <f>SUM(O16:O24)</f>
        <v>20.153967044491523</v>
      </c>
      <c r="P25" s="234">
        <f>SUM(P16:P24)</f>
        <v>4050.9473759427965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3753.0750000000003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300.24599999999998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131.35762500000001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3321.4713750000001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709.32203389830488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4030.7934088983047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20.153967044491523</v>
      </c>
    </row>
    <row r="35" spans="2:16" ht="15.75" customHeight="1" thickBot="1" x14ac:dyDescent="0.4">
      <c r="N35" s="345" t="s">
        <v>88</v>
      </c>
      <c r="O35" s="346"/>
      <c r="P35" s="297">
        <f>+P33+P34</f>
        <v>4050.947375942796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521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6</v>
      </c>
      <c r="I16" s="235">
        <f>(G16*D16)*F16+H16*F16</f>
        <v>314.77499999999998</v>
      </c>
      <c r="J16" s="271">
        <f>$I16*S16</f>
        <v>25.181999999999999</v>
      </c>
      <c r="K16" s="127">
        <f>$I16*T16</f>
        <v>11.017125</v>
      </c>
      <c r="L16" s="118">
        <f>$I16*U16</f>
        <v>0</v>
      </c>
      <c r="M16" s="229">
        <f>I16-SUM(J16:L16)</f>
        <v>278.575875</v>
      </c>
      <c r="N16" s="248">
        <f>+(G16*D16+H16)*V16</f>
        <v>59.491525423728788</v>
      </c>
      <c r="O16" s="238">
        <f>(N16+M16)*$O$15</f>
        <v>1.6903370021186439</v>
      </c>
      <c r="P16" s="118">
        <f>M16+N16+O16</f>
        <v>339.75773742584744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6</v>
      </c>
      <c r="I17" s="236">
        <f t="shared" ref="I17:I23" si="0">(G17*D17)*F17+H17*F17</f>
        <v>314.77499999999998</v>
      </c>
      <c r="J17" s="272">
        <f t="shared" ref="J17:L24" si="1">$I17*S17</f>
        <v>25.181999999999999</v>
      </c>
      <c r="K17" s="128">
        <f>$I17*T17</f>
        <v>11.017125</v>
      </c>
      <c r="L17" s="119">
        <f>$I17*U17</f>
        <v>0</v>
      </c>
      <c r="M17" s="230">
        <f t="shared" ref="M17:M24" si="2">I17-SUM(J17:L17)</f>
        <v>278.575875</v>
      </c>
      <c r="N17" s="277">
        <f t="shared" ref="N17:N24" si="3">+(G17*D17+H17)*V17</f>
        <v>59.491525423728788</v>
      </c>
      <c r="O17" s="239">
        <f t="shared" ref="O17:O24" si="4">(N17+M17)*$O$15</f>
        <v>1.6903370021186439</v>
      </c>
      <c r="P17" s="119">
        <f t="shared" ref="P17:P24" si="5">M17+N17+O17</f>
        <v>339.75773742584744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6</v>
      </c>
      <c r="I18" s="236">
        <f t="shared" si="0"/>
        <v>314.77499999999998</v>
      </c>
      <c r="J18" s="272">
        <f t="shared" si="1"/>
        <v>25.181999999999999</v>
      </c>
      <c r="K18" s="128">
        <f t="shared" si="1"/>
        <v>11.017125</v>
      </c>
      <c r="L18" s="119">
        <f t="shared" si="1"/>
        <v>0</v>
      </c>
      <c r="M18" s="230">
        <f t="shared" si="2"/>
        <v>278.575875</v>
      </c>
      <c r="N18" s="277">
        <f t="shared" si="3"/>
        <v>59.491525423728788</v>
      </c>
      <c r="O18" s="239">
        <f t="shared" si="4"/>
        <v>1.6903370021186439</v>
      </c>
      <c r="P18" s="119">
        <f t="shared" si="5"/>
        <v>339.75773742584744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3</v>
      </c>
      <c r="I19" s="236">
        <f t="shared" si="0"/>
        <v>217.92000000000002</v>
      </c>
      <c r="J19" s="272">
        <f t="shared" si="1"/>
        <v>17.433600000000002</v>
      </c>
      <c r="K19" s="128">
        <f t="shared" si="1"/>
        <v>7.6272000000000011</v>
      </c>
      <c r="L19" s="119">
        <f t="shared" si="1"/>
        <v>0</v>
      </c>
      <c r="M19" s="230">
        <f t="shared" si="2"/>
        <v>192.85920000000002</v>
      </c>
      <c r="N19" s="277">
        <f t="shared" si="3"/>
        <v>41.186440677966104</v>
      </c>
      <c r="O19" s="239">
        <f t="shared" si="4"/>
        <v>1.1702282033898306</v>
      </c>
      <c r="P19" s="119">
        <f t="shared" si="5"/>
        <v>235.21586888135593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21</v>
      </c>
      <c r="I25" s="114">
        <f t="shared" si="7"/>
        <v>1162.2449999999999</v>
      </c>
      <c r="J25" s="274">
        <f>SUM(J16:J24)</f>
        <v>92.979599999999991</v>
      </c>
      <c r="K25" s="275">
        <f t="shared" si="7"/>
        <v>40.678575000000002</v>
      </c>
      <c r="L25" s="276">
        <f t="shared" si="7"/>
        <v>0</v>
      </c>
      <c r="M25" s="232">
        <f t="shared" si="7"/>
        <v>1028.5868250000001</v>
      </c>
      <c r="N25" s="233">
        <f>SUM(N16:N24)</f>
        <v>219.6610169491525</v>
      </c>
      <c r="O25" s="101">
        <f>SUM(O16:O24)</f>
        <v>6.2412392097457623</v>
      </c>
      <c r="P25" s="234">
        <f>SUM(P16:P24)</f>
        <v>1254.4890811588982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1162.2449999999999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92.979599999999991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40.678575000000002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1028.5868250000001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219.6610169491525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1248.2478419491526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6.2412392097457632</v>
      </c>
    </row>
    <row r="35" spans="2:16" ht="15.75" customHeight="1" thickBot="1" x14ac:dyDescent="0.4">
      <c r="N35" s="345" t="s">
        <v>88</v>
      </c>
      <c r="O35" s="346"/>
      <c r="P35" s="297">
        <f>+P33+P34</f>
        <v>1254.4890811588984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7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customHeight="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'[1]1'!N4:P4</f>
        <v>46290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46289</v>
      </c>
      <c r="O5" s="370"/>
      <c r="P5" s="370"/>
      <c r="R5" s="85"/>
      <c r="S5" s="266"/>
    </row>
    <row r="6" spans="1:22 16383:16384" ht="15" customHeight="1" x14ac:dyDescent="0.4">
      <c r="A6" s="399" t="s">
        <v>522</v>
      </c>
      <c r="B6" s="399"/>
      <c r="C6" s="399"/>
      <c r="F6" s="85"/>
      <c r="G6" s="86"/>
      <c r="K6" s="371" t="s">
        <v>69</v>
      </c>
      <c r="L6" s="371"/>
      <c r="M6" s="371"/>
      <c r="N6" s="400" t="str">
        <f>[1]Summary!H2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ht="14.5" customHeigh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523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ht="14.5" customHeight="1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ht="14.5" customHeight="1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ht="14.5" customHeigh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VLOOKUP($A16,'[1]Cust. Price List'!$D$6:$O$14,2,0)</f>
        <v xml:space="preserve">Meat Masala </v>
      </c>
      <c r="C16" s="105">
        <f>VLOOKUP(A16,'[1]Cust. Price List'!D6:M14,3,0)</f>
        <v>70</v>
      </c>
      <c r="D16" s="283">
        <f>VLOOKUP(A16,'[1]Cust. Price List'!D6:M14,4,0)</f>
        <v>40</v>
      </c>
      <c r="E16" s="289">
        <f>VLOOKUP(A16,'[1]Cust. Price List'!D6:M14,6,0)</f>
        <v>65</v>
      </c>
      <c r="F16" s="290">
        <f>VLOOKUP(A16,'[1]Cust. Price List'!D6:M14,10,0)</f>
        <v>52.462499999999999</v>
      </c>
      <c r="G16" s="286"/>
      <c r="H16" s="112">
        <v>6</v>
      </c>
      <c r="I16" s="235">
        <f>(G16*D16)*F16+H16*F16</f>
        <v>314.77499999999998</v>
      </c>
      <c r="J16" s="271">
        <f>$I16*S16</f>
        <v>31.477499999999999</v>
      </c>
      <c r="K16" s="127">
        <f>$I16*T16</f>
        <v>11.017125</v>
      </c>
      <c r="L16" s="118">
        <f>$I16*U16</f>
        <v>0</v>
      </c>
      <c r="M16" s="229">
        <f>I16-SUM(J16:L16)</f>
        <v>272.28037499999999</v>
      </c>
      <c r="N16" s="248">
        <f>+(G16*D16+H16)*V16</f>
        <v>59.491525423728788</v>
      </c>
      <c r="O16" s="238">
        <f>(N16+M16)*$O$15</f>
        <v>1.6588595021186439</v>
      </c>
      <c r="P16" s="118">
        <f>M16+N16+O16</f>
        <v>333.43075992584738</v>
      </c>
      <c r="Q16" s="318">
        <v>14</v>
      </c>
      <c r="S16" s="269">
        <v>0.1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VLOOKUP($A17,'[1]Cust. Price List'!$D$6:$O$14,2,0)</f>
        <v>Lemon Tarka</v>
      </c>
      <c r="C17" s="106">
        <f>VLOOKUP(B17,'[1]Cust. Price List'!E7:P15,2,0)</f>
        <v>70</v>
      </c>
      <c r="D17" s="284">
        <f>VLOOKUP(A17,'[1]Cust. Price List'!D7:M15,4,0)</f>
        <v>40</v>
      </c>
      <c r="E17" s="291">
        <f>VLOOKUP(A17,'[1]Cust. Price List'!D7:M15,6,0)</f>
        <v>65</v>
      </c>
      <c r="F17" s="292">
        <f>VLOOKUP(A17,'[1]Cust. Price List'!D7:M15,10,0)</f>
        <v>52.462499999999999</v>
      </c>
      <c r="G17" s="287"/>
      <c r="H17" s="96">
        <v>20</v>
      </c>
      <c r="I17" s="236">
        <f t="shared" ref="I17:I23" si="0">(G17*D17)*F17+H17*F17</f>
        <v>1049.25</v>
      </c>
      <c r="J17" s="272">
        <f t="shared" ref="J17:L24" si="1">$I17*S17</f>
        <v>104.92500000000001</v>
      </c>
      <c r="K17" s="128">
        <f>$I17*T17</f>
        <v>36.723750000000003</v>
      </c>
      <c r="L17" s="119">
        <f>$I17*U17</f>
        <v>0</v>
      </c>
      <c r="M17" s="230">
        <f t="shared" ref="M17:M24" si="2">I17-SUM(J17:L17)</f>
        <v>907.60124999999994</v>
      </c>
      <c r="N17" s="277">
        <f t="shared" ref="N17:N24" si="3">+(G17*D17+H17)*V17</f>
        <v>198.30508474576263</v>
      </c>
      <c r="O17" s="239">
        <f t="shared" ref="O17:O24" si="4">(N17+M17)*$O$15</f>
        <v>5.5295316737288127</v>
      </c>
      <c r="P17" s="119">
        <f t="shared" ref="P17:P24" si="5">M17+N17+O17</f>
        <v>1111.4358664194913</v>
      </c>
      <c r="Q17" s="319"/>
      <c r="S17" s="269">
        <f>+S16</f>
        <v>0.1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VLOOKUP($A18,'[1]Cust. Price List'!$D$6:$O$14,2,0)</f>
        <v>Chicken Chatkhara</v>
      </c>
      <c r="C18" s="106">
        <f>VLOOKUP(B18,'[1]Cust. Price List'!E8:P16,2,0)</f>
        <v>70</v>
      </c>
      <c r="D18" s="284">
        <f>VLOOKUP(A18,'[1]Cust. Price List'!D8:M16,4,0)</f>
        <v>40</v>
      </c>
      <c r="E18" s="291">
        <f>VLOOKUP(A18,'[1]Cust. Price List'!D8:M16,6,0)</f>
        <v>65</v>
      </c>
      <c r="F18" s="292">
        <f>VLOOKUP(A18,'[1]Cust. Price List'!D8:M16,10,0)</f>
        <v>52.462499999999999</v>
      </c>
      <c r="G18" s="287"/>
      <c r="H18" s="96">
        <v>19</v>
      </c>
      <c r="I18" s="236">
        <f t="shared" si="0"/>
        <v>996.78750000000002</v>
      </c>
      <c r="J18" s="272">
        <f t="shared" si="1"/>
        <v>99.678750000000008</v>
      </c>
      <c r="K18" s="128">
        <f t="shared" si="1"/>
        <v>34.887562500000001</v>
      </c>
      <c r="L18" s="119">
        <f t="shared" si="1"/>
        <v>0</v>
      </c>
      <c r="M18" s="230">
        <f t="shared" si="2"/>
        <v>862.22118750000004</v>
      </c>
      <c r="N18" s="277">
        <f t="shared" si="3"/>
        <v>188.38983050847449</v>
      </c>
      <c r="O18" s="239">
        <f t="shared" si="4"/>
        <v>5.2530550900423725</v>
      </c>
      <c r="P18" s="119">
        <f t="shared" si="5"/>
        <v>1055.8640730985169</v>
      </c>
      <c r="Q18" s="319">
        <v>1</v>
      </c>
      <c r="S18" s="269">
        <f>+S17</f>
        <v>0.1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VLOOKUP($A19,'[1]Cust. Price List'!$D$6:$O$14,2,0)</f>
        <v>Meat Masala (Jumbo)</v>
      </c>
      <c r="C19" s="106">
        <f>VLOOKUP(B19,'[1]Cust. Price List'!E9:P17,2,0)</f>
        <v>120</v>
      </c>
      <c r="D19" s="284">
        <f>VLOOKUP(A19,'[1]Cust. Price List'!D9:M17,4,0)</f>
        <v>40</v>
      </c>
      <c r="E19" s="291">
        <f>VLOOKUP(A19,'[1]Cust. Price List'!D9:M17,6,0)</f>
        <v>90</v>
      </c>
      <c r="F19" s="292">
        <f>VLOOKUP(A19,'[1]Cust.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145.28</v>
      </c>
      <c r="K19" s="128">
        <f t="shared" si="1"/>
        <v>50.848000000000006</v>
      </c>
      <c r="L19" s="119">
        <f t="shared" si="1"/>
        <v>0</v>
      </c>
      <c r="M19" s="230">
        <f t="shared" si="2"/>
        <v>1256.672</v>
      </c>
      <c r="N19" s="277">
        <f t="shared" si="3"/>
        <v>274.57627118644069</v>
      </c>
      <c r="O19" s="239">
        <f t="shared" si="4"/>
        <v>7.6562413559322033</v>
      </c>
      <c r="P19" s="119">
        <f t="shared" si="5"/>
        <v>1538.9045125423729</v>
      </c>
      <c r="Q19" s="319"/>
      <c r="S19" s="269">
        <f>+S18</f>
        <v>0.1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VLOOKUP($A20,'[1]Cust. Price List'!$D$6:$O$14,2,0)</f>
        <v>Lemon Tarka (Jumbo)</v>
      </c>
      <c r="C20" s="106">
        <f>VLOOKUP(B20,'[1]Cust. Price List'!E10:P18,2,0)</f>
        <v>120</v>
      </c>
      <c r="D20" s="284">
        <f>VLOOKUP(A20,'[1]Cust. Price List'!D10:M18,4,0)</f>
        <v>40</v>
      </c>
      <c r="E20" s="291">
        <f>VLOOKUP(A20,'[1]Cust. Price List'!D10:M18,6,0)</f>
        <v>90</v>
      </c>
      <c r="F20" s="292">
        <f>VLOOKUP(A20,'[1]Cust.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145.28</v>
      </c>
      <c r="K20" s="128">
        <f t="shared" si="1"/>
        <v>50.848000000000006</v>
      </c>
      <c r="L20" s="119">
        <f t="shared" si="1"/>
        <v>0</v>
      </c>
      <c r="M20" s="230">
        <f t="shared" si="2"/>
        <v>1256.672</v>
      </c>
      <c r="N20" s="277">
        <f t="shared" si="3"/>
        <v>274.57627118644069</v>
      </c>
      <c r="O20" s="239">
        <f t="shared" si="4"/>
        <v>7.6562413559322033</v>
      </c>
      <c r="P20" s="119">
        <f t="shared" si="5"/>
        <v>1538.9045125423729</v>
      </c>
      <c r="Q20" s="319"/>
      <c r="R20">
        <f>P20/21</f>
        <v>73.281167263922526</v>
      </c>
      <c r="S20" s="269">
        <f>+S19</f>
        <v>0.1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VLOOKUP($A21,'[1]Cust. Price List'!$D$6:$O$14,2,0)</f>
        <v>Chicken Chatkhara (Jumbo)</v>
      </c>
      <c r="C21" s="106">
        <f>VLOOKUP(B21,'[1]Cust. Price List'!E11:P19,2,0)</f>
        <v>120</v>
      </c>
      <c r="D21" s="284">
        <f>VLOOKUP(A21,'[1]Cust. Price List'!D11:M19,4,0)</f>
        <v>40</v>
      </c>
      <c r="E21" s="291">
        <f>VLOOKUP(A21,'[1]Cust. Price List'!D11:M19,6,0)</f>
        <v>90</v>
      </c>
      <c r="F21" s="292">
        <f>VLOOKUP(A21,'[1]Cust.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145.28</v>
      </c>
      <c r="K21" s="128">
        <f t="shared" si="1"/>
        <v>50.848000000000006</v>
      </c>
      <c r="L21" s="119">
        <f t="shared" si="1"/>
        <v>0</v>
      </c>
      <c r="M21" s="230">
        <f t="shared" si="2"/>
        <v>1256.672</v>
      </c>
      <c r="N21" s="277">
        <f t="shared" si="3"/>
        <v>274.57627118644069</v>
      </c>
      <c r="O21" s="239">
        <f t="shared" si="4"/>
        <v>7.6562413559322033</v>
      </c>
      <c r="P21" s="119">
        <f t="shared" si="5"/>
        <v>1538.9045125423729</v>
      </c>
      <c r="Q21" s="319"/>
      <c r="S21" s="269">
        <f>+S20</f>
        <v>0.1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VLOOKUP($A22,'[1]Cust. Price List'!$D$6:$O$14,2,0)</f>
        <v>Chicken Chatkhara  (ECO)</v>
      </c>
      <c r="C22" s="106">
        <f>VLOOKUP(B22,'[1]Cust. Price List'!E12:P20,2,0)</f>
        <v>60</v>
      </c>
      <c r="D22" s="284">
        <f>VLOOKUP(A22,'[1]Cust. Price List'!D12:M20,4,0)</f>
        <v>40</v>
      </c>
      <c r="E22" s="291">
        <f>VLOOKUP(A22,'[1]Cust. Price List'!D12:M20,6,0)</f>
        <v>50</v>
      </c>
      <c r="F22" s="292">
        <f>VLOOKUP(A22,'[1]Cust.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VLOOKUP($A23,'[1]Cust. Price List'!$D$6:$O$14,2,0)</f>
        <v>Lemon Tarka (ECO)</v>
      </c>
      <c r="C23" s="106">
        <f>VLOOKUP(B23,'[1]Cust. Price List'!E13:P21,2,0)</f>
        <v>60</v>
      </c>
      <c r="D23" s="284">
        <f>VLOOKUP(A23,'[1]Cust. Price List'!D13:M21,4,0)</f>
        <v>40</v>
      </c>
      <c r="E23" s="291">
        <f>VLOOKUP(A23,'[1]Cust. Price List'!D13:M21,6,0)</f>
        <v>50</v>
      </c>
      <c r="F23" s="292">
        <f>VLOOKUP(A23,'[1]Cust.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VLOOKUP($A24,'[1]Cust. Price List'!$D$6:$O$14,2,0)</f>
        <v>Meat Masala (ECO)</v>
      </c>
      <c r="C24" s="107">
        <f>VLOOKUP(B24,'[1]Cust. Price List'!E14:P22,2,0)</f>
        <v>60</v>
      </c>
      <c r="D24" s="285">
        <f>VLOOKUP(A24,'[1]Cust. Price List'!D14:M22,4,0)</f>
        <v>40</v>
      </c>
      <c r="E24" s="293">
        <f>VLOOKUP(A24,'[1]Cust. Price List'!D14:M22,6,0)</f>
        <v>50</v>
      </c>
      <c r="F24" s="294">
        <f>VLOOKUP(A24,'[1]Cust.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105</v>
      </c>
      <c r="I25" s="114">
        <f t="shared" si="7"/>
        <v>6719.2125000000005</v>
      </c>
      <c r="J25" s="274">
        <f>SUM(J16:J24)</f>
        <v>671.92124999999999</v>
      </c>
      <c r="K25" s="275">
        <f t="shared" si="7"/>
        <v>235.17243750000003</v>
      </c>
      <c r="L25" s="276">
        <f t="shared" si="7"/>
        <v>0</v>
      </c>
      <c r="M25" s="232">
        <f t="shared" si="7"/>
        <v>5812.1188125000008</v>
      </c>
      <c r="N25" s="233">
        <f>SUM(N16:N24)</f>
        <v>1269.9152542372879</v>
      </c>
      <c r="O25" s="101">
        <f>SUM(O16:O24)</f>
        <v>35.410170333686438</v>
      </c>
      <c r="P25" s="234">
        <f>SUM(P16:P24)</f>
        <v>7117.4442370709739</v>
      </c>
      <c r="Q25" s="239">
        <f>SUM(Q16:Q24)</f>
        <v>15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ht="14.5" customHeight="1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6719.2125000000005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671.92124999999999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235.17243750000003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5812.1188124999999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1269.9152542372879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7082.0340667372875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35.410170333686438</v>
      </c>
    </row>
    <row r="35" spans="2:16" ht="15.75" customHeight="1" thickBot="1" x14ac:dyDescent="0.4">
      <c r="N35" s="345" t="s">
        <v>88</v>
      </c>
      <c r="O35" s="346"/>
      <c r="P35" s="297">
        <f>+P33+P34</f>
        <v>7117.4442370709739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A943F4E2-B601-4F07-AA16-D9E64D65FDFF}">
      <formula1>$XFD$12:$XFD$17</formula1>
    </dataValidation>
    <dataValidation type="list" allowBlank="1" showInputMessage="1" showErrorMessage="1" sqref="B12" xr:uid="{743C0A99-9D8F-4FD9-A8F8-CDA7C166BD5C}">
      <formula1>$XFC$6:$XFC$7</formula1>
    </dataValidation>
    <dataValidation type="list" allowBlank="1" showInputMessage="1" showErrorMessage="1" sqref="B11" xr:uid="{ACD5C030-576B-4674-A834-7A42CE3D097A}">
      <formula1>$XFC$3:$XFC$4</formula1>
    </dataValidation>
  </dataValidations>
  <pageMargins left="0.7" right="0.7" top="0.75" bottom="0.75" header="0.3" footer="0.3"/>
  <pageSetup paperSize="9" scale="1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abSelected="1"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8.7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A9" sqref="A9:C9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726562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9" t="s">
        <v>91</v>
      </c>
      <c r="B2" s="369"/>
      <c r="C2" s="369"/>
    </row>
    <row r="3" spans="1:22 16383:16384" ht="15" customHeight="1" x14ac:dyDescent="0.35">
      <c r="A3" s="370" t="s">
        <v>92</v>
      </c>
      <c r="B3" s="370"/>
      <c r="C3" s="370"/>
      <c r="F3" s="85"/>
      <c r="G3" s="1"/>
      <c r="K3" s="371" t="s">
        <v>43</v>
      </c>
      <c r="L3" s="371"/>
      <c r="M3" s="371"/>
      <c r="N3" s="370"/>
      <c r="O3" s="370"/>
      <c r="P3" s="370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0" t="s">
        <v>499</v>
      </c>
      <c r="B4" s="370"/>
      <c r="C4" s="370"/>
      <c r="F4" s="85"/>
      <c r="G4" s="1"/>
      <c r="K4" s="371" t="s">
        <v>44</v>
      </c>
      <c r="L4" s="371"/>
      <c r="M4" s="371"/>
      <c r="N4" s="401">
        <f>'1'!N4:P4</f>
        <v>46291</v>
      </c>
      <c r="O4" s="401"/>
      <c r="P4" s="401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8" t="s">
        <v>492</v>
      </c>
      <c r="B5" s="398"/>
      <c r="C5" s="398"/>
      <c r="F5" s="85"/>
      <c r="G5" s="1"/>
      <c r="K5" s="371" t="s">
        <v>45</v>
      </c>
      <c r="L5" s="371"/>
      <c r="M5" s="371"/>
      <c r="N5" s="401">
        <f>N4-1</f>
        <v>46290</v>
      </c>
      <c r="O5" s="370"/>
      <c r="P5" s="370"/>
      <c r="R5" s="85"/>
      <c r="S5" s="266"/>
    </row>
    <row r="6" spans="1:22 16383:16384" ht="15" customHeight="1" x14ac:dyDescent="0.4">
      <c r="A6" s="399" t="s">
        <v>512</v>
      </c>
      <c r="B6" s="399"/>
      <c r="C6" s="399"/>
      <c r="F6" s="85"/>
      <c r="G6" s="86"/>
      <c r="K6" s="371" t="s">
        <v>69</v>
      </c>
      <c r="L6" s="371"/>
      <c r="M6" s="371"/>
      <c r="N6" s="400" t="str">
        <f>Summary!H2</f>
        <v>Furqan</v>
      </c>
      <c r="O6" s="400"/>
      <c r="P6" s="400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1" t="s">
        <v>73</v>
      </c>
      <c r="B7" s="371"/>
      <c r="C7" s="371"/>
      <c r="F7" s="85"/>
      <c r="G7" s="86"/>
      <c r="K7" s="371" t="s">
        <v>66</v>
      </c>
      <c r="L7" s="371"/>
      <c r="M7" s="371"/>
      <c r="N7" s="400" t="s">
        <v>505</v>
      </c>
      <c r="O7" s="400"/>
      <c r="P7" s="400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7" t="s">
        <v>515</v>
      </c>
      <c r="B8" s="397"/>
      <c r="C8" s="397"/>
      <c r="F8" s="85"/>
      <c r="G8" s="86"/>
      <c r="K8" s="371" t="s">
        <v>67</v>
      </c>
      <c r="L8" s="371"/>
      <c r="M8" s="371"/>
      <c r="N8" s="400" t="s">
        <v>505</v>
      </c>
      <c r="O8" s="400"/>
      <c r="P8" s="400"/>
      <c r="R8" s="85"/>
      <c r="S8" s="267"/>
    </row>
    <row r="9" spans="1:22 16383:16384" x14ac:dyDescent="0.35">
      <c r="A9" s="397" t="s">
        <v>96</v>
      </c>
      <c r="B9" s="397"/>
      <c r="C9" s="397"/>
      <c r="F9" s="85"/>
      <c r="G9" s="86"/>
      <c r="K9" s="371" t="s">
        <v>68</v>
      </c>
      <c r="L9" s="371"/>
      <c r="M9" s="371"/>
      <c r="N9" s="400" t="s">
        <v>104</v>
      </c>
      <c r="O9" s="400"/>
      <c r="P9" s="400"/>
      <c r="R9" s="85"/>
      <c r="S9" s="267"/>
      <c r="XFD9" t="s">
        <v>49</v>
      </c>
    </row>
    <row r="10" spans="1:22 16383:16384" x14ac:dyDescent="0.35">
      <c r="A10" s="397" t="s">
        <v>97</v>
      </c>
      <c r="B10" s="397"/>
      <c r="C10" s="397"/>
      <c r="F10" s="85"/>
      <c r="G10" s="1"/>
      <c r="K10" s="371" t="s">
        <v>46</v>
      </c>
      <c r="L10" s="371"/>
      <c r="M10" s="371"/>
      <c r="N10" s="370" t="s">
        <v>47</v>
      </c>
      <c r="O10" s="370"/>
      <c r="P10" s="370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1" t="s">
        <v>48</v>
      </c>
      <c r="L11" s="371"/>
      <c r="M11" s="371"/>
      <c r="N11" s="400" t="s">
        <v>49</v>
      </c>
      <c r="O11" s="400"/>
      <c r="P11" s="400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1" t="s">
        <v>50</v>
      </c>
      <c r="L12" s="371"/>
      <c r="M12" s="371"/>
      <c r="N12" s="370"/>
      <c r="O12" s="370"/>
      <c r="P12" s="370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0" t="s">
        <v>51</v>
      </c>
      <c r="B14" s="362"/>
      <c r="C14" s="392" t="s">
        <v>90</v>
      </c>
      <c r="D14" s="115" t="s">
        <v>52</v>
      </c>
      <c r="E14" s="394" t="s">
        <v>58</v>
      </c>
      <c r="F14" s="395"/>
      <c r="G14" s="367" t="s">
        <v>54</v>
      </c>
      <c r="H14" s="368"/>
      <c r="I14" s="396" t="s">
        <v>77</v>
      </c>
      <c r="J14" s="366" t="s">
        <v>55</v>
      </c>
      <c r="K14" s="367"/>
      <c r="L14" s="368"/>
      <c r="M14" s="362" t="s">
        <v>84</v>
      </c>
      <c r="N14" s="364" t="s">
        <v>495</v>
      </c>
      <c r="O14" s="103" t="s">
        <v>89</v>
      </c>
      <c r="P14" s="89" t="s">
        <v>56</v>
      </c>
      <c r="Q14" s="320" t="s">
        <v>507</v>
      </c>
      <c r="XFD14" t="s">
        <v>106</v>
      </c>
    </row>
    <row r="15" spans="1:22 16383:16384" ht="20.5" thickBot="1" x14ac:dyDescent="0.4">
      <c r="A15" s="391"/>
      <c r="B15" s="363"/>
      <c r="C15" s="393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5"/>
      <c r="J15" s="143" t="s">
        <v>59</v>
      </c>
      <c r="K15" s="144" t="s">
        <v>39</v>
      </c>
      <c r="L15" s="145" t="s">
        <v>493</v>
      </c>
      <c r="M15" s="363"/>
      <c r="N15" s="365"/>
      <c r="O15" s="228">
        <f>IF(B11="Filer",0.5%,2.5%)</f>
        <v>5.0000000000000001E-3</v>
      </c>
      <c r="P15" s="91" t="s">
        <v>38</v>
      </c>
      <c r="Q15" s="320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118">
        <f>M16+N16+O16</f>
        <v>0</v>
      </c>
      <c r="Q16" s="318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119">
        <f t="shared" ref="P17:P24" si="5">M17+N17+O17</f>
        <v>0</v>
      </c>
      <c r="Q17" s="319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119">
        <f t="shared" si="5"/>
        <v>0</v>
      </c>
      <c r="Q18" s="319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119">
        <f t="shared" si="5"/>
        <v>0</v>
      </c>
      <c r="Q19" s="319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119">
        <f t="shared" si="5"/>
        <v>0</v>
      </c>
      <c r="Q20" s="319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119">
        <f t="shared" si="5"/>
        <v>0</v>
      </c>
      <c r="Q21" s="319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119">
        <f t="shared" si="5"/>
        <v>0</v>
      </c>
      <c r="Q22" s="319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119">
        <f t="shared" si="5"/>
        <v>0</v>
      </c>
      <c r="Q23" s="319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120">
        <f t="shared" si="5"/>
        <v>0</v>
      </c>
      <c r="Q24" s="319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234">
        <f>SUM(P16:P24)</f>
        <v>0</v>
      </c>
      <c r="Q25" s="239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6"/>
      <c r="L28" s="377"/>
      <c r="N28" s="384" t="s">
        <v>60</v>
      </c>
      <c r="O28" s="385"/>
      <c r="P28" s="139">
        <f>I25</f>
        <v>0</v>
      </c>
    </row>
    <row r="29" spans="1:22 16384:16384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79"/>
      <c r="L29" s="380"/>
      <c r="N29" s="386" t="s">
        <v>85</v>
      </c>
      <c r="O29" s="387"/>
      <c r="P29" s="140">
        <f>+J25</f>
        <v>0</v>
      </c>
    </row>
    <row r="30" spans="1:22 16384:16384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79"/>
      <c r="L30" s="380"/>
      <c r="N30" s="386" t="s">
        <v>86</v>
      </c>
      <c r="O30" s="387"/>
      <c r="P30" s="140">
        <f>+K25+L25</f>
        <v>0</v>
      </c>
    </row>
    <row r="31" spans="1:22 16384:16384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79"/>
      <c r="L31" s="380"/>
      <c r="M31" s="131"/>
      <c r="N31" s="386" t="s">
        <v>87</v>
      </c>
      <c r="O31" s="387"/>
      <c r="P31" s="140">
        <f>P28-P29-P30</f>
        <v>0</v>
      </c>
    </row>
    <row r="32" spans="1:22 16384:16384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79"/>
      <c r="L32" s="380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79"/>
      <c r="L33" s="380"/>
      <c r="M33" s="131"/>
      <c r="N33" s="388" t="s">
        <v>76</v>
      </c>
      <c r="O33" s="389"/>
      <c r="P33" s="140">
        <f>P31+P32</f>
        <v>0</v>
      </c>
    </row>
    <row r="34" spans="2:16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2"/>
      <c r="L34" s="383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5" t="s">
        <v>88</v>
      </c>
      <c r="O35" s="346"/>
      <c r="P35" s="297">
        <f>+P33+P34</f>
        <v>0</v>
      </c>
    </row>
    <row r="36" spans="2:16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349"/>
      <c r="K36" s="350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9" t="s">
        <v>91</v>
      </c>
      <c r="B2" s="369"/>
      <c r="C2" s="369"/>
    </row>
    <row r="3" spans="1:18 16382:16383" ht="15" customHeight="1" x14ac:dyDescent="0.35">
      <c r="A3" s="370" t="s">
        <v>92</v>
      </c>
      <c r="B3" s="370"/>
      <c r="C3" s="370"/>
      <c r="F3" s="85"/>
      <c r="G3" s="1"/>
      <c r="J3" s="371" t="s">
        <v>43</v>
      </c>
      <c r="K3" s="371"/>
      <c r="L3" s="371"/>
      <c r="M3" s="370"/>
      <c r="N3" s="370"/>
      <c r="O3" s="370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0" t="s">
        <v>65</v>
      </c>
      <c r="B4" s="370"/>
      <c r="C4" s="370"/>
      <c r="F4" s="85"/>
      <c r="G4" s="1"/>
      <c r="J4" s="371" t="s">
        <v>44</v>
      </c>
      <c r="K4" s="371"/>
      <c r="L4" s="371"/>
      <c r="M4" s="401">
        <f ca="1">TODAY()+1</f>
        <v>46296</v>
      </c>
      <c r="N4" s="401"/>
      <c r="O4" s="401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8" t="s">
        <v>93</v>
      </c>
      <c r="B5" s="398"/>
      <c r="C5" s="398"/>
      <c r="F5" s="85"/>
      <c r="G5" s="1"/>
      <c r="J5" s="371" t="s">
        <v>45</v>
      </c>
      <c r="K5" s="371"/>
      <c r="L5" s="371"/>
      <c r="M5" s="401">
        <f ca="1">M4-1</f>
        <v>46295</v>
      </c>
      <c r="N5" s="370"/>
      <c r="O5" s="370"/>
      <c r="Q5" s="85"/>
      <c r="R5" s="1"/>
    </row>
    <row r="6" spans="1:18 16382:16383" ht="15" customHeight="1" x14ac:dyDescent="0.35">
      <c r="A6" s="371" t="s">
        <v>94</v>
      </c>
      <c r="B6" s="371"/>
      <c r="C6" s="371"/>
      <c r="F6" s="85"/>
      <c r="G6" s="86"/>
      <c r="J6" s="371" t="s">
        <v>69</v>
      </c>
      <c r="K6" s="371"/>
      <c r="L6" s="371"/>
      <c r="M6" s="400" t="s">
        <v>62</v>
      </c>
      <c r="N6" s="400"/>
      <c r="O6" s="400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1" t="s">
        <v>73</v>
      </c>
      <c r="B7" s="371"/>
      <c r="C7" s="371"/>
      <c r="F7" s="85"/>
      <c r="G7" s="86"/>
      <c r="J7" s="371" t="s">
        <v>66</v>
      </c>
      <c r="K7" s="371"/>
      <c r="L7" s="371"/>
      <c r="M7" s="400" t="s">
        <v>70</v>
      </c>
      <c r="N7" s="400"/>
      <c r="O7" s="400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7" t="s">
        <v>95</v>
      </c>
      <c r="B8" s="397"/>
      <c r="C8" s="397"/>
      <c r="F8" s="85"/>
      <c r="G8" s="86"/>
      <c r="J8" s="371" t="s">
        <v>67</v>
      </c>
      <c r="K8" s="371"/>
      <c r="L8" s="371"/>
      <c r="M8" s="400" t="s">
        <v>71</v>
      </c>
      <c r="N8" s="400"/>
      <c r="O8" s="400"/>
      <c r="Q8" s="85"/>
      <c r="R8" s="86"/>
    </row>
    <row r="9" spans="1:18 16382:16383" x14ac:dyDescent="0.35">
      <c r="A9" s="397" t="s">
        <v>96</v>
      </c>
      <c r="B9" s="397"/>
      <c r="C9" s="397"/>
      <c r="F9" s="85"/>
      <c r="G9" s="86"/>
      <c r="J9" s="371" t="s">
        <v>68</v>
      </c>
      <c r="K9" s="371"/>
      <c r="L9" s="371"/>
      <c r="M9" s="400" t="s">
        <v>104</v>
      </c>
      <c r="N9" s="400"/>
      <c r="O9" s="400"/>
      <c r="Q9" s="85"/>
      <c r="R9" s="86"/>
      <c r="XFC9" t="s">
        <v>49</v>
      </c>
    </row>
    <row r="10" spans="1:18 16382:16383" x14ac:dyDescent="0.35">
      <c r="A10" s="397" t="s">
        <v>97</v>
      </c>
      <c r="B10" s="397"/>
      <c r="C10" s="397"/>
      <c r="F10" s="85"/>
      <c r="G10" s="1"/>
      <c r="J10" s="371" t="s">
        <v>46</v>
      </c>
      <c r="K10" s="371"/>
      <c r="L10" s="371"/>
      <c r="M10" s="370" t="s">
        <v>47</v>
      </c>
      <c r="N10" s="370"/>
      <c r="O10" s="370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1" t="s">
        <v>48</v>
      </c>
      <c r="K11" s="371"/>
      <c r="L11" s="371"/>
      <c r="M11" s="370" t="s">
        <v>49</v>
      </c>
      <c r="N11" s="370"/>
      <c r="O11" s="370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1" t="s">
        <v>50</v>
      </c>
      <c r="K12" s="371"/>
      <c r="L12" s="371"/>
      <c r="M12" s="370"/>
      <c r="N12" s="370"/>
      <c r="O12" s="370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0" t="s">
        <v>51</v>
      </c>
      <c r="B14" s="362"/>
      <c r="C14" s="392" t="s">
        <v>90</v>
      </c>
      <c r="D14" s="88" t="s">
        <v>52</v>
      </c>
      <c r="E14" s="95" t="s">
        <v>74</v>
      </c>
      <c r="F14" s="115" t="s">
        <v>53</v>
      </c>
      <c r="G14" s="366" t="s">
        <v>54</v>
      </c>
      <c r="H14" s="368"/>
      <c r="I14" s="396" t="s">
        <v>77</v>
      </c>
      <c r="J14" s="367" t="s">
        <v>55</v>
      </c>
      <c r="K14" s="368"/>
      <c r="L14" s="396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1"/>
      <c r="B15" s="363"/>
      <c r="C15" s="393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5"/>
      <c r="J15" s="144" t="s">
        <v>39</v>
      </c>
      <c r="K15" s="145" t="s">
        <v>59</v>
      </c>
      <c r="L15" s="365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2">
        <f>COUNT(A16:A24)</f>
        <v>0</v>
      </c>
      <c r="B25" s="373"/>
      <c r="C25" s="373" t="s">
        <v>40</v>
      </c>
      <c r="D25" s="373"/>
      <c r="E25" s="373"/>
      <c r="F25" s="374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5" t="s">
        <v>64</v>
      </c>
      <c r="C28" s="376"/>
      <c r="D28" s="376"/>
      <c r="E28" s="376"/>
      <c r="F28" s="376"/>
      <c r="G28" s="376"/>
      <c r="H28" s="376"/>
      <c r="I28" s="376"/>
      <c r="J28" s="376"/>
      <c r="K28" s="377"/>
      <c r="M28" s="384" t="s">
        <v>60</v>
      </c>
      <c r="N28" s="385"/>
      <c r="O28" s="139">
        <f>I25</f>
        <v>1452.8</v>
      </c>
    </row>
    <row r="29" spans="1:18 16383:16383" ht="15" customHeight="1" x14ac:dyDescent="0.35">
      <c r="B29" s="378"/>
      <c r="C29" s="379"/>
      <c r="D29" s="379"/>
      <c r="E29" s="379"/>
      <c r="F29" s="379"/>
      <c r="G29" s="379"/>
      <c r="H29" s="379"/>
      <c r="I29" s="379"/>
      <c r="J29" s="379"/>
      <c r="K29" s="380"/>
      <c r="M29" s="386" t="s">
        <v>85</v>
      </c>
      <c r="N29" s="387"/>
      <c r="O29" s="140">
        <f>K25</f>
        <v>0</v>
      </c>
    </row>
    <row r="30" spans="1:18 16383:16383" ht="15" customHeight="1" x14ac:dyDescent="0.35">
      <c r="B30" s="378"/>
      <c r="C30" s="379"/>
      <c r="D30" s="379"/>
      <c r="E30" s="379"/>
      <c r="F30" s="379"/>
      <c r="G30" s="379"/>
      <c r="H30" s="379"/>
      <c r="I30" s="379"/>
      <c r="J30" s="379"/>
      <c r="K30" s="380"/>
      <c r="M30" s="386" t="s">
        <v>86</v>
      </c>
      <c r="N30" s="387"/>
      <c r="O30" s="140">
        <f>J25</f>
        <v>50.848000000000006</v>
      </c>
    </row>
    <row r="31" spans="1:18 16383:16383" ht="15" customHeight="1" x14ac:dyDescent="0.35">
      <c r="B31" s="378"/>
      <c r="C31" s="379"/>
      <c r="D31" s="379"/>
      <c r="E31" s="379"/>
      <c r="F31" s="379"/>
      <c r="G31" s="379"/>
      <c r="H31" s="379"/>
      <c r="I31" s="379"/>
      <c r="J31" s="379"/>
      <c r="K31" s="380"/>
      <c r="L31" s="131"/>
      <c r="M31" s="386" t="s">
        <v>87</v>
      </c>
      <c r="N31" s="387"/>
      <c r="O31" s="140">
        <f>O28-O29-O30</f>
        <v>1401.952</v>
      </c>
    </row>
    <row r="32" spans="1:18 16383:16383" ht="15" customHeight="1" x14ac:dyDescent="0.35">
      <c r="B32" s="378"/>
      <c r="C32" s="379"/>
      <c r="D32" s="379"/>
      <c r="E32" s="379"/>
      <c r="F32" s="379"/>
      <c r="G32" s="379"/>
      <c r="H32" s="379"/>
      <c r="I32" s="379"/>
      <c r="J32" s="379"/>
      <c r="K32" s="380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8"/>
      <c r="C33" s="379"/>
      <c r="D33" s="379"/>
      <c r="E33" s="379"/>
      <c r="F33" s="379"/>
      <c r="G33" s="379"/>
      <c r="H33" s="379"/>
      <c r="I33" s="379"/>
      <c r="J33" s="379"/>
      <c r="K33" s="380"/>
      <c r="L33" s="131"/>
      <c r="M33" s="388" t="s">
        <v>76</v>
      </c>
      <c r="N33" s="389"/>
      <c r="O33" s="140">
        <f>O31+O32</f>
        <v>1710.3814400000001</v>
      </c>
    </row>
    <row r="34" spans="2:15" ht="15" customHeight="1" thickBot="1" x14ac:dyDescent="0.4">
      <c r="B34" s="381"/>
      <c r="C34" s="382"/>
      <c r="D34" s="382"/>
      <c r="E34" s="382"/>
      <c r="F34" s="382"/>
      <c r="G34" s="382"/>
      <c r="H34" s="382"/>
      <c r="I34" s="382"/>
      <c r="J34" s="382"/>
      <c r="K34" s="383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5" t="s">
        <v>88</v>
      </c>
      <c r="N35" s="346"/>
      <c r="O35" s="141">
        <f>O28-O29+O31+O34</f>
        <v>2897.511536</v>
      </c>
    </row>
    <row r="36" spans="2:15" ht="15" thickBot="1" x14ac:dyDescent="0.4">
      <c r="B36" s="121" t="s">
        <v>63</v>
      </c>
      <c r="C36" s="347"/>
      <c r="D36" s="347"/>
      <c r="E36" s="347"/>
      <c r="F36" s="347"/>
      <c r="G36" s="347"/>
      <c r="H36" s="347"/>
      <c r="I36" s="348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7" t="s">
        <v>438</v>
      </c>
      <c r="D1" s="404" t="s">
        <v>439</v>
      </c>
      <c r="E1" s="337" t="s">
        <v>58</v>
      </c>
      <c r="F1" s="337"/>
      <c r="G1" s="338" t="s">
        <v>440</v>
      </c>
      <c r="H1" s="338"/>
      <c r="I1" s="411" t="s">
        <v>441</v>
      </c>
      <c r="J1" s="411"/>
      <c r="K1" s="411" t="s">
        <v>442</v>
      </c>
      <c r="L1" s="411"/>
      <c r="M1" s="406" t="s">
        <v>484</v>
      </c>
      <c r="N1" s="407"/>
      <c r="O1" s="408"/>
    </row>
    <row r="2" spans="3:24" ht="29" x14ac:dyDescent="0.35">
      <c r="C2" s="337"/>
      <c r="D2" s="404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9" t="s">
        <v>476</v>
      </c>
      <c r="D6" s="409"/>
      <c r="E6" s="409"/>
      <c r="F6" s="409"/>
      <c r="G6" s="409"/>
      <c r="T6" s="257" t="s">
        <v>487</v>
      </c>
      <c r="U6" s="257" t="s">
        <v>488</v>
      </c>
    </row>
    <row r="7" spans="3:24" ht="14.5" customHeight="1" x14ac:dyDescent="0.35">
      <c r="C7" s="332" t="s">
        <v>438</v>
      </c>
      <c r="D7" s="336" t="s">
        <v>439</v>
      </c>
      <c r="E7" s="405" t="s">
        <v>58</v>
      </c>
      <c r="F7" s="405"/>
      <c r="G7" s="403" t="s">
        <v>440</v>
      </c>
      <c r="H7" s="338"/>
      <c r="I7" s="339" t="s">
        <v>441</v>
      </c>
      <c r="J7" s="340"/>
      <c r="K7" s="339" t="s">
        <v>442</v>
      </c>
      <c r="L7" s="340"/>
      <c r="M7" s="406" t="s">
        <v>484</v>
      </c>
      <c r="N7" s="407"/>
      <c r="O7" s="408"/>
      <c r="P7" s="256" t="s">
        <v>475</v>
      </c>
      <c r="Q7" s="242" t="s">
        <v>473</v>
      </c>
      <c r="R7" s="404" t="s">
        <v>475</v>
      </c>
      <c r="S7" s="404" t="s">
        <v>485</v>
      </c>
      <c r="T7" s="402" t="s">
        <v>486</v>
      </c>
      <c r="U7" s="402" t="s">
        <v>486</v>
      </c>
    </row>
    <row r="8" spans="3:24" ht="15" customHeight="1" thickBot="1" x14ac:dyDescent="0.4">
      <c r="C8" s="334"/>
      <c r="D8" s="336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4"/>
      <c r="S8" s="404"/>
      <c r="T8" s="403"/>
      <c r="U8" s="403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0" t="s">
        <v>477</v>
      </c>
      <c r="D12" s="410"/>
      <c r="E12" s="410"/>
      <c r="F12" s="410"/>
      <c r="G12" s="410"/>
    </row>
    <row r="13" spans="3:24" x14ac:dyDescent="0.35">
      <c r="C13" s="333" t="s">
        <v>438</v>
      </c>
      <c r="D13" s="335" t="s">
        <v>439</v>
      </c>
      <c r="E13" s="337" t="s">
        <v>58</v>
      </c>
      <c r="F13" s="337"/>
      <c r="G13" s="338" t="s">
        <v>440</v>
      </c>
      <c r="H13" s="338"/>
      <c r="I13" s="339" t="s">
        <v>441</v>
      </c>
      <c r="J13" s="340"/>
      <c r="K13" s="339" t="s">
        <v>442</v>
      </c>
      <c r="L13" s="340"/>
      <c r="M13" s="406" t="s">
        <v>484</v>
      </c>
      <c r="N13" s="407"/>
      <c r="O13" s="408"/>
      <c r="P13" s="256" t="s">
        <v>475</v>
      </c>
      <c r="Q13" s="242" t="s">
        <v>473</v>
      </c>
      <c r="R13" s="404" t="s">
        <v>475</v>
      </c>
      <c r="S13" s="404" t="s">
        <v>485</v>
      </c>
      <c r="T13" s="402" t="s">
        <v>486</v>
      </c>
      <c r="U13" s="402" t="s">
        <v>486</v>
      </c>
    </row>
    <row r="14" spans="3:24" ht="29.5" thickBot="1" x14ac:dyDescent="0.4">
      <c r="C14" s="334"/>
      <c r="D14" s="336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4"/>
      <c r="S14" s="404"/>
      <c r="T14" s="403"/>
      <c r="U14" s="403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9" t="s">
        <v>478</v>
      </c>
      <c r="D19" s="409"/>
      <c r="E19" s="409"/>
      <c r="F19" s="409"/>
      <c r="G19" s="409"/>
    </row>
    <row r="20" spans="3:21" x14ac:dyDescent="0.35">
      <c r="C20" s="333" t="s">
        <v>438</v>
      </c>
      <c r="D20" s="335" t="s">
        <v>439</v>
      </c>
      <c r="E20" s="337" t="s">
        <v>58</v>
      </c>
      <c r="F20" s="337"/>
      <c r="G20" s="338" t="s">
        <v>440</v>
      </c>
      <c r="H20" s="338"/>
      <c r="I20" s="339" t="s">
        <v>441</v>
      </c>
      <c r="J20" s="340"/>
      <c r="K20" s="339" t="s">
        <v>442</v>
      </c>
      <c r="L20" s="340"/>
      <c r="M20" s="406" t="s">
        <v>484</v>
      </c>
      <c r="N20" s="407"/>
      <c r="O20" s="408"/>
      <c r="P20" s="256" t="s">
        <v>475</v>
      </c>
      <c r="Q20" s="242" t="s">
        <v>473</v>
      </c>
      <c r="R20" s="404" t="s">
        <v>475</v>
      </c>
      <c r="S20" s="404" t="s">
        <v>485</v>
      </c>
      <c r="T20" s="402" t="s">
        <v>486</v>
      </c>
      <c r="U20" s="402" t="s">
        <v>486</v>
      </c>
    </row>
    <row r="21" spans="3:21" ht="29.5" thickBot="1" x14ac:dyDescent="0.4">
      <c r="C21" s="334"/>
      <c r="D21" s="336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4"/>
      <c r="S21" s="404"/>
      <c r="T21" s="403"/>
      <c r="U21" s="403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9" t="s">
        <v>479</v>
      </c>
      <c r="D26" s="409"/>
      <c r="E26" s="409"/>
      <c r="F26" s="409"/>
      <c r="G26" s="409"/>
    </row>
    <row r="27" spans="3:21" x14ac:dyDescent="0.35">
      <c r="C27" s="333" t="s">
        <v>438</v>
      </c>
      <c r="D27" s="335" t="s">
        <v>439</v>
      </c>
      <c r="E27" s="337" t="s">
        <v>58</v>
      </c>
      <c r="F27" s="337"/>
      <c r="G27" s="338" t="s">
        <v>440</v>
      </c>
      <c r="H27" s="338"/>
      <c r="I27" s="339" t="s">
        <v>441</v>
      </c>
      <c r="J27" s="340"/>
      <c r="K27" s="339" t="s">
        <v>442</v>
      </c>
      <c r="L27" s="340"/>
      <c r="M27" s="406" t="s">
        <v>484</v>
      </c>
      <c r="N27" s="407"/>
      <c r="O27" s="408"/>
      <c r="P27" s="256" t="s">
        <v>475</v>
      </c>
      <c r="Q27" s="242" t="s">
        <v>473</v>
      </c>
      <c r="R27" s="404" t="s">
        <v>475</v>
      </c>
      <c r="S27" s="404" t="s">
        <v>485</v>
      </c>
      <c r="T27" s="402" t="s">
        <v>486</v>
      </c>
      <c r="U27" s="402" t="s">
        <v>486</v>
      </c>
    </row>
    <row r="28" spans="3:21" ht="29.5" thickBot="1" x14ac:dyDescent="0.4">
      <c r="C28" s="334"/>
      <c r="D28" s="336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4"/>
      <c r="S28" s="404"/>
      <c r="T28" s="403"/>
      <c r="U28" s="403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7" t="s">
        <v>438</v>
      </c>
      <c r="C1" s="404" t="s">
        <v>439</v>
      </c>
      <c r="D1" s="337" t="s">
        <v>58</v>
      </c>
      <c r="E1" s="337"/>
      <c r="F1" s="338" t="s">
        <v>440</v>
      </c>
      <c r="G1" s="338"/>
      <c r="H1" s="411" t="s">
        <v>441</v>
      </c>
      <c r="I1" s="411"/>
      <c r="J1" s="411" t="s">
        <v>442</v>
      </c>
      <c r="K1" s="411"/>
      <c r="L1" s="406" t="s">
        <v>484</v>
      </c>
      <c r="M1" s="407"/>
      <c r="N1" s="408"/>
    </row>
    <row r="2" spans="2:17" ht="29" x14ac:dyDescent="0.35">
      <c r="B2" s="337"/>
      <c r="C2" s="404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4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2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2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2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2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2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2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2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2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2"/>
      <c r="G14" s="154" t="s">
        <v>135</v>
      </c>
      <c r="H14" s="152" t="s">
        <v>101</v>
      </c>
    </row>
    <row r="15" spans="1:8" x14ac:dyDescent="0.35">
      <c r="E15" s="153" t="s">
        <v>130</v>
      </c>
      <c r="F15" s="412"/>
      <c r="G15" s="154" t="s">
        <v>136</v>
      </c>
      <c r="H15" s="152" t="s">
        <v>102</v>
      </c>
    </row>
    <row r="16" spans="1:8" x14ac:dyDescent="0.35">
      <c r="E16" s="153" t="s">
        <v>130</v>
      </c>
      <c r="F16" s="412"/>
      <c r="G16" s="151" t="s">
        <v>137</v>
      </c>
      <c r="H16" s="152" t="s">
        <v>103</v>
      </c>
    </row>
    <row r="17" spans="5:8" x14ac:dyDescent="0.35">
      <c r="E17" s="153" t="s">
        <v>138</v>
      </c>
      <c r="F17" s="412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2"/>
      <c r="G18" s="156" t="s">
        <v>141</v>
      </c>
      <c r="H18" s="152" t="s">
        <v>100</v>
      </c>
    </row>
    <row r="19" spans="5:8" x14ac:dyDescent="0.35">
      <c r="E19" s="153" t="s">
        <v>138</v>
      </c>
      <c r="F19" s="412"/>
      <c r="G19" s="156" t="s">
        <v>142</v>
      </c>
      <c r="H19" s="152" t="s">
        <v>98</v>
      </c>
    </row>
    <row r="20" spans="5:8" x14ac:dyDescent="0.35">
      <c r="E20" s="153" t="s">
        <v>138</v>
      </c>
      <c r="F20" s="412"/>
      <c r="G20" s="155" t="s">
        <v>143</v>
      </c>
      <c r="H20" s="152" t="s">
        <v>101</v>
      </c>
    </row>
    <row r="21" spans="5:8" x14ac:dyDescent="0.35">
      <c r="E21" s="153" t="s">
        <v>138</v>
      </c>
      <c r="F21" s="412"/>
      <c r="G21" s="155" t="s">
        <v>144</v>
      </c>
      <c r="H21" s="152" t="s">
        <v>102</v>
      </c>
    </row>
    <row r="22" spans="5:8" x14ac:dyDescent="0.35">
      <c r="E22" s="153" t="s">
        <v>138</v>
      </c>
      <c r="F22" s="412"/>
      <c r="G22" s="155" t="s">
        <v>145</v>
      </c>
      <c r="H22" s="152" t="s">
        <v>103</v>
      </c>
    </row>
    <row r="23" spans="5:8" x14ac:dyDescent="0.35">
      <c r="E23" s="153" t="s">
        <v>146</v>
      </c>
      <c r="F23" s="412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2"/>
      <c r="G24" s="155" t="s">
        <v>147</v>
      </c>
      <c r="H24" s="152" t="s">
        <v>100</v>
      </c>
    </row>
    <row r="25" spans="5:8" x14ac:dyDescent="0.35">
      <c r="E25" s="153" t="s">
        <v>146</v>
      </c>
      <c r="F25" s="412"/>
      <c r="G25" s="155" t="s">
        <v>149</v>
      </c>
      <c r="H25" s="152" t="s">
        <v>98</v>
      </c>
    </row>
    <row r="26" spans="5:8" x14ac:dyDescent="0.35">
      <c r="E26" s="153" t="s">
        <v>146</v>
      </c>
      <c r="F26" s="412"/>
      <c r="G26" s="155" t="s">
        <v>150</v>
      </c>
      <c r="H26" s="152" t="s">
        <v>101</v>
      </c>
    </row>
    <row r="27" spans="5:8" x14ac:dyDescent="0.35">
      <c r="E27" s="153" t="s">
        <v>146</v>
      </c>
      <c r="F27" s="412"/>
      <c r="G27" s="155" t="s">
        <v>151</v>
      </c>
      <c r="H27" s="152" t="s">
        <v>102</v>
      </c>
    </row>
    <row r="28" spans="5:8" x14ac:dyDescent="0.35">
      <c r="E28" s="153" t="s">
        <v>146</v>
      </c>
      <c r="F28" s="412"/>
      <c r="G28" s="155" t="s">
        <v>152</v>
      </c>
      <c r="H28" s="152" t="s">
        <v>103</v>
      </c>
    </row>
    <row r="29" spans="5:8" x14ac:dyDescent="0.35">
      <c r="E29" s="153" t="s">
        <v>153</v>
      </c>
      <c r="F29" s="412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2"/>
      <c r="G30" s="155" t="s">
        <v>156</v>
      </c>
      <c r="H30" s="152" t="s">
        <v>100</v>
      </c>
    </row>
    <row r="31" spans="5:8" x14ac:dyDescent="0.35">
      <c r="E31" s="153" t="s">
        <v>153</v>
      </c>
      <c r="F31" s="412"/>
      <c r="G31" s="155" t="s">
        <v>157</v>
      </c>
      <c r="H31" s="152" t="s">
        <v>98</v>
      </c>
    </row>
    <row r="32" spans="5:8" x14ac:dyDescent="0.35">
      <c r="E32" s="153" t="s">
        <v>153</v>
      </c>
      <c r="F32" s="412"/>
      <c r="G32" s="155" t="s">
        <v>158</v>
      </c>
      <c r="H32" s="152" t="s">
        <v>101</v>
      </c>
    </row>
    <row r="33" spans="5:8" x14ac:dyDescent="0.35">
      <c r="E33" s="153" t="s">
        <v>153</v>
      </c>
      <c r="F33" s="412"/>
      <c r="G33" s="155" t="s">
        <v>159</v>
      </c>
      <c r="H33" s="152" t="s">
        <v>102</v>
      </c>
    </row>
    <row r="34" spans="5:8" x14ac:dyDescent="0.35">
      <c r="E34" s="153" t="s">
        <v>153</v>
      </c>
      <c r="F34" s="412"/>
      <c r="G34" s="155" t="s">
        <v>160</v>
      </c>
      <c r="H34" s="152" t="s">
        <v>103</v>
      </c>
    </row>
    <row r="35" spans="5:8" x14ac:dyDescent="0.35">
      <c r="E35" s="153" t="s">
        <v>161</v>
      </c>
      <c r="F35" s="412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2"/>
      <c r="G36" s="154" t="s">
        <v>163</v>
      </c>
      <c r="H36" s="152" t="s">
        <v>100</v>
      </c>
    </row>
    <row r="37" spans="5:8" x14ac:dyDescent="0.35">
      <c r="E37" s="153" t="s">
        <v>161</v>
      </c>
      <c r="F37" s="412"/>
      <c r="G37" s="154" t="s">
        <v>164</v>
      </c>
      <c r="H37" s="152" t="s">
        <v>98</v>
      </c>
    </row>
    <row r="38" spans="5:8" x14ac:dyDescent="0.35">
      <c r="E38" s="153" t="s">
        <v>161</v>
      </c>
      <c r="F38" s="412"/>
      <c r="G38" s="154" t="s">
        <v>165</v>
      </c>
      <c r="H38" s="152" t="s">
        <v>101</v>
      </c>
    </row>
    <row r="39" spans="5:8" x14ac:dyDescent="0.35">
      <c r="E39" s="153" t="s">
        <v>161</v>
      </c>
      <c r="F39" s="412"/>
      <c r="G39" s="158" t="s">
        <v>166</v>
      </c>
      <c r="H39" s="152" t="s">
        <v>102</v>
      </c>
    </row>
    <row r="40" spans="5:8" x14ac:dyDescent="0.35">
      <c r="E40" s="153" t="s">
        <v>161</v>
      </c>
      <c r="F40" s="412"/>
      <c r="G40" s="154" t="s">
        <v>167</v>
      </c>
      <c r="H40" s="152" t="s">
        <v>103</v>
      </c>
    </row>
    <row r="41" spans="5:8" x14ac:dyDescent="0.35">
      <c r="E41" s="153" t="s">
        <v>168</v>
      </c>
      <c r="F41" s="412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2"/>
      <c r="G42" s="154" t="s">
        <v>171</v>
      </c>
      <c r="H42" s="152" t="s">
        <v>100</v>
      </c>
    </row>
    <row r="43" spans="5:8" x14ac:dyDescent="0.35">
      <c r="E43" s="153" t="s">
        <v>168</v>
      </c>
      <c r="F43" s="412"/>
      <c r="G43" s="154" t="s">
        <v>172</v>
      </c>
      <c r="H43" s="152" t="s">
        <v>98</v>
      </c>
    </row>
    <row r="44" spans="5:8" x14ac:dyDescent="0.35">
      <c r="E44" s="153" t="s">
        <v>168</v>
      </c>
      <c r="F44" s="412"/>
      <c r="G44" s="154" t="s">
        <v>173</v>
      </c>
      <c r="H44" s="152" t="s">
        <v>101</v>
      </c>
    </row>
    <row r="45" spans="5:8" x14ac:dyDescent="0.35">
      <c r="E45" s="153" t="s">
        <v>168</v>
      </c>
      <c r="F45" s="412"/>
      <c r="G45" s="154" t="s">
        <v>174</v>
      </c>
      <c r="H45" s="152" t="s">
        <v>102</v>
      </c>
    </row>
    <row r="46" spans="5:8" x14ac:dyDescent="0.35">
      <c r="E46" s="153" t="s">
        <v>168</v>
      </c>
      <c r="F46" s="412"/>
      <c r="G46" s="154" t="s">
        <v>175</v>
      </c>
      <c r="H46" s="152" t="s">
        <v>103</v>
      </c>
    </row>
    <row r="47" spans="5:8" x14ac:dyDescent="0.35">
      <c r="E47" s="153" t="s">
        <v>176</v>
      </c>
      <c r="F47" s="412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2"/>
      <c r="G48" s="154" t="s">
        <v>179</v>
      </c>
      <c r="H48" s="152" t="s">
        <v>100</v>
      </c>
    </row>
    <row r="49" spans="5:8" x14ac:dyDescent="0.35">
      <c r="E49" s="153" t="s">
        <v>176</v>
      </c>
      <c r="F49" s="412"/>
      <c r="G49" s="154" t="s">
        <v>180</v>
      </c>
      <c r="H49" s="152" t="s">
        <v>98</v>
      </c>
    </row>
    <row r="50" spans="5:8" x14ac:dyDescent="0.35">
      <c r="E50" s="153" t="s">
        <v>176</v>
      </c>
      <c r="F50" s="412"/>
      <c r="G50" s="154" t="s">
        <v>181</v>
      </c>
      <c r="H50" s="152" t="s">
        <v>101</v>
      </c>
    </row>
    <row r="51" spans="5:8" x14ac:dyDescent="0.35">
      <c r="E51" s="153" t="s">
        <v>176</v>
      </c>
      <c r="F51" s="412"/>
      <c r="G51" s="154" t="s">
        <v>182</v>
      </c>
      <c r="H51" s="152" t="s">
        <v>102</v>
      </c>
    </row>
    <row r="52" spans="5:8" x14ac:dyDescent="0.35">
      <c r="E52" s="153" t="s">
        <v>176</v>
      </c>
      <c r="F52" s="412"/>
      <c r="G52" s="158" t="s">
        <v>183</v>
      </c>
      <c r="H52" s="152" t="s">
        <v>103</v>
      </c>
    </row>
    <row r="53" spans="5:8" x14ac:dyDescent="0.35">
      <c r="E53" s="153" t="s">
        <v>184</v>
      </c>
      <c r="F53" s="412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2"/>
      <c r="G54" s="154" t="s">
        <v>187</v>
      </c>
      <c r="H54" s="152" t="s">
        <v>100</v>
      </c>
    </row>
    <row r="55" spans="5:8" x14ac:dyDescent="0.35">
      <c r="E55" s="153" t="s">
        <v>184</v>
      </c>
      <c r="F55" s="412"/>
      <c r="G55" s="154" t="s">
        <v>188</v>
      </c>
      <c r="H55" s="152" t="s">
        <v>98</v>
      </c>
    </row>
    <row r="56" spans="5:8" x14ac:dyDescent="0.35">
      <c r="E56" s="153" t="s">
        <v>184</v>
      </c>
      <c r="F56" s="412"/>
      <c r="G56" s="154" t="s">
        <v>189</v>
      </c>
      <c r="H56" s="152" t="s">
        <v>101</v>
      </c>
    </row>
    <row r="57" spans="5:8" x14ac:dyDescent="0.35">
      <c r="E57" s="153" t="s">
        <v>184</v>
      </c>
      <c r="F57" s="412"/>
      <c r="G57" s="154" t="s">
        <v>190</v>
      </c>
      <c r="H57" s="152" t="s">
        <v>102</v>
      </c>
    </row>
    <row r="58" spans="5:8" x14ac:dyDescent="0.35">
      <c r="E58" s="153" t="s">
        <v>184</v>
      </c>
      <c r="F58" s="412"/>
      <c r="G58" s="158" t="s">
        <v>191</v>
      </c>
      <c r="H58" s="152" t="s">
        <v>103</v>
      </c>
    </row>
    <row r="59" spans="5:8" x14ac:dyDescent="0.35">
      <c r="E59" s="159" t="s">
        <v>192</v>
      </c>
      <c r="F59" s="413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3"/>
      <c r="G60" s="160" t="s">
        <v>195</v>
      </c>
      <c r="H60" s="161" t="s">
        <v>100</v>
      </c>
    </row>
    <row r="61" spans="5:8" x14ac:dyDescent="0.35">
      <c r="E61" s="159" t="s">
        <v>192</v>
      </c>
      <c r="F61" s="413"/>
      <c r="G61" s="160" t="s">
        <v>196</v>
      </c>
      <c r="H61" s="161" t="s">
        <v>98</v>
      </c>
    </row>
    <row r="62" spans="5:8" x14ac:dyDescent="0.35">
      <c r="E62" s="159" t="s">
        <v>192</v>
      </c>
      <c r="F62" s="413"/>
      <c r="G62" s="160" t="s">
        <v>197</v>
      </c>
      <c r="H62" s="161" t="s">
        <v>101</v>
      </c>
    </row>
    <row r="63" spans="5:8" x14ac:dyDescent="0.35">
      <c r="E63" s="159" t="s">
        <v>192</v>
      </c>
      <c r="F63" s="413"/>
      <c r="G63" s="160" t="s">
        <v>198</v>
      </c>
      <c r="H63" s="161" t="s">
        <v>102</v>
      </c>
    </row>
    <row r="64" spans="5:8" x14ac:dyDescent="0.35">
      <c r="E64" s="159" t="s">
        <v>192</v>
      </c>
      <c r="F64" s="413"/>
      <c r="G64" s="162" t="s">
        <v>199</v>
      </c>
      <c r="H64" s="161" t="s">
        <v>103</v>
      </c>
    </row>
    <row r="65" spans="5:8" x14ac:dyDescent="0.35">
      <c r="E65" s="148" t="s">
        <v>200</v>
      </c>
      <c r="F65" s="412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2"/>
      <c r="G66" s="151" t="s">
        <v>203</v>
      </c>
      <c r="H66" s="152" t="s">
        <v>100</v>
      </c>
    </row>
    <row r="67" spans="5:8" x14ac:dyDescent="0.35">
      <c r="E67" s="148" t="s">
        <v>200</v>
      </c>
      <c r="F67" s="412"/>
      <c r="G67" s="151" t="s">
        <v>204</v>
      </c>
      <c r="H67" s="152" t="s">
        <v>98</v>
      </c>
    </row>
    <row r="68" spans="5:8" x14ac:dyDescent="0.35">
      <c r="E68" s="148" t="s">
        <v>200</v>
      </c>
      <c r="F68" s="412"/>
      <c r="G68" s="151" t="s">
        <v>201</v>
      </c>
      <c r="H68" s="152" t="s">
        <v>101</v>
      </c>
    </row>
    <row r="69" spans="5:8" x14ac:dyDescent="0.35">
      <c r="E69" s="148" t="s">
        <v>200</v>
      </c>
      <c r="F69" s="412"/>
      <c r="G69" s="151" t="s">
        <v>205</v>
      </c>
      <c r="H69" s="152" t="s">
        <v>102</v>
      </c>
    </row>
    <row r="70" spans="5:8" x14ac:dyDescent="0.35">
      <c r="E70" s="148" t="s">
        <v>200</v>
      </c>
      <c r="F70" s="412"/>
      <c r="G70" s="151" t="s">
        <v>206</v>
      </c>
      <c r="H70" s="152" t="s">
        <v>103</v>
      </c>
    </row>
    <row r="71" spans="5:8" x14ac:dyDescent="0.35">
      <c r="E71" s="153" t="s">
        <v>207</v>
      </c>
      <c r="F71" s="412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2"/>
      <c r="G72" s="154" t="s">
        <v>210</v>
      </c>
      <c r="H72" s="152" t="s">
        <v>100</v>
      </c>
    </row>
    <row r="73" spans="5:8" x14ac:dyDescent="0.35">
      <c r="E73" s="153" t="s">
        <v>207</v>
      </c>
      <c r="F73" s="412"/>
      <c r="G73" s="154" t="s">
        <v>211</v>
      </c>
      <c r="H73" s="152" t="s">
        <v>98</v>
      </c>
    </row>
    <row r="74" spans="5:8" x14ac:dyDescent="0.35">
      <c r="E74" s="153" t="s">
        <v>207</v>
      </c>
      <c r="F74" s="412"/>
      <c r="G74" s="154" t="s">
        <v>212</v>
      </c>
      <c r="H74" s="152" t="s">
        <v>101</v>
      </c>
    </row>
    <row r="75" spans="5:8" x14ac:dyDescent="0.35">
      <c r="E75" s="153" t="s">
        <v>207</v>
      </c>
      <c r="F75" s="412"/>
      <c r="G75" s="154" t="s">
        <v>213</v>
      </c>
      <c r="H75" s="152" t="s">
        <v>102</v>
      </c>
    </row>
    <row r="76" spans="5:8" x14ac:dyDescent="0.35">
      <c r="E76" s="153" t="s">
        <v>207</v>
      </c>
      <c r="F76" s="412"/>
      <c r="G76" s="151" t="s">
        <v>214</v>
      </c>
      <c r="H76" s="152" t="s">
        <v>103</v>
      </c>
    </row>
    <row r="77" spans="5:8" x14ac:dyDescent="0.35">
      <c r="E77" s="153" t="s">
        <v>215</v>
      </c>
      <c r="F77" s="412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2"/>
      <c r="G78" s="154" t="s">
        <v>218</v>
      </c>
      <c r="H78" s="152" t="s">
        <v>100</v>
      </c>
    </row>
    <row r="79" spans="5:8" x14ac:dyDescent="0.35">
      <c r="E79" s="153" t="s">
        <v>215</v>
      </c>
      <c r="F79" s="412"/>
      <c r="G79" s="154" t="s">
        <v>219</v>
      </c>
      <c r="H79" s="152" t="s">
        <v>98</v>
      </c>
    </row>
    <row r="80" spans="5:8" x14ac:dyDescent="0.35">
      <c r="E80" s="153" t="s">
        <v>215</v>
      </c>
      <c r="F80" s="412"/>
      <c r="G80" s="154" t="s">
        <v>220</v>
      </c>
      <c r="H80" s="152" t="s">
        <v>101</v>
      </c>
    </row>
    <row r="81" spans="5:8" x14ac:dyDescent="0.35">
      <c r="E81" s="153" t="s">
        <v>215</v>
      </c>
      <c r="F81" s="412"/>
      <c r="G81" s="154" t="s">
        <v>221</v>
      </c>
      <c r="H81" s="152" t="s">
        <v>102</v>
      </c>
    </row>
    <row r="82" spans="5:8" x14ac:dyDescent="0.35">
      <c r="E82" s="153" t="s">
        <v>215</v>
      </c>
      <c r="F82" s="412"/>
      <c r="G82" s="151" t="s">
        <v>222</v>
      </c>
      <c r="H82" s="152" t="s">
        <v>103</v>
      </c>
    </row>
    <row r="83" spans="5:8" x14ac:dyDescent="0.35">
      <c r="E83" s="153" t="s">
        <v>223</v>
      </c>
      <c r="F83" s="412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2"/>
      <c r="G84" s="154" t="s">
        <v>226</v>
      </c>
      <c r="H84" s="152" t="s">
        <v>100</v>
      </c>
    </row>
    <row r="85" spans="5:8" x14ac:dyDescent="0.35">
      <c r="E85" s="153" t="s">
        <v>223</v>
      </c>
      <c r="F85" s="412"/>
      <c r="G85" s="154" t="s">
        <v>227</v>
      </c>
      <c r="H85" s="152" t="s">
        <v>98</v>
      </c>
    </row>
    <row r="86" spans="5:8" x14ac:dyDescent="0.35">
      <c r="E86" s="153" t="s">
        <v>223</v>
      </c>
      <c r="F86" s="412"/>
      <c r="G86" s="154" t="s">
        <v>228</v>
      </c>
      <c r="H86" s="152" t="s">
        <v>101</v>
      </c>
    </row>
    <row r="87" spans="5:8" x14ac:dyDescent="0.35">
      <c r="E87" s="153" t="s">
        <v>223</v>
      </c>
      <c r="F87" s="412"/>
      <c r="G87" s="154" t="s">
        <v>229</v>
      </c>
      <c r="H87" s="152" t="s">
        <v>102</v>
      </c>
    </row>
    <row r="88" spans="5:8" x14ac:dyDescent="0.35">
      <c r="E88" s="153" t="s">
        <v>223</v>
      </c>
      <c r="F88" s="412"/>
      <c r="G88" s="151" t="s">
        <v>230</v>
      </c>
      <c r="H88" s="152" t="s">
        <v>103</v>
      </c>
    </row>
    <row r="89" spans="5:8" x14ac:dyDescent="0.35">
      <c r="E89" s="153" t="s">
        <v>231</v>
      </c>
      <c r="F89" s="412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2"/>
      <c r="G90" s="154" t="s">
        <v>234</v>
      </c>
      <c r="H90" s="152" t="s">
        <v>100</v>
      </c>
    </row>
    <row r="91" spans="5:8" x14ac:dyDescent="0.35">
      <c r="E91" s="153" t="s">
        <v>231</v>
      </c>
      <c r="F91" s="412"/>
      <c r="G91" s="154" t="s">
        <v>235</v>
      </c>
      <c r="H91" s="152" t="s">
        <v>98</v>
      </c>
    </row>
    <row r="92" spans="5:8" x14ac:dyDescent="0.35">
      <c r="E92" s="153" t="s">
        <v>231</v>
      </c>
      <c r="F92" s="412"/>
      <c r="G92" s="154" t="s">
        <v>236</v>
      </c>
      <c r="H92" s="152" t="s">
        <v>101</v>
      </c>
    </row>
    <row r="93" spans="5:8" x14ac:dyDescent="0.35">
      <c r="E93" s="153" t="s">
        <v>231</v>
      </c>
      <c r="F93" s="412"/>
      <c r="G93" s="154" t="s">
        <v>232</v>
      </c>
      <c r="H93" s="152" t="s">
        <v>102</v>
      </c>
    </row>
    <row r="94" spans="5:8" x14ac:dyDescent="0.35">
      <c r="E94" s="153" t="s">
        <v>231</v>
      </c>
      <c r="F94" s="412"/>
      <c r="G94" s="158" t="s">
        <v>237</v>
      </c>
      <c r="H94" s="152" t="s">
        <v>103</v>
      </c>
    </row>
    <row r="95" spans="5:8" x14ac:dyDescent="0.35">
      <c r="E95" s="153" t="s">
        <v>238</v>
      </c>
      <c r="F95" s="412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2"/>
      <c r="G96" s="154" t="s">
        <v>241</v>
      </c>
      <c r="H96" s="152" t="s">
        <v>100</v>
      </c>
    </row>
    <row r="97" spans="5:8" x14ac:dyDescent="0.35">
      <c r="E97" s="153" t="s">
        <v>238</v>
      </c>
      <c r="F97" s="412"/>
      <c r="G97" s="154" t="s">
        <v>242</v>
      </c>
      <c r="H97" s="152" t="s">
        <v>98</v>
      </c>
    </row>
    <row r="98" spans="5:8" x14ac:dyDescent="0.35">
      <c r="E98" s="153" t="s">
        <v>238</v>
      </c>
      <c r="F98" s="412"/>
      <c r="G98" s="154" t="s">
        <v>243</v>
      </c>
      <c r="H98" s="152" t="s">
        <v>101</v>
      </c>
    </row>
    <row r="99" spans="5:8" x14ac:dyDescent="0.35">
      <c r="E99" s="153" t="s">
        <v>238</v>
      </c>
      <c r="F99" s="412"/>
      <c r="G99" s="158" t="s">
        <v>244</v>
      </c>
      <c r="H99" s="152" t="s">
        <v>102</v>
      </c>
    </row>
    <row r="100" spans="5:8" x14ac:dyDescent="0.35">
      <c r="E100" s="153" t="s">
        <v>238</v>
      </c>
      <c r="F100" s="412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2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2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2"/>
      <c r="G103" s="154" t="s">
        <v>249</v>
      </c>
      <c r="H103" s="152" t="s">
        <v>98</v>
      </c>
    </row>
    <row r="104" spans="5:8" x14ac:dyDescent="0.35">
      <c r="E104" s="153" t="s">
        <v>246</v>
      </c>
      <c r="F104" s="412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2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2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2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2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2"/>
      <c r="G109" s="154" t="s">
        <v>257</v>
      </c>
      <c r="H109" s="152" t="s">
        <v>98</v>
      </c>
    </row>
    <row r="110" spans="5:8" x14ac:dyDescent="0.35">
      <c r="E110" s="153" t="s">
        <v>253</v>
      </c>
      <c r="F110" s="412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2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2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2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2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2"/>
      <c r="G115" s="154" t="s">
        <v>265</v>
      </c>
      <c r="H115" s="152" t="s">
        <v>98</v>
      </c>
    </row>
    <row r="116" spans="5:8" x14ac:dyDescent="0.35">
      <c r="E116" s="153" t="s">
        <v>261</v>
      </c>
      <c r="F116" s="412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2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2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3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3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3"/>
      <c r="G121" s="160" t="s">
        <v>273</v>
      </c>
      <c r="H121" s="161" t="s">
        <v>98</v>
      </c>
    </row>
    <row r="122" spans="5:8" x14ac:dyDescent="0.35">
      <c r="E122" s="159" t="s">
        <v>269</v>
      </c>
      <c r="F122" s="413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3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3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2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2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2"/>
      <c r="G127" s="151" t="s">
        <v>282</v>
      </c>
      <c r="H127" s="152" t="s">
        <v>98</v>
      </c>
    </row>
    <row r="128" spans="5:8" x14ac:dyDescent="0.35">
      <c r="E128" s="148" t="s">
        <v>277</v>
      </c>
      <c r="F128" s="412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2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2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2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2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2"/>
      <c r="G133" s="154" t="s">
        <v>290</v>
      </c>
      <c r="H133" s="152" t="s">
        <v>98</v>
      </c>
    </row>
    <row r="134" spans="5:8" x14ac:dyDescent="0.35">
      <c r="E134" s="153" t="s">
        <v>289</v>
      </c>
      <c r="F134" s="412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2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2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2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2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2"/>
      <c r="G139" s="154" t="s">
        <v>299</v>
      </c>
      <c r="H139" s="152" t="s">
        <v>98</v>
      </c>
    </row>
    <row r="140" spans="5:8" x14ac:dyDescent="0.35">
      <c r="E140" s="153" t="s">
        <v>297</v>
      </c>
      <c r="F140" s="412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2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2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2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2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2"/>
      <c r="G145" s="154" t="s">
        <v>307</v>
      </c>
      <c r="H145" s="152" t="s">
        <v>98</v>
      </c>
    </row>
    <row r="146" spans="5:8" x14ac:dyDescent="0.35">
      <c r="E146" s="153" t="s">
        <v>303</v>
      </c>
      <c r="F146" s="412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2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2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2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2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2"/>
      <c r="G151" s="154" t="s">
        <v>316</v>
      </c>
      <c r="H151" s="152" t="s">
        <v>98</v>
      </c>
    </row>
    <row r="152" spans="5:8" x14ac:dyDescent="0.35">
      <c r="E152" s="153" t="s">
        <v>315</v>
      </c>
      <c r="F152" s="412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2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2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2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2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2"/>
      <c r="G157" s="154" t="s">
        <v>325</v>
      </c>
      <c r="H157" s="152" t="s">
        <v>98</v>
      </c>
    </row>
    <row r="158" spans="5:8" x14ac:dyDescent="0.35">
      <c r="E158" s="153" t="s">
        <v>320</v>
      </c>
      <c r="F158" s="412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2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2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2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2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2"/>
      <c r="G163" s="154" t="s">
        <v>333</v>
      </c>
      <c r="H163" s="152" t="s">
        <v>98</v>
      </c>
    </row>
    <row r="164" spans="5:8" x14ac:dyDescent="0.35">
      <c r="E164" s="153" t="s">
        <v>328</v>
      </c>
      <c r="F164" s="412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2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2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2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2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2"/>
      <c r="G169" s="154" t="s">
        <v>340</v>
      </c>
      <c r="H169" s="152" t="s">
        <v>98</v>
      </c>
    </row>
    <row r="170" spans="5:8" x14ac:dyDescent="0.35">
      <c r="E170" s="153" t="s">
        <v>338</v>
      </c>
      <c r="F170" s="412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2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2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2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2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2"/>
      <c r="G175" s="154" t="s">
        <v>348</v>
      </c>
      <c r="H175" s="152" t="s">
        <v>98</v>
      </c>
    </row>
    <row r="176" spans="5:8" x14ac:dyDescent="0.35">
      <c r="E176" s="153" t="s">
        <v>344</v>
      </c>
      <c r="F176" s="412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2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2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2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2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2"/>
      <c r="G181" s="154" t="s">
        <v>356</v>
      </c>
      <c r="H181" s="152" t="s">
        <v>98</v>
      </c>
    </row>
    <row r="182" spans="5:8" x14ac:dyDescent="0.35">
      <c r="E182" s="156" t="s">
        <v>352</v>
      </c>
      <c r="F182" s="412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2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2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2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2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2"/>
      <c r="G187" s="151" t="s">
        <v>364</v>
      </c>
      <c r="H187" s="152" t="s">
        <v>98</v>
      </c>
    </row>
    <row r="188" spans="5:8" x14ac:dyDescent="0.35">
      <c r="E188" s="148" t="s">
        <v>360</v>
      </c>
      <c r="F188" s="412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2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2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2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2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2"/>
      <c r="G193" s="154" t="s">
        <v>371</v>
      </c>
      <c r="H193" s="152" t="s">
        <v>98</v>
      </c>
    </row>
    <row r="194" spans="5:8" x14ac:dyDescent="0.35">
      <c r="E194" s="153" t="s">
        <v>368</v>
      </c>
      <c r="F194" s="412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2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2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2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2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2"/>
      <c r="G199" s="154" t="s">
        <v>379</v>
      </c>
      <c r="H199" s="152" t="s">
        <v>98</v>
      </c>
    </row>
    <row r="200" spans="5:8" x14ac:dyDescent="0.35">
      <c r="E200" s="153" t="s">
        <v>375</v>
      </c>
      <c r="F200" s="412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2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2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2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2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2"/>
      <c r="G205" s="154" t="s">
        <v>384</v>
      </c>
      <c r="H205" s="152" t="s">
        <v>98</v>
      </c>
    </row>
    <row r="206" spans="5:8" x14ac:dyDescent="0.35">
      <c r="E206" s="153" t="s">
        <v>383</v>
      </c>
      <c r="F206" s="412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2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2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2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2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2"/>
      <c r="G211" s="154" t="s">
        <v>394</v>
      </c>
      <c r="H211" s="152" t="s">
        <v>98</v>
      </c>
    </row>
    <row r="212" spans="5:8" x14ac:dyDescent="0.35">
      <c r="E212" s="153" t="s">
        <v>390</v>
      </c>
      <c r="F212" s="412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2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2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2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2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2"/>
      <c r="G217" s="154" t="s">
        <v>399</v>
      </c>
      <c r="H217" s="152" t="s">
        <v>98</v>
      </c>
    </row>
    <row r="218" spans="5:8" x14ac:dyDescent="0.35">
      <c r="E218" s="153" t="s">
        <v>398</v>
      </c>
      <c r="F218" s="412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2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2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2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2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2"/>
      <c r="G223" s="154" t="s">
        <v>409</v>
      </c>
      <c r="H223" s="152" t="s">
        <v>98</v>
      </c>
    </row>
    <row r="224" spans="5:8" x14ac:dyDescent="0.35">
      <c r="E224" s="153" t="s">
        <v>405</v>
      </c>
      <c r="F224" s="412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2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2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2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2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2"/>
      <c r="G229" s="154" t="s">
        <v>416</v>
      </c>
      <c r="H229" s="152" t="s">
        <v>98</v>
      </c>
    </row>
    <row r="230" spans="5:8" x14ac:dyDescent="0.35">
      <c r="E230" s="153" t="s">
        <v>412</v>
      </c>
      <c r="F230" s="412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2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2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2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2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2"/>
      <c r="G235" s="154" t="s">
        <v>424</v>
      </c>
      <c r="H235" s="152" t="s">
        <v>98</v>
      </c>
    </row>
    <row r="236" spans="5:8" x14ac:dyDescent="0.35">
      <c r="E236" s="153" t="s">
        <v>420</v>
      </c>
      <c r="F236" s="412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2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2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3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3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3"/>
      <c r="G241" s="160" t="s">
        <v>432</v>
      </c>
      <c r="H241" s="161" t="s">
        <v>98</v>
      </c>
    </row>
    <row r="242" spans="5:8" x14ac:dyDescent="0.35">
      <c r="E242" s="159" t="s">
        <v>428</v>
      </c>
      <c r="F242" s="413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3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3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2026-09-30T10:37:40Z</dcterms:modified>
</cp:coreProperties>
</file>