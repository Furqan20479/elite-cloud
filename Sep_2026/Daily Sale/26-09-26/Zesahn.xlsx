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6878E26B-420A-4AC1-BFBE-24373AC1EFA5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Q16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8" l="1"/>
  <c r="N4" i="68"/>
  <c r="N5" i="68" s="1"/>
  <c r="N4" i="51"/>
  <c r="N4" i="55"/>
  <c r="N5" i="55" s="1"/>
  <c r="N4" i="67"/>
  <c r="N5" i="67" s="1"/>
  <c r="N4" i="46"/>
  <c r="N4" i="53"/>
  <c r="N4" i="69"/>
  <c r="N5" i="69" s="1"/>
  <c r="N4" i="59"/>
  <c r="N4" i="61"/>
  <c r="N5" i="11"/>
  <c r="N4" i="50"/>
  <c r="N5" i="50" s="1"/>
  <c r="N4" i="57"/>
  <c r="N4" i="64"/>
  <c r="N5" i="64" s="1"/>
  <c r="N4" i="63"/>
  <c r="N5" i="63" s="1"/>
  <c r="N4" i="70"/>
  <c r="N5" i="70" s="1"/>
  <c r="N4" i="45"/>
  <c r="N4" i="65"/>
  <c r="N5" i="65" s="1"/>
  <c r="N4" i="60"/>
  <c r="N4" i="52"/>
  <c r="N5" i="52" s="1"/>
  <c r="N4" i="44"/>
  <c r="N4" i="72"/>
  <c r="N5" i="72" s="1"/>
  <c r="N4" i="71"/>
  <c r="N5" i="71" s="1"/>
  <c r="N4" i="54"/>
  <c r="N5" i="54" s="1"/>
  <c r="N4" i="66"/>
  <c r="N5" i="66" s="1"/>
  <c r="N4" i="49"/>
  <c r="N4" i="43"/>
  <c r="N5" i="43" s="1"/>
  <c r="N4" i="56"/>
  <c r="N5" i="56" s="1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M16" i="43" s="1"/>
  <c r="I25" i="43"/>
  <c r="P28" i="43" s="1"/>
  <c r="K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M20" i="61" s="1"/>
  <c r="O20" i="61" s="1"/>
  <c r="P20" i="61" s="1"/>
  <c r="R20" i="61" s="1"/>
  <c r="J20" i="61"/>
  <c r="L20" i="6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53" l="1"/>
  <c r="O21" i="53" s="1"/>
  <c r="P21" i="53" s="1"/>
  <c r="K12" i="62"/>
  <c r="M21" i="52"/>
  <c r="O21" i="52" s="1"/>
  <c r="P21" i="52" s="1"/>
  <c r="M16" i="44"/>
  <c r="M20" i="46"/>
  <c r="O20" i="46" s="1"/>
  <c r="P20" i="46" s="1"/>
  <c r="M17" i="45"/>
  <c r="O17" i="45" s="1"/>
  <c r="P17" i="45" s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<sst xmlns="http://schemas.openxmlformats.org/spreadsheetml/2006/main" count="3948" uniqueCount="540">
  <si>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</si>
  <si>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</si>
  <si>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</si>
  <si>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</si>
  <si>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</si>
  <si>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</si>
  <si>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</si>
  <si>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</si>
  <si>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</si>
  <si>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</si>
  <si>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</si>
  <si>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</si>
  <si>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</si>
  <si>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</si>
  <si>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</si>
  <si>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</si>
  <si>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</si>
  <si>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</si>
  <si>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</si>
  <si>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</si>
  <si>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</si>
  <si>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</si>
  <si>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</si>
  <si>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</si>
  <si>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</si>
  <si>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</si>
  <si>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</si>
  <si>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</si>
  <si>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</si>
  <si>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</si>
  <si>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</si>
  <si>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</si>
  <si>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</si>
  <si>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</si>
  <si>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</si>
  <si>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</si>
  <si>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</si>
  <si>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</si>
  <si>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</si>
  <si>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</si>
  <si>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</si>
  <si>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</si>
  <si>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</si>
  <si>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</si>
  <si>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</si>
  <si>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</si>
  <si>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</si>
  <si>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</si>
  <si>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</si>
  <si>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</si>
  <si>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</si>
  <si>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</si>
  <si>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</si>
  <si>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</si>
  <si>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</si>
  <si>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</si>
  <si>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</si>
  <si>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</si>
  <si>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</si>
  <si>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</si>
  <si>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</si>
  <si>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</si>
  <si>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</si>
  <si>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</si>
  <si>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</si>
  <si>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</si>
  <si>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</si>
  <si>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</si>
  <si>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</si>
  <si>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</si>
  <si>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</si>
  <si>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</si>
  <si>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</si>
  <si>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</si>
  <si>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</si>
  <si>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</si>
  <si>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</si>
  <si>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</si>
  <si>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</si>
  <si>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</si>
  <si>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</si>
  <si>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</si>
  <si>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</si>
  <si>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</si>
  <si>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</si>
  <si>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</si>
  <si>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</si>
  <si>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</si>
  <si>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</si>
  <si>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</si>
  <si>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</si>
  <si>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</si>
  <si>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</si>
  <si>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</si>
  <si>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</si>
  <si>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</si>
  <si>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</si>
  <si>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</si>
  <si>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</si>
  <si>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</si>
  <si>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</si>
  <si>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</si>
  <si>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</si>
  <si>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</si>
  <si>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</si>
  <si>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</si>
  <si>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</si>
  <si>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</si>
  <si>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</si>
  <si>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</si>
  <si>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</si>
  <si>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</si>
  <si>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</si>
  <si>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</si>
  <si>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</si>
  <si>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</si>
  <si>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</si>
  <si>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</si>
  <si>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</si>
  <si>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</si>
  <si>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</si>
  <si>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</si>
  <si>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</si>
  <si>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</si>
  <si>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</si>
  <si>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</si>
  <si>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</si>
  <si>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</si>
  <si>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</si>
  <si>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</si>
  <si>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</si>
  <si>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</si>
  <si>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</si>
  <si>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</si>
  <si>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</si>
  <si>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</si>
  <si>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</si>
  <si>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</si>
  <si>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</si>
  <si>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</si>
  <si>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</si>
  <si>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</si>
  <si>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</si>
  <si>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</si>
  <si>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</si>
  <si>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</si>
  <si>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</si>
  <si>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</si>
  <si>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</si>
  <si>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</si>
  <si>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</si>
  <si>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</si>
  <si>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</si>
  <si>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</si>
  <si>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</si>
  <si>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</si>
  <si>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</si>
  <si>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</si>
  <si>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</si>
  <si>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</si>
  <si>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</si>
  <si>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</si>
  <si>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</si>
  <si>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</si>
  <si>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</si>
  <si>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</si>
  <si>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</si>
  <si>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</si>
  <si>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</si>
  <si>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</si>
  <si>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</si>
  <si>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</si>
  <si>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</si>
  <si>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</si>
  <si>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</si>
  <si>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</si>
  <si>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</si>
  <si>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</si>
  <si>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</si>
  <si>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</si>
  <si>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</si>
  <si>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</si>
  <si>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</si>
  <si>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</si>
  <si>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</si>
  <si>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</si>
  <si>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</si>
  <si>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</si>
  <si>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</si>
  <si>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</si>
  <si>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</si>
  <si>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</si>
  <si>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</si>
  <si>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</si>
  <si>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</si>
  <si>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</si>
  <si>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</si>
  <si>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</si>
  <si>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</si>
  <si>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</si>
  <si>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</si>
  <si>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</si>
  <si>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</si>
  <si>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</si>
  <si>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</si>
  <si>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</si>
  <si>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</si>
  <si>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</si>
  <si>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</si>
  <si>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</si>
  <si>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</si>
  <si>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</si>
  <si>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</si>
  <si>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</si>
  <si>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</si>
  <si>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</si>
  <si>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</si>
  <si>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</si>
  <si>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</si>
  <si>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</si>
  <si>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</si>
  <si>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</si>
  <si>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</si>
  <si>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</si>
  <si>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</si>
  <si>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</si>
  <si>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</si>
  <si>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</si>
  <si>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</si>
  <si>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</si>
  <si>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</si>
  <si>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</si>
  <si>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</si>
  <si>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</si>
  <si>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</si>
  <si>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</si>
  <si>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</si>
  <si>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</si>
  <si>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</si>
  <si>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</si>
  <si>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</si>
  <si>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</si>
  <si>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</si>
  <si>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</si>
  <si>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</si>
  <si>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</si>
  <si>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</si>
  <si>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</si>
  <si>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</si>
  <si>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</si>
  <si>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</si>
  <si>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</si>
  <si>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</si>
  <si>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</si>
  <si>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</si>
  <si>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</si>
  <si>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</si>
  <si>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</si>
  <si>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</si>
  <si>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</si>
  <si>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</si>
  <si>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</si>
  <si>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</si>
  <si>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</si>
  <si>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</si>
  <si>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</si>
  <si>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</si>
  <si>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</si>
  <si>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</si>
  <si>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</si>
  <si>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</si>
  <si>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</si>
  <si>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</si>
  <si>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</si>
  <si>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</si>
  <si>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</si>
  <si>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</si>
  <si>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</si>
  <si>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</si>
  <si>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</si>
  <si>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</si>
  <si>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</si>
  <si>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</si>
  <si>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</si>
  <si>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</si>
  <si>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</si>
  <si>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</si>
  <si>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</si>
  <si>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</si>
  <si>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</si>
  <si>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</si>
  <si>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</si>
  <si>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</si>
  <si>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</si>
  <si>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</si>
  <si>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</si>
  <si>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</si>
  <si>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</si>
  <si>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</si>
  <si>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</si>
  <si>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</si>
  <si>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</si>
  <si>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</si>
  <si>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</si>
  <si>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</si>
  <si>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</si>
  <si>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</si>
  <si>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</si>
  <si>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</si>
  <si>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</si>
  <si>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</si>
  <si>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</si>
  <si>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</si>
  <si>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</si>
  <si>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</si>
  <si>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</si>
  <si>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</si>
  <si>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</si>
  <si>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</si>
  <si>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</si>
  <si>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</si>
  <si>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</si>
  <si>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</si>
  <si>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</si>
  <si>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</si>
  <si>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</si>
  <si>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</si>
  <si>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</si>
  <si>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</si>
  <si>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</si>
  <si>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</si>
  <si>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</si>
  <si>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</si>
  <si>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</si>
  <si>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</si>
  <si>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</si>
  <si>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</si>
  <si>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</si>
  <si>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</si>
  <si>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</si>
  <si>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</si>
  <si>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</si>
  <si>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</si>
  <si>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</si>
  <si>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</si>
  <si>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</si>
  <si>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</si>
  <si>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</si>
  <si>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</si>
  <si>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</si>
  <si>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</si>
  <si>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</si>
  <si>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</si>
  <si>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</si>
  <si>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</si>
  <si>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</si>
  <si>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</si>
  <si>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</si>
  <si>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</si>
  <si>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</si>
  <si>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</si>
  <si>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</si>
  <si>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</si>
  <si>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</si>
  <si>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</si>
  <si>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</si>
  <si>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</si>
  <si>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</si>
  <si>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</si>
  <si>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</si>
  <si>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</si>
  <si>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</si>
  <si>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</si>
  <si>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</si>
  <si>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</si>
  <si>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</si>
  <si>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</si>
  <si>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</si>
  <si>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</si>
  <si>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</si>
  <si>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</si>
  <si>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</si>
  <si>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</si>
  <si>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</si>
  <si>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</si>
  <si>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</si>
  <si>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</si>
  <si>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</si>
  <si>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</si>
  <si>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</si>
  <si>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</si>
  <si>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</si>
  <si>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</si>
  <si>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</si>
  <si>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</si>
  <si>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</si>
  <si>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</si>
  <si>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</si>
  <si>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</si>
  <si>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</si>
  <si>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</si>
  <si>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</si>
  <si>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</si>
  <si>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</si>
  <si>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</si>
  <si>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</si>
  <si>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</si>
  <si>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</si>
  <si>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</si>
  <si>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</si>
  <si>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</si>
  <si>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</si>
  <si>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</si>
  <si>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</si>
  <si>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</si>
  <si>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</si>
  <si>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</si>
  <si>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</si>
  <si>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</si>
  <si>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</si>
  <si>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</si>
  <si>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</si>
  <si>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</si>
  <si>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</si>
  <si>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</si>
  <si>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</si>
  <si>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</si>
  <si>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</si>
  <si>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</si>
  <si>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</si>
  <si>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</si>
  <si>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</si>
  <si>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</si>
  <si>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</si>
  <si>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</si>
  <si>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</si>
  <si>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</si>
  <si>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</si>
  <si>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</si>
  <si>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</si>
  <si>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</si>
  <si>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</si>
  <si>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</si>
  <si>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</si>
  <si>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</si>
  <si>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</si>
  <si>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</si>
  <si>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</si>
  <si>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</si>
  <si>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</si>
  <si>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</si>
  <si>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</si>
  <si>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</si>
  <si>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</si>
  <si>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</si>
  <si>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</si>
  <si>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</si>
  <si>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</si>
  <si>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</si>
  <si>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</si>
  <si>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</si>
  <si>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</si>
  <si>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</si>
  <si>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</si>
  <si>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</si>
  <si>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</si>
  <si>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</si>
  <si>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</si>
  <si>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</si>
  <si>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</si>
  <si>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</si>
  <si>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</si>
  <si>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</si>
  <si>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</si>
  <si>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</si>
  <si>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</si>
  <si>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</si>
  <si>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</si>
  <si>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</si>
  <si>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</si>
  <si>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</si>
  <si>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</si>
  <si>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</si>
  <si>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</si>
  <si>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</si>
  <si>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</si>
  <si>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</si>
  <si>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</si>
  <si>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</si>
  <si>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</si>
  <si>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</si>
  <si>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</si>
  <si>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</si>
  <si>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</si>
  <si>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</si>
  <si>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</si>
  <si>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</si>
  <si>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</si>
  <si>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</si>
  <si>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</si>
  <si>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</si>
  <si>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</si>
  <si>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</si>
  <si>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</si>
  <si>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</si>
  <si>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</si>
  <si>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</si>
  <si>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</si>
  <si>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</si>
  <si>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</si>
  <si>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</si>
  <si>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</si>
  <si>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</si>
  <si>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Zeshan</t>
  </si>
  <si>
    <t>Paradise Store</t>
  </si>
  <si>
    <t>Address: DHA</t>
  </si>
  <si>
    <t xml:space="preserve">Total Pump </t>
  </si>
  <si>
    <t>CV Store</t>
  </si>
  <si>
    <t>786 Store</t>
  </si>
  <si>
    <t xml:space="preserve">Best Mart </t>
  </si>
  <si>
    <t>Rehman Store</t>
  </si>
  <si>
    <t>Am store</t>
  </si>
  <si>
    <t>Address: Statelife</t>
  </si>
  <si>
    <t>Max Store</t>
  </si>
  <si>
    <t>Omega Stroe</t>
  </si>
  <si>
    <t xml:space="preserve">Jalil Mart </t>
  </si>
  <si>
    <t>Rehmat Cash &amp; Carry</t>
  </si>
  <si>
    <t>Smart Store</t>
  </si>
  <si>
    <t>Sadique Store</t>
  </si>
  <si>
    <t xml:space="preserve">Address: Fomenties Society </t>
  </si>
  <si>
    <t>Ajwa Store</t>
  </si>
  <si>
    <t>Marwa Store</t>
  </si>
  <si>
    <t>Ali Store</t>
  </si>
  <si>
    <t>Ali Sir</t>
  </si>
  <si>
    <t xml:space="preserve">Afzal Mart </t>
  </si>
  <si>
    <t>Waqas Store</t>
  </si>
  <si>
    <t xml:space="preserve">Fresh Hill </t>
  </si>
  <si>
    <t xml:space="preserve">Captain Mart </t>
  </si>
  <si>
    <t xml:space="preserve">Address: Sui Gas Cociety </t>
  </si>
  <si>
    <t>Al Ghani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</si>
</sst>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2" workbookViewId="0">
      <selection activeCell="D32" sqref="D3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513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46291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Paradise Store</v>
      </c>
      <c r="T3" s="301">
        <f>+'1'!P35</f>
        <v>10802.526335847459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Total Pump </v>
      </c>
      <c r="T4" s="301">
        <f>+'2'!P35</f>
        <v>566.26289570974575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CV Store</v>
      </c>
      <c r="T5" s="301">
        <f>+'3'!P35</f>
        <v>283.13144785487287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786 Store</v>
      </c>
      <c r="T6" s="301">
        <f>+'4'!P35</f>
        <v>566.26289570974575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15</v>
      </c>
      <c r="I7" s="235">
        <f>(G7*D7)*F7+H7*F7</f>
        <v>786.9375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62.954999999999998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27.542812500000004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696.43968749999999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148.72881355932196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4.22584250529661</v>
      </c>
      <c r="P7" s="310">
        <f>M7+N7+O7</f>
        <v>849.39434356461845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 xml:space="preserve">Best Mart </v>
      </c>
      <c r="T7" s="301">
        <f>+'5'!P35</f>
        <v>283.13144785487287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55</v>
      </c>
      <c r="I8" s="236">
        <f t="shared" ref="I8:I14" si="0">(G8*D8)*F8+H8*F8</f>
        <v>2885.4375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230.83499999999998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100.9903125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2553.6121874999999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545.33898305084722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15.494755852754237</v>
      </c>
      <c r="P8" s="311">
        <f t="shared" ref="P8:P15" si="2">M8+N8+O8</f>
        <v>3114.4459264036013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Rehman Store</v>
      </c>
      <c r="T8" s="301">
        <f>+'6'!P35</f>
        <v>566.26289570974575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102</v>
      </c>
      <c r="I9" s="236">
        <f t="shared" si="0"/>
        <v>5351.1750000000002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428.09399999999999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187.29112500000002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4735.7898750000004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1011.3559322033894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28.735729036016949</v>
      </c>
      <c r="P9" s="311">
        <f t="shared" si="2"/>
        <v>5775.8815362394071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Am store</v>
      </c>
      <c r="T9" s="301">
        <f>+'7'!P35</f>
        <v>784.05289627118646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42</v>
      </c>
      <c r="I10" s="236">
        <f t="shared" si="0"/>
        <v>3050.88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244.07040000000001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106.78080000000001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2700.0288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576.61016949152554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16.383194847457631</v>
      </c>
      <c r="P10" s="311">
        <f t="shared" si="2"/>
        <v>3293.0221643389832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Omega Stroe</v>
      </c>
      <c r="T10" s="301">
        <f>+'8'!P35</f>
        <v>784.05289627118646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70</v>
      </c>
      <c r="I11" s="236">
        <f t="shared" si="0"/>
        <v>5084.8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406.78400000000005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177.96800000000002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4500.0479999999998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961.01694915254234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27.305324745762711</v>
      </c>
      <c r="P11" s="311">
        <f t="shared" si="2"/>
        <v>5488.3702738983047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 xml:space="preserve">Jalil Mart </v>
      </c>
      <c r="T11" s="301">
        <f>+'9'!P35</f>
        <v>784.05289627118646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192</v>
      </c>
      <c r="I12" s="236">
        <f t="shared" si="0"/>
        <v>13946.880000000001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1115.7503999999999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488.14079999999996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12342.988800000001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2635.9322033898306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74.894605016949157</v>
      </c>
      <c r="P12" s="311">
        <f t="shared" si="2"/>
        <v>15053.81560840678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Max Store</v>
      </c>
      <c r="T12" s="301">
        <f>+'10'!P35</f>
        <v>784.05289627118646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Rehmat Cash &amp; Carry</v>
      </c>
      <c r="T13" s="301">
        <f>+'11'!P35</f>
        <v>5401.2631679237293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Smart Store</v>
      </c>
      <c r="T14" s="301">
        <f>+'12'!P35</f>
        <v>784.05289627118646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Sadique Store</v>
      </c>
      <c r="T15" s="301">
        <f>+'13'!P35</f>
        <v>784.05289627118646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11.9</v>
      </c>
      <c r="H16" s="113">
        <f t="shared" ref="H16:M16" si="3">SUM(H7:H15)</f>
        <v>476</v>
      </c>
      <c r="I16" s="114">
        <f t="shared" si="3"/>
        <v>31106.11</v>
      </c>
      <c r="J16" s="274">
        <f>SUM(J7:J15)</f>
        <v>2488.4888000000001</v>
      </c>
      <c r="K16" s="275">
        <f t="shared" si="3"/>
        <v>1088.7138499999999</v>
      </c>
      <c r="L16" s="276">
        <f t="shared" si="3"/>
        <v>0</v>
      </c>
      <c r="M16" s="232">
        <f t="shared" si="3"/>
        <v>27528.907350000001</v>
      </c>
      <c r="N16" s="233">
        <f>SUM(N7:N15)</f>
        <v>5878.983050847457</v>
      </c>
      <c r="O16" s="101">
        <f>SUM(O7:O15)</f>
        <v>167.03945200423729</v>
      </c>
      <c r="P16" s="113">
        <f>SUM(P7:P15)</f>
        <v>33574.929852851696</v>
      </c>
      <c r="Q16" s="128">
        <f>SUM(Q7:Q15)</f>
        <v>0</v>
      </c>
      <c r="R16" s="313">
        <v>14</v>
      </c>
      <c r="S16" s="315" t="str">
        <f>+'14'!A6:A6</f>
        <v>Ajwa Store</v>
      </c>
      <c r="T16" s="301">
        <f>+'14'!P35</f>
        <v>784.05289627118646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Marwa Store</v>
      </c>
      <c r="T17" s="301">
        <f>+'15'!P35</f>
        <v>784.05289627118646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Ali Store</v>
      </c>
      <c r="T18" s="301">
        <f>+'16'!P35</f>
        <v>784.05289627118646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31106.11</v>
      </c>
      <c r="R19" s="299">
        <v>17</v>
      </c>
      <c r="S19" s="300" t="str">
        <f>+'17'!A6:A6</f>
        <v>Ali Sir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2488.4888000000001</v>
      </c>
      <c r="R20" s="299">
        <v>18</v>
      </c>
      <c r="S20" s="300" t="str">
        <f>+'18'!A6:A6</f>
        <v xml:space="preserve">Afzal Mart </v>
      </c>
      <c r="T20" s="301">
        <f>+'18'!P35</f>
        <v>784.05289627118646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1088.7138499999999</v>
      </c>
      <c r="R21" s="299">
        <v>19</v>
      </c>
      <c r="S21" s="300" t="str">
        <f>+'19'!A6:A6</f>
        <v>Waqas Store</v>
      </c>
      <c r="T21" s="301">
        <f>+'19'!P35</f>
        <v>784.05289627118646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27528.907350000001</v>
      </c>
      <c r="R22" s="299">
        <v>20</v>
      </c>
      <c r="S22" s="300" t="str">
        <f>+'20'!A6:A6</f>
        <v xml:space="preserve">Fresh Hill </v>
      </c>
      <c r="T22" s="301">
        <f>+'20'!P35</f>
        <v>784.05289627118646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5878.983050847457</v>
      </c>
      <c r="R23" s="299">
        <v>21</v>
      </c>
      <c r="S23" s="300" t="str">
        <f>+'21'!A6:A6</f>
        <v xml:space="preserve">Captain Mart </v>
      </c>
      <c r="T23" s="301">
        <f>+'21'!P35</f>
        <v>3136.2115850847458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33407.890400847456</v>
      </c>
      <c r="R24" s="299">
        <v>22</v>
      </c>
      <c r="S24" s="300" t="str">
        <f>+'22'!A6:A6</f>
        <v>Al Ghani Store</v>
      </c>
      <c r="T24" s="301">
        <f>+'22'!P35</f>
        <v>2561.242425902542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167.03945200423729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33574.929852851696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33574.929852851703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7.25" customHeight="1" x14ac:dyDescent="0.4">
      <c r="A6" s="399" t="s">
        <v>514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167.88</v>
      </c>
      <c r="K17" s="128">
        <f>$I17*T17</f>
        <v>73.447500000000005</v>
      </c>
      <c r="L17" s="119">
        <f>$I17*U17</f>
        <v>0</v>
      </c>
      <c r="M17" s="230">
        <f t="shared" ref="M17:M24" si="2">I17-SUM(J17:L17)</f>
        <v>1857.1725000000001</v>
      </c>
      <c r="N17" s="277">
        <f t="shared" ref="N17:N24" si="3">+(G17*D17+H17)*V17</f>
        <v>396.61016949152526</v>
      </c>
      <c r="O17" s="239">
        <f t="shared" ref="O17:O24" si="4">(N17+M17)*$O$15</f>
        <v>11.268913347457627</v>
      </c>
      <c r="P17" s="119">
        <f t="shared" ref="P17:P24" si="5">M17+N17+O17</f>
        <v>2265.051582838983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ref="I18:I21" si="7">(G18*D18)*F18+H18*F18</f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7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160</v>
      </c>
      <c r="I25" s="114">
        <f t="shared" ref="I25:M25" si="10">SUM(I16:I24)</f>
        <v>10008.200000000001</v>
      </c>
      <c r="J25" s="274">
        <f>SUM(J16:J24)</f>
        <v>800.65599999999995</v>
      </c>
      <c r="K25" s="275">
        <f t="shared" si="10"/>
        <v>350.28700000000003</v>
      </c>
      <c r="L25" s="276">
        <f t="shared" si="10"/>
        <v>0</v>
      </c>
      <c r="M25" s="232">
        <f t="shared" si="10"/>
        <v>8857.2570000000014</v>
      </c>
      <c r="N25" s="233">
        <f>SUM(N16:N24)</f>
        <v>1891.5254237288132</v>
      </c>
      <c r="O25" s="101">
        <f>SUM(O16:O24)</f>
        <v>53.743912118644062</v>
      </c>
      <c r="P25" s="234">
        <f>SUM(P16:P24)</f>
        <v>10802.526335847459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10008.200000000001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800.65599999999995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350.28700000000003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8857.2570000000014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1891.5254237288132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10748.782423728815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53.743912118644076</v>
      </c>
    </row>
    <row r="35" spans="2:16" ht="15.75" customHeight="1" thickBot="1" x14ac:dyDescent="0.4">
      <c r="N35" s="345" t="s">
        <v>88</v>
      </c>
      <c r="O35" s="346"/>
      <c r="P35" s="297">
        <f>+P33+P34</f>
        <v>10802.526335847459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10</v>
      </c>
      <c r="I16" s="235">
        <f>(G16*D16)*F16+H16*F16</f>
        <v>524.625</v>
      </c>
      <c r="J16" s="271">
        <f>$I16*S16</f>
        <v>41.97</v>
      </c>
      <c r="K16" s="127">
        <f>$I16*T16</f>
        <v>18.361875000000001</v>
      </c>
      <c r="L16" s="118">
        <f>$I16*U16</f>
        <v>0</v>
      </c>
      <c r="M16" s="229">
        <f>I16-SUM(J16:L16)</f>
        <v>464.29312500000003</v>
      </c>
      <c r="N16" s="248">
        <f>+(G16*D16+H16)*V16</f>
        <v>99.152542372881314</v>
      </c>
      <c r="O16" s="238">
        <f>(N16+M16)*$O$15</f>
        <v>2.8172283368644067</v>
      </c>
      <c r="P16" s="118">
        <f>M16+N16+O16</f>
        <v>566.26289570974575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8.7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5</v>
      </c>
      <c r="I16" s="235">
        <f>(G16*D16)*F16+H16*F16</f>
        <v>262.3125</v>
      </c>
      <c r="J16" s="271">
        <f>$I16*S16</f>
        <v>20.984999999999999</v>
      </c>
      <c r="K16" s="127">
        <f>$I16*T16</f>
        <v>9.1809375000000006</v>
      </c>
      <c r="L16" s="118">
        <f>$I16*U16</f>
        <v>0</v>
      </c>
      <c r="M16" s="229">
        <f>I16-SUM(J16:L16)</f>
        <v>232.14656250000002</v>
      </c>
      <c r="N16" s="248">
        <f>+(G16*D16+H16)*V16</f>
        <v>49.576271186440657</v>
      </c>
      <c r="O16" s="238">
        <f>(N16+M16)*$O$15</f>
        <v>1.4086141684322033</v>
      </c>
      <c r="P16" s="118">
        <f>M16+N16+O16</f>
        <v>283.13144785487287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234">
        <f>SUM(P16:P24)</f>
        <v>283.13144785487287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262.3125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20.984999999999999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9.1809375000000006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232.14656249999999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281.72283368644065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45" t="s">
        <v>88</v>
      </c>
      <c r="O35" s="346"/>
      <c r="P35" s="297">
        <f>+P33+P34</f>
        <v>283.13144785487287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5</v>
      </c>
      <c r="I17" s="236">
        <f t="shared" ref="I17:I23" si="0">(G17*D17)*F17+H17*F17</f>
        <v>262.3125</v>
      </c>
      <c r="J17" s="272">
        <f t="shared" ref="J17:L24" si="1">$I17*S17</f>
        <v>20.984999999999999</v>
      </c>
      <c r="K17" s="128">
        <f>$I17*T17</f>
        <v>9.1809375000000006</v>
      </c>
      <c r="L17" s="119">
        <f>$I17*U17</f>
        <v>0</v>
      </c>
      <c r="M17" s="230">
        <f t="shared" ref="M17:M24" si="2">I17-SUM(J17:L17)</f>
        <v>232.14656250000002</v>
      </c>
      <c r="N17" s="277">
        <f t="shared" ref="N17:N24" si="3">+(G17*D17+H17)*V17</f>
        <v>49.576271186440657</v>
      </c>
      <c r="O17" s="239">
        <f t="shared" ref="O17:O24" si="4">(N17+M17)*$O$15</f>
        <v>1.4086141684322033</v>
      </c>
      <c r="P17" s="119">
        <f t="shared" ref="P17:P24" si="5">M17+N17+O17</f>
        <v>283.13144785487287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5</v>
      </c>
      <c r="I25" s="114">
        <f t="shared" si="7"/>
        <v>262.3125</v>
      </c>
      <c r="J25" s="274">
        <f>SUM(J16:J24)</f>
        <v>20.984999999999999</v>
      </c>
      <c r="K25" s="275">
        <f t="shared" si="7"/>
        <v>9.1809375000000006</v>
      </c>
      <c r="L25" s="276">
        <f t="shared" si="7"/>
        <v>0</v>
      </c>
      <c r="M25" s="232">
        <f t="shared" si="7"/>
        <v>232.14656250000002</v>
      </c>
      <c r="N25" s="233">
        <f>SUM(N16:N24)</f>
        <v>49.576271186440657</v>
      </c>
      <c r="O25" s="101">
        <f>SUM(O16:O24)</f>
        <v>1.4086141684322033</v>
      </c>
      <c r="P25" s="234">
        <f>SUM(P16:P24)</f>
        <v>283.13144785487287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262.3125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20.984999999999999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9.1809375000000006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232.14656249999999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49.576271186440657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281.72283368644065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1.4086141684322033</v>
      </c>
    </row>
    <row r="35" spans="2:16" ht="15.75" customHeight="1" thickBot="1" x14ac:dyDescent="0.4">
      <c r="N35" s="345" t="s">
        <v>88</v>
      </c>
      <c r="O35" s="346"/>
      <c r="P35" s="297">
        <f>+P33+P34</f>
        <v>283.13144785487287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524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525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526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400.32799999999997</v>
      </c>
      <c r="K25" s="275">
        <f t="shared" si="7"/>
        <v>175.14350000000002</v>
      </c>
      <c r="L25" s="276">
        <f t="shared" si="7"/>
        <v>0</v>
      </c>
      <c r="M25" s="232">
        <f t="shared" si="7"/>
        <v>4428.6285000000007</v>
      </c>
      <c r="N25" s="233">
        <f>SUM(N16:N24)</f>
        <v>945.76271186440658</v>
      </c>
      <c r="O25" s="101">
        <f>SUM(O16:O24)</f>
        <v>26.871956059322034</v>
      </c>
      <c r="P25" s="234">
        <f>SUM(P16:P24)</f>
        <v>5401.2631679237293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5004.1000000000004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400.32799999999997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175.14350000000002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4428.6285000000007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5374.3912118644075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26.871956059322038</v>
      </c>
    </row>
    <row r="35" spans="2:16" ht="15.75" customHeight="1" thickBot="1" x14ac:dyDescent="0.4">
      <c r="N35" s="345" t="s">
        <v>88</v>
      </c>
      <c r="O35" s="346"/>
      <c r="P35" s="297">
        <f>+P33+P34</f>
        <v>5401.2631679237293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527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528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529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530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529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531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529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6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532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529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F7" sqref="F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533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529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opLeftCell="A22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534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529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6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535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529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6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8.75" customHeight="1" x14ac:dyDescent="0.4">
      <c r="A6" s="399" t="s">
        <v>536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topLeftCell="A7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537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538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topLeftCell="A7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539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119">
        <f t="shared" si="5"/>
        <v>679.51547485169488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12</v>
      </c>
      <c r="I19" s="236">
        <f t="shared" si="0"/>
        <v>871.68000000000006</v>
      </c>
      <c r="J19" s="272">
        <f t="shared" si="1"/>
        <v>69.734400000000008</v>
      </c>
      <c r="K19" s="128">
        <f t="shared" si="1"/>
        <v>30.508800000000004</v>
      </c>
      <c r="L19" s="119">
        <f t="shared" si="1"/>
        <v>0</v>
      </c>
      <c r="M19" s="230">
        <f t="shared" si="2"/>
        <v>771.43680000000006</v>
      </c>
      <c r="N19" s="277">
        <f t="shared" si="3"/>
        <v>164.74576271186442</v>
      </c>
      <c r="O19" s="239">
        <f t="shared" si="4"/>
        <v>4.6809128135593223</v>
      </c>
      <c r="P19" s="119">
        <f t="shared" si="5"/>
        <v>940.86347552542372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0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119">
        <f t="shared" si="5"/>
        <v>940.86347552542372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36</v>
      </c>
      <c r="I25" s="114">
        <f t="shared" si="7"/>
        <v>2372.91</v>
      </c>
      <c r="J25" s="274">
        <f>SUM(J16:J24)</f>
        <v>189.83280000000002</v>
      </c>
      <c r="K25" s="275">
        <f t="shared" si="7"/>
        <v>83.051850000000016</v>
      </c>
      <c r="L25" s="276">
        <f t="shared" si="7"/>
        <v>0</v>
      </c>
      <c r="M25" s="232">
        <f t="shared" si="7"/>
        <v>2100.0253499999999</v>
      </c>
      <c r="N25" s="233">
        <f>SUM(N16:N24)</f>
        <v>448.47457627118644</v>
      </c>
      <c r="O25" s="101">
        <f>SUM(O16:O24)</f>
        <v>12.742499631355932</v>
      </c>
      <c r="P25" s="234">
        <f>SUM(P16:P24)</f>
        <v>2561.2424259025424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2372.91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189.83280000000002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83.051850000000016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2100.0253499999999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448.47457627118644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2548.4999262711863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12.742499631355932</v>
      </c>
    </row>
    <row r="35" spans="2:16" ht="15.75" customHeight="1" thickBot="1" x14ac:dyDescent="0.4">
      <c r="N35" s="345" t="s">
        <v>88</v>
      </c>
      <c r="O35" s="346"/>
      <c r="P35" s="297">
        <f>+P33+P34</f>
        <v>2561.242425902542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726562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515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46291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46290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2026-09-25T12:27:41Z</dcterms:modified>
</cp:coreProperties>
</file>