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24D282-E9F1-40F8-AA2D-9FC8D181FE0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externalReferences>
    <externalReference r:id="rId39"/>
  </externalReference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O34" i="49" l="1"/>
  <c r="H25" i="49"/>
  <c r="G25" i="49"/>
  <c r="A25" i="49"/>
  <c r="F24" i="49"/>
  <c r="E24" i="49"/>
  <c r="D24" i="49"/>
  <c r="B24" i="49"/>
  <c r="C24" i="49" s="1"/>
  <c r="K23" i="49"/>
  <c r="I23" i="49"/>
  <c r="F23" i="49"/>
  <c r="E23" i="49"/>
  <c r="D23" i="49"/>
  <c r="C23" i="49"/>
  <c r="B23" i="49"/>
  <c r="F22" i="49"/>
  <c r="E22" i="49"/>
  <c r="D22" i="49"/>
  <c r="B22" i="49"/>
  <c r="C22" i="49" s="1"/>
  <c r="I21" i="49"/>
  <c r="K21" i="49" s="1"/>
  <c r="F21" i="49"/>
  <c r="E21" i="49"/>
  <c r="D21" i="49"/>
  <c r="C21" i="49"/>
  <c r="B21" i="49"/>
  <c r="F20" i="49"/>
  <c r="E20" i="49"/>
  <c r="D20" i="49"/>
  <c r="B20" i="49"/>
  <c r="C20" i="49" s="1"/>
  <c r="K19" i="49"/>
  <c r="I19" i="49"/>
  <c r="F19" i="49"/>
  <c r="E19" i="49"/>
  <c r="D19" i="49"/>
  <c r="C19" i="49"/>
  <c r="B19" i="49"/>
  <c r="F18" i="49"/>
  <c r="E18" i="49"/>
  <c r="D18" i="49"/>
  <c r="B18" i="49"/>
  <c r="C18" i="49" s="1"/>
  <c r="I17" i="49"/>
  <c r="K17" i="49" s="1"/>
  <c r="F17" i="49"/>
  <c r="E17" i="49"/>
  <c r="D17" i="49"/>
  <c r="C17" i="49"/>
  <c r="B17" i="49"/>
  <c r="F16" i="49"/>
  <c r="E16" i="49"/>
  <c r="D16" i="49"/>
  <c r="C16" i="49"/>
  <c r="B16" i="49"/>
  <c r="O15" i="49"/>
  <c r="C12" i="49"/>
  <c r="C11" i="49"/>
  <c r="N6" i="49"/>
  <c r="N4" i="49"/>
  <c r="N5" i="49" s="1"/>
  <c r="F22" i="47"/>
  <c r="N6" i="43"/>
  <c r="N6" i="44"/>
  <c r="N6" i="45"/>
  <c r="N6" i="46"/>
  <c r="N6" i="47"/>
  <c r="N6" i="48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I16" i="49" l="1"/>
  <c r="L17" i="49"/>
  <c r="I20" i="49"/>
  <c r="L21" i="49"/>
  <c r="J23" i="49"/>
  <c r="M23" i="49" s="1"/>
  <c r="I24" i="49"/>
  <c r="I18" i="49"/>
  <c r="L19" i="49"/>
  <c r="I22" i="49"/>
  <c r="L23" i="49"/>
  <c r="N4" i="1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L20" i="49" l="1"/>
  <c r="K20" i="49"/>
  <c r="L18" i="49"/>
  <c r="K18" i="49"/>
  <c r="L24" i="49"/>
  <c r="K24" i="49"/>
  <c r="M24" i="49" s="1"/>
  <c r="J24" i="49"/>
  <c r="J22" i="49"/>
  <c r="M22" i="49"/>
  <c r="L22" i="49"/>
  <c r="K22" i="49"/>
  <c r="I25" i="49"/>
  <c r="P28" i="49" s="1"/>
  <c r="L16" i="49"/>
  <c r="K16" i="49"/>
  <c r="J16" i="49"/>
  <c r="N4" i="58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V24" i="49"/>
  <c r="N24" i="49" s="1"/>
  <c r="U23" i="49"/>
  <c r="U24" i="49" s="1"/>
  <c r="T23" i="49"/>
  <c r="T24" i="49" s="1"/>
  <c r="V23" i="49"/>
  <c r="N23" i="49" s="1"/>
  <c r="O23" i="49" s="1"/>
  <c r="V22" i="49"/>
  <c r="N22" i="49" s="1"/>
  <c r="O22" i="49" s="1"/>
  <c r="V21" i="49"/>
  <c r="N21" i="49" s="1"/>
  <c r="T20" i="49"/>
  <c r="T21" i="49" s="1"/>
  <c r="V20" i="49"/>
  <c r="N20" i="49" s="1"/>
  <c r="V19" i="49"/>
  <c r="N19" i="49" s="1"/>
  <c r="V18" i="49"/>
  <c r="N18" i="49" s="1"/>
  <c r="T17" i="49"/>
  <c r="T18" i="49" s="1"/>
  <c r="S17" i="49"/>
  <c r="V17" i="49"/>
  <c r="N17" i="49" s="1"/>
  <c r="V16" i="49"/>
  <c r="N16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L25" i="49" l="1"/>
  <c r="S18" i="49"/>
  <c r="J17" i="49"/>
  <c r="M17" i="49" s="1"/>
  <c r="O17" i="49" s="1"/>
  <c r="P24" i="49"/>
  <c r="O24" i="49"/>
  <c r="P23" i="49"/>
  <c r="N25" i="49"/>
  <c r="P32" i="49" s="1"/>
  <c r="K25" i="49"/>
  <c r="P30" i="49" s="1"/>
  <c r="P22" i="49"/>
  <c r="M16" i="49"/>
  <c r="N24" i="43"/>
  <c r="N24" i="45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P17" i="49" l="1"/>
  <c r="S19" i="49"/>
  <c r="J18" i="49"/>
  <c r="O16" i="49"/>
  <c r="N25" i="58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S20" i="49" l="1"/>
  <c r="J19" i="49"/>
  <c r="M19" i="49" s="1"/>
  <c r="M18" i="49"/>
  <c r="P16" i="49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O18" i="49" l="1"/>
  <c r="P18" i="49"/>
  <c r="O19" i="49"/>
  <c r="P19" i="49" s="1"/>
  <c r="S21" i="49"/>
  <c r="J21" i="49" s="1"/>
  <c r="M21" i="49" s="1"/>
  <c r="J20" i="49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M20" i="49" l="1"/>
  <c r="J25" i="49"/>
  <c r="P29" i="49" s="1"/>
  <c r="P31" i="49" s="1"/>
  <c r="P33" i="49" s="1"/>
  <c r="P34" i="49" s="1"/>
  <c r="P35" i="49" s="1"/>
  <c r="O21" i="49"/>
  <c r="P21" i="49" s="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O20" i="49" l="1"/>
  <c r="O25" i="49" s="1"/>
  <c r="P20" i="49"/>
  <c r="P25" i="49" s="1"/>
  <c r="M25" i="49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R20" i="49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T10" i="62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<sst xmlns="http://schemas.openxmlformats.org/spreadsheetml/2006/main" count="3948" uniqueCount="524">
  <si>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</si>
  <si>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</si>
  <si>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</si>
  <si>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</si>
  <si>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</si>
  <si>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</si>
  <si>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</si>
  <si>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</si>
  <si>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</si>
  <si>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</si>
  <si>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</si>
  <si>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</si>
  <si>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</si>
  <si>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</si>
  <si>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</si>
  <si>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</si>
  <si>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</si>
  <si>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</si>
  <si>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</si>
  <si>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</si>
  <si>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</si>
  <si>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</si>
  <si>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</si>
  <si>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</si>
  <si>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</si>
  <si>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</si>
  <si>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</si>
  <si>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</si>
  <si>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</si>
  <si>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</si>
  <si>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</si>
  <si>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</si>
  <si>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</si>
  <si>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</si>
  <si>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</si>
  <si>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</si>
  <si>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</si>
  <si>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</si>
  <si>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</si>
  <si>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</si>
  <si>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</si>
  <si>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</si>
  <si>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</si>
  <si>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</si>
  <si>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</si>
  <si>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</si>
  <si>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</si>
  <si>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</si>
  <si>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</si>
  <si>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</si>
  <si>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</si>
  <si>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</si>
  <si>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</si>
  <si>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</si>
  <si>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</si>
  <si>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</si>
  <si>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</si>
  <si>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</si>
  <si>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</si>
  <si>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</si>
  <si>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</si>
  <si>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</si>
  <si>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</si>
  <si>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</si>
  <si>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</si>
  <si>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</si>
  <si>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</si>
  <si>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</si>
  <si>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</si>
  <si>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</si>
  <si>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</si>
  <si>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</si>
  <si>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</si>
  <si>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</si>
  <si>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</si>
  <si>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</si>
  <si>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</si>
  <si>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</si>
  <si>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</si>
  <si>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</si>
  <si>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</si>
  <si>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</si>
  <si>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</si>
  <si>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</si>
  <si>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</si>
  <si>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</si>
  <si>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</si>
  <si>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</si>
  <si>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</si>
  <si>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</si>
  <si>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</si>
  <si>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</si>
  <si>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</si>
  <si>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</si>
  <si>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</si>
  <si>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</si>
  <si>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</si>
  <si>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</si>
  <si>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</si>
  <si>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</si>
  <si>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</si>
  <si>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</si>
  <si>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</si>
  <si>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</si>
  <si>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</si>
  <si>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</si>
  <si>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</si>
  <si>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</si>
  <si>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</si>
  <si>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</si>
  <si>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</si>
  <si>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</si>
  <si>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</si>
  <si>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</si>
  <si>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</si>
  <si>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</si>
  <si>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</si>
  <si>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</si>
  <si>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</si>
  <si>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</si>
  <si>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</si>
  <si>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</si>
  <si>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</si>
  <si>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</si>
  <si>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</si>
  <si>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</si>
  <si>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</si>
  <si>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</si>
  <si>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</si>
  <si>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</si>
  <si>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</si>
  <si>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</si>
  <si>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</si>
  <si>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</si>
  <si>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</si>
  <si>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</si>
  <si>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</si>
  <si>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</si>
  <si>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</si>
  <si>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</si>
  <si>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</si>
  <si>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</si>
  <si>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</si>
  <si>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</si>
  <si>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</si>
  <si>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</si>
  <si>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</si>
  <si>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</si>
  <si>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</si>
  <si>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</si>
  <si>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</si>
  <si>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</si>
  <si>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</si>
  <si>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</si>
  <si>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</si>
  <si>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</si>
  <si>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</si>
  <si>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</si>
  <si>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</si>
  <si>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</si>
  <si>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</si>
  <si>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</si>
  <si>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</si>
  <si>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</si>
  <si>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</si>
  <si>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</si>
  <si>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</si>
  <si>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</si>
  <si>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</si>
  <si>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</si>
  <si>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</si>
  <si>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</si>
  <si>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</si>
  <si>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</si>
  <si>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</si>
  <si>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</si>
  <si>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</si>
  <si>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</si>
  <si>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</si>
  <si>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</si>
  <si>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</si>
  <si>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</si>
  <si>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</si>
  <si>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</si>
  <si>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</si>
  <si>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</si>
  <si>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</si>
  <si>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</si>
  <si>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</si>
  <si>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</si>
  <si>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</si>
  <si>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</si>
  <si>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</si>
  <si>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</si>
  <si>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</si>
  <si>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</si>
  <si>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</si>
  <si>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</si>
  <si>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</si>
  <si>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</si>
  <si>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</si>
  <si>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</si>
  <si>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</si>
  <si>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</si>
  <si>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</si>
  <si>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</si>
  <si>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</si>
  <si>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</si>
  <si>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</si>
  <si>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</si>
  <si>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</si>
  <si>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</si>
  <si>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</si>
  <si>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</si>
  <si>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</si>
  <si>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</si>
  <si>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</si>
  <si>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</si>
  <si>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</si>
  <si>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</si>
  <si>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</si>
  <si>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</si>
  <si>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</si>
  <si>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</si>
  <si>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</si>
  <si>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</si>
  <si>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</si>
  <si>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</si>
  <si>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</si>
  <si>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</si>
  <si>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</si>
  <si>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</si>
  <si>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</si>
  <si>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</si>
  <si>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</si>
  <si>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</si>
  <si>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</si>
  <si>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</si>
  <si>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</si>
  <si>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</si>
  <si>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</si>
  <si>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</si>
  <si>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</si>
  <si>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</si>
  <si>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</si>
  <si>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</si>
  <si>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</si>
  <si>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</si>
  <si>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</si>
  <si>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</si>
  <si>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</si>
  <si>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</si>
  <si>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</si>
  <si>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</si>
  <si>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</si>
  <si>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</si>
  <si>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</si>
  <si>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</si>
  <si>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</si>
  <si>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</si>
  <si>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</si>
  <si>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</si>
  <si>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</si>
  <si>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</si>
  <si>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</si>
  <si>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</si>
  <si>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</si>
  <si>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</si>
  <si>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</si>
  <si>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</si>
  <si>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</si>
  <si>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</si>
  <si>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</si>
  <si>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</si>
  <si>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</si>
  <si>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</si>
  <si>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</si>
  <si>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</si>
  <si>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</si>
  <si>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</si>
  <si>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</si>
  <si>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</si>
  <si>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</si>
  <si>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</si>
  <si>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</si>
  <si>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</si>
  <si>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</si>
  <si>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</si>
  <si>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</si>
  <si>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</si>
  <si>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</si>
  <si>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</si>
  <si>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</si>
  <si>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</si>
  <si>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</si>
  <si>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</si>
  <si>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</si>
  <si>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</si>
  <si>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</si>
  <si>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</si>
  <si>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</si>
  <si>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</si>
  <si>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</si>
  <si>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</si>
  <si>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</si>
  <si>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</si>
  <si>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</si>
  <si>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</si>
  <si>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</si>
  <si>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</si>
  <si>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</si>
  <si>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</si>
  <si>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</si>
  <si>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</si>
  <si>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</si>
  <si>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</si>
  <si>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</si>
  <si>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</si>
  <si>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</si>
  <si>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</si>
  <si>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</si>
  <si>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</si>
  <si>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</si>
  <si>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</si>
  <si>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</si>
  <si>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</si>
  <si>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</si>
  <si>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</si>
  <si>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</si>
  <si>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</si>
  <si>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</si>
  <si>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</si>
  <si>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</si>
  <si>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</si>
  <si>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</si>
  <si>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</si>
  <si>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</si>
  <si>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</si>
  <si>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</si>
  <si>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</si>
  <si>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</si>
  <si>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</si>
  <si>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</si>
  <si>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</si>
  <si>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</si>
  <si>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</si>
  <si>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</si>
  <si>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</si>
  <si>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</si>
  <si>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</si>
  <si>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</si>
  <si>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</si>
  <si>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</si>
  <si>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</si>
  <si>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</si>
  <si>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</si>
  <si>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</si>
  <si>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</si>
  <si>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</si>
  <si>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</si>
  <si>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</si>
  <si>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</si>
  <si>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</si>
  <si>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</si>
  <si>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</si>
  <si>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</si>
  <si>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</si>
  <si>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</si>
  <si>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</si>
  <si>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</si>
  <si>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</si>
  <si>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</si>
  <si>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</si>
  <si>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</si>
  <si>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</si>
  <si>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</si>
  <si>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</si>
  <si>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</si>
  <si>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</si>
  <si>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</si>
  <si>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</si>
  <si>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</si>
  <si>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</si>
  <si>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</si>
  <si>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</si>
  <si>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</si>
  <si>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</si>
  <si>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</si>
  <si>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</si>
  <si>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</si>
  <si>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</si>
  <si>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</si>
  <si>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</si>
  <si>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</si>
  <si>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</si>
  <si>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</si>
  <si>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</si>
  <si>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</si>
  <si>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</si>
  <si>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</si>
  <si>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</si>
  <si>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</si>
  <si>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</si>
  <si>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</si>
  <si>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</si>
  <si>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</si>
  <si>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</si>
  <si>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</si>
  <si>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</si>
  <si>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</si>
  <si>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</si>
  <si>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</si>
  <si>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</si>
  <si>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</si>
  <si>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</si>
  <si>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</si>
  <si>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</si>
  <si>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</si>
  <si>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</si>
  <si>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</si>
  <si>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</si>
  <si>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</si>
  <si>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</si>
  <si>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</si>
  <si>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</si>
  <si>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</si>
  <si>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</si>
  <si>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</si>
  <si>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</si>
  <si>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</si>
  <si>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</si>
  <si>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</si>
  <si>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</si>
  <si>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</si>
  <si>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</si>
  <si>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</si>
  <si>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</si>
  <si>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</si>
  <si>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</si>
  <si>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</si>
  <si>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</si>
  <si>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</si>
  <si>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</si>
  <si>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</si>
  <si>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</si>
  <si>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</si>
  <si>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</si>
  <si>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</si>
  <si>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</si>
  <si>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</si>
  <si>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</si>
  <si>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</si>
  <si>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</si>
  <si>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</si>
  <si>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</si>
  <si>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</si>
  <si>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</si>
  <si>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</si>
  <si>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</si>
  <si>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</si>
  <si>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</si>
  <si>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</si>
  <si>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</si>
  <si>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</si>
  <si>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</si>
  <si>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</si>
  <si>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</si>
  <si>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</si>
  <si>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</si>
  <si>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</si>
  <si>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</si>
  <si>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</si>
  <si>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</si>
  <si>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</si>
  <si>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</si>
  <si>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</si>
  <si>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</si>
  <si>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</si>
  <si>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</si>
  <si>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</si>
  <si>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</si>
  <si>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</si>
  <si>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</si>
  <si>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</si>
  <si>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</si>
  <si>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</si>
  <si>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</si>
  <si>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</si>
  <si>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</si>
  <si>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</si>
  <si>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</si>
  <si>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</si>
  <si>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</si>
  <si>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</si>
  <si>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</si>
  <si>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</si>
  <si>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</si>
  <si>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</si>
  <si>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</si>
  <si>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</si>
  <si>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</si>
  <si>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</si>
  <si>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</si>
  <si>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</si>
  <si>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</si>
  <si>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</si>
  <si>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</si>
  <si>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</si>
  <si>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</si>
  <si>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</si>
  <si>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</si>
  <si>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</si>
  <si>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</si>
  <si>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</si>
  <si>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Swat Variety Store</t>
  </si>
  <si>
    <t>Address: Gopal Nager Bazar</t>
  </si>
  <si>
    <t>Husnain Store</t>
  </si>
  <si>
    <t xml:space="preserve">Friend Mart </t>
  </si>
  <si>
    <t>E Cart Stroe</t>
  </si>
  <si>
    <t>Fazale Kabeer</t>
  </si>
  <si>
    <t>New Kashmir Bakerry</t>
  </si>
  <si>
    <t xml:space="preserve">Pak Bakers </t>
  </si>
  <si>
    <t xml:space="preserve">Peer Cash N Carry </t>
  </si>
  <si>
    <t>Address: Zahore Ellahi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</si>
</sst>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786\Desktop\Elite-Git\Sep_2026\Daily%20Sale\25-09-26\Furqan.xlsx" TargetMode="External"/><Relationship Id="rId1" Type="http://schemas.openxmlformats.org/officeDocument/2006/relationships/externalLinkPath" Target="/Users/786/Desktop/Elite-Git/Sep_2026/Daily%20Sale/25-09-26/Furq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 Price List (2)"/>
      <sheetName val="Dist Price List"/>
      <sheetName val="Cust. Price List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Customer Invoice (2)"/>
      <sheetName val="Sheet1"/>
      <sheetName val="Sheet3"/>
      <sheetName val="Sheet2"/>
    </sheetNames>
    <sheetDataSet>
      <sheetData sheetId="0"/>
      <sheetData sheetId="1"/>
      <sheetData sheetId="2">
        <row r="6">
          <cell r="D6" t="str">
            <v>CCN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0.11</v>
          </cell>
          <cell r="O6">
            <v>5.7708750000000002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0.11</v>
          </cell>
          <cell r="O7">
            <v>5.7708750000000002</v>
          </cell>
        </row>
        <row r="8">
          <cell r="D8" t="str">
            <v>BCN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0.11</v>
          </cell>
          <cell r="O8">
            <v>5.7708750000000002</v>
          </cell>
        </row>
        <row r="9">
          <cell r="D9" t="str">
            <v>CCNJ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0.11</v>
          </cell>
          <cell r="O9">
            <v>7.9904000000000002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0.11</v>
          </cell>
          <cell r="O10">
            <v>7.9904000000000002</v>
          </cell>
        </row>
        <row r="11">
          <cell r="D11" t="str">
            <v>BCNJ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0.11</v>
          </cell>
          <cell r="O11">
            <v>7.9904000000000002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0.11</v>
          </cell>
          <cell r="O12">
            <v>4.3153000000000006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0.11</v>
          </cell>
          <cell r="O13">
            <v>4.3153000000000006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0.11</v>
          </cell>
          <cell r="O14">
            <v>4.3153000000000006</v>
          </cell>
        </row>
      </sheetData>
      <sheetData sheetId="3">
        <row r="2">
          <cell r="H2" t="str">
            <v>Furqan</v>
          </cell>
        </row>
      </sheetData>
      <sheetData sheetId="4">
        <row r="4">
          <cell r="N4">
            <v>46290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Swat Variety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Husnain Store</v>
      </c>
      <c r="T4" s="301">
        <f>+'2'!P35</f>
        <v>2700.6315839618646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Friend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 Cart Stroe</v>
      </c>
      <c r="T6" s="301">
        <f>+'4'!P35</f>
        <v>1620.3789503771181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</v>
      </c>
      <c r="I7" s="235">
        <f>(G7*D7)*F7+H7*F7</f>
        <v>1678.8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140.59950000000001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58.758000000000003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1479.4424999999999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317.2881355932202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8.9836531779661009</v>
      </c>
      <c r="P7" s="310">
        <f>M7+N7+O7</f>
        <v>1805.7142887711861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14</v>
      </c>
      <c r="R7" s="313">
        <v>5</v>
      </c>
      <c r="S7" s="300" t="str">
        <f>+'5'!A6:A6</f>
        <v>Fazale Kabeer</v>
      </c>
      <c r="T7" s="301">
        <f>+'5'!P35</f>
        <v>1685.7159505455511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201.45600000000002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1975.4754374999998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12.009156848516948</v>
      </c>
      <c r="P8" s="311">
        <f t="shared" ref="P8:P15" si="2">M8+N8+O8</f>
        <v>2413.8405265519064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New Kashmir Bakerry</v>
      </c>
      <c r="T8" s="301">
        <f>+'6'!P35</f>
        <v>4050.947375942796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59</v>
      </c>
      <c r="I9" s="236">
        <f t="shared" si="0"/>
        <v>3095.2874999999999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267.55874999999997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108.33506249999999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2719.3936874999999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584.99999999999977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16.5219684375</v>
      </c>
      <c r="P9" s="311">
        <f t="shared" si="2"/>
        <v>3320.9156559375001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3">
        <v>7</v>
      </c>
      <c r="S9" s="300" t="str">
        <f>+'7'!A6:A6</f>
        <v xml:space="preserve">Pak Bakers </v>
      </c>
      <c r="T9" s="301">
        <f>+'7'!P35</f>
        <v>1254.4890811588984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93</v>
      </c>
      <c r="I10" s="236">
        <f t="shared" si="0"/>
        <v>6755.52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236.44320000000002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5949.5792000000001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1276.7796610169491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36.131794305084746</v>
      </c>
      <c r="P10" s="311">
        <f t="shared" si="2"/>
        <v>7262.4906553220335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Peer Cash N Carry </v>
      </c>
      <c r="T10" s="301">
        <f>+'8'!P35</f>
        <v>7117.4442370709739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3828.1279999999997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23.25928406779661</v>
      </c>
      <c r="P11" s="311">
        <f t="shared" si="2"/>
        <v>4675.1160976271176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67</v>
      </c>
      <c r="I12" s="236">
        <f t="shared" si="0"/>
        <v>4866.88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418.40640000000008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170.34080000000003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4278.1328000000003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919.83050847457639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25.989816542372882</v>
      </c>
      <c r="P12" s="311">
        <f t="shared" si="2"/>
        <v>5223.9531250169493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8.85</v>
      </c>
      <c r="H16" s="113">
        <f t="shared" ref="H16:M16" si="3">SUM(H7:H15)</f>
        <v>354</v>
      </c>
      <c r="I16" s="114">
        <f t="shared" si="3"/>
        <v>23010.775000000001</v>
      </c>
      <c r="J16" s="274">
        <f>SUM(J7:J15)</f>
        <v>1975.2462500000004</v>
      </c>
      <c r="K16" s="275">
        <f t="shared" si="3"/>
        <v>805.37712500000009</v>
      </c>
      <c r="L16" s="276">
        <f t="shared" si="3"/>
        <v>0</v>
      </c>
      <c r="M16" s="232">
        <f t="shared" si="3"/>
        <v>20230.151624999999</v>
      </c>
      <c r="N16" s="233">
        <f>SUM(N7:N15)</f>
        <v>4348.9830508474579</v>
      </c>
      <c r="O16" s="101">
        <f>SUM(O7:O15)</f>
        <v>122.89567337923729</v>
      </c>
      <c r="P16" s="113">
        <f>SUM(P7:P15)</f>
        <v>24702.030349226694</v>
      </c>
      <c r="Q16" s="128">
        <f>SUM(Q7:Q15)</f>
        <v>15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23010.775000000001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1975.2462500000004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805.37712500000009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20230.151625000002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4348.9830508474579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24579.134675847461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122.89567337923729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24702.030349226698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24702.030349226694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1501.2299999999998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1328.5885500000002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1501.2299999999998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8.0615868177966075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1561.7625000000003</v>
      </c>
      <c r="J25" s="274">
        <f>SUM(J16:J24)</f>
        <v>124.94099999999999</v>
      </c>
      <c r="K25" s="275">
        <f t="shared" si="7"/>
        <v>54.661687500000006</v>
      </c>
      <c r="L25" s="276">
        <f t="shared" si="7"/>
        <v>0</v>
      </c>
      <c r="M25" s="232">
        <f t="shared" si="7"/>
        <v>1382.1598125</v>
      </c>
      <c r="N25" s="233">
        <f>SUM(N16:N24)</f>
        <v>295.16949152542372</v>
      </c>
      <c r="O25" s="101">
        <f>SUM(O16:O24)</f>
        <v>8.386646520127119</v>
      </c>
      <c r="P25" s="234">
        <f>SUM(P16:P24)</f>
        <v>1685.7159505455509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1561.7625000000003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124.94099999999999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54.661687500000006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1382.1598125000003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295.16949152542372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1677.3293040254239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8.386646520127119</v>
      </c>
    </row>
    <row r="35" spans="2:16" ht="15.75" customHeight="1" thickBot="1" x14ac:dyDescent="0.4">
      <c r="N35" s="345" t="s">
        <v>88</v>
      </c>
      <c r="O35" s="346"/>
      <c r="P35" s="297">
        <f>+P33+P34</f>
        <v>1685.7159505455511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3753.0750000000003</v>
      </c>
      <c r="J25" s="274">
        <f>SUM(J16:J24)</f>
        <v>300.24599999999998</v>
      </c>
      <c r="K25" s="275">
        <f t="shared" si="7"/>
        <v>131.35762500000001</v>
      </c>
      <c r="L25" s="276">
        <f t="shared" si="7"/>
        <v>0</v>
      </c>
      <c r="M25" s="232">
        <f t="shared" si="7"/>
        <v>3321.4713750000001</v>
      </c>
      <c r="N25" s="233">
        <f>SUM(N16:N24)</f>
        <v>709.32203389830488</v>
      </c>
      <c r="O25" s="101">
        <f>SUM(O16:O24)</f>
        <v>20.153967044491523</v>
      </c>
      <c r="P25" s="234">
        <f>SUM(P16:P24)</f>
        <v>4050.9473759427965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3753.0750000000003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300.24599999999998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131.35762500000001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3321.4713750000001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709.32203389830488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4030.7934088983047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20.153967044491523</v>
      </c>
    </row>
    <row r="35" spans="2:16" ht="15.75" customHeight="1" thickBot="1" x14ac:dyDescent="0.4">
      <c r="N35" s="345" t="s">
        <v>88</v>
      </c>
      <c r="O35" s="346"/>
      <c r="P35" s="297">
        <f>+P33+P34</f>
        <v>4050.947375942796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21</v>
      </c>
      <c r="I25" s="114">
        <f t="shared" si="7"/>
        <v>1162.2449999999999</v>
      </c>
      <c r="J25" s="274">
        <f>SUM(J16:J24)</f>
        <v>92.979599999999991</v>
      </c>
      <c r="K25" s="275">
        <f t="shared" si="7"/>
        <v>40.678575000000002</v>
      </c>
      <c r="L25" s="276">
        <f t="shared" si="7"/>
        <v>0</v>
      </c>
      <c r="M25" s="232">
        <f t="shared" si="7"/>
        <v>1028.5868250000001</v>
      </c>
      <c r="N25" s="233">
        <f>SUM(N16:N24)</f>
        <v>219.6610169491525</v>
      </c>
      <c r="O25" s="101">
        <f>SUM(O16:O24)</f>
        <v>6.2412392097457623</v>
      </c>
      <c r="P25" s="234">
        <f>SUM(P16:P24)</f>
        <v>1254.4890811588982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1162.2449999999999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92.979599999999991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40.678575000000002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1028.5868250000001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219.6610169491525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1248.2478419491526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6.2412392097457632</v>
      </c>
    </row>
    <row r="35" spans="2:16" ht="15.75" customHeight="1" thickBot="1" x14ac:dyDescent="0.4">
      <c r="N35" s="345" t="s">
        <v>88</v>
      </c>
      <c r="O35" s="346"/>
      <c r="P35" s="297">
        <f>+P33+P34</f>
        <v>1254.4890811588984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customHeight="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'[1]1'!N4:P4</f>
        <v>46290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[1]Summary!H2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ht="14.5" customHeigh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ht="14.5" customHeight="1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ht="14.5" customHeight="1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ht="14.5" customHeigh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VLOOKUP($A16,'[1]Cust. Price List'!$D$6:$O$14,2,0)</f>
        <v xml:space="preserve">Meat Masala </v>
      </c>
      <c r="C16" s="105">
        <f>VLOOKUP(A16,'[1]Cust. Price List'!D6:M14,3,0)</f>
        <v>70</v>
      </c>
      <c r="D16" s="283">
        <f>VLOOKUP(A16,'[1]Cust. Price List'!D6:M14,4,0)</f>
        <v>40</v>
      </c>
      <c r="E16" s="289">
        <f>VLOOKUP(A16,'[1]Cust. Price List'!D6:M14,6,0)</f>
        <v>65</v>
      </c>
      <c r="F16" s="290">
        <f>VLOOKUP(A16,'[1]Cust.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31.477499999999999</v>
      </c>
      <c r="K16" s="127">
        <f>$I16*T16</f>
        <v>11.017125</v>
      </c>
      <c r="L16" s="118">
        <f>$I16*U16</f>
        <v>0</v>
      </c>
      <c r="M16" s="229">
        <f>I16-SUM(J16:L16)</f>
        <v>272.28037499999999</v>
      </c>
      <c r="N16" s="248">
        <f>+(G16*D16+H16)*V16</f>
        <v>59.491525423728788</v>
      </c>
      <c r="O16" s="238">
        <f>(N16+M16)*$O$15</f>
        <v>1.6588595021186439</v>
      </c>
      <c r="P16" s="118">
        <f>M16+N16+O16</f>
        <v>333.43075992584738</v>
      </c>
      <c r="Q16" s="318">
        <v>14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VLOOKUP($A17,'[1]Cust. Price List'!$D$6:$O$14,2,0)</f>
        <v>Lemon Tarka</v>
      </c>
      <c r="C17" s="106">
        <f>VLOOKUP(B17,'[1]Cust. Price List'!E7:P15,2,0)</f>
        <v>70</v>
      </c>
      <c r="D17" s="284">
        <f>VLOOKUP(A17,'[1]Cust. Price List'!D7:M15,4,0)</f>
        <v>40</v>
      </c>
      <c r="E17" s="291">
        <f>VLOOKUP(A17,'[1]Cust. Price List'!D7:M15,6,0)</f>
        <v>65</v>
      </c>
      <c r="F17" s="292">
        <f>VLOOKUP(A17,'[1]Cust.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104.92500000000001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907.60124999999994</v>
      </c>
      <c r="N17" s="277">
        <f t="shared" ref="N17:N24" si="3">+(G17*D17+H17)*V17</f>
        <v>198.30508474576263</v>
      </c>
      <c r="O17" s="239">
        <f t="shared" ref="O17:O24" si="4">(N17+M17)*$O$15</f>
        <v>5.5295316737288127</v>
      </c>
      <c r="P17" s="119">
        <f t="shared" ref="P17:P24" si="5">M17+N17+O17</f>
        <v>1111.4358664194913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VLOOKUP($A18,'[1]Cust. Price List'!$D$6:$O$14,2,0)</f>
        <v>Chicken Chatkhara</v>
      </c>
      <c r="C18" s="106">
        <f>VLOOKUP(B18,'[1]Cust. Price List'!E8:P16,2,0)</f>
        <v>70</v>
      </c>
      <c r="D18" s="284">
        <f>VLOOKUP(A18,'[1]Cust. Price List'!D8:M16,4,0)</f>
        <v>40</v>
      </c>
      <c r="E18" s="291">
        <f>VLOOKUP(A18,'[1]Cust. Price List'!D8:M16,6,0)</f>
        <v>65</v>
      </c>
      <c r="F18" s="292">
        <f>VLOOKUP(A18,'[1]Cust. Price List'!D8:M16,10,0)</f>
        <v>52.462499999999999</v>
      </c>
      <c r="G18" s="287"/>
      <c r="H18" s="96">
        <v>19</v>
      </c>
      <c r="I18" s="236">
        <f t="shared" si="0"/>
        <v>996.78750000000002</v>
      </c>
      <c r="J18" s="272">
        <f t="shared" si="1"/>
        <v>99.678750000000008</v>
      </c>
      <c r="K18" s="128">
        <f t="shared" si="1"/>
        <v>34.887562500000001</v>
      </c>
      <c r="L18" s="119">
        <f t="shared" si="1"/>
        <v>0</v>
      </c>
      <c r="M18" s="230">
        <f t="shared" si="2"/>
        <v>862.22118750000004</v>
      </c>
      <c r="N18" s="277">
        <f t="shared" si="3"/>
        <v>188.38983050847449</v>
      </c>
      <c r="O18" s="239">
        <f t="shared" si="4"/>
        <v>5.2530550900423725</v>
      </c>
      <c r="P18" s="119">
        <f t="shared" si="5"/>
        <v>1055.8640730985169</v>
      </c>
      <c r="Q18" s="319">
        <v>1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VLOOKUP($A19,'[1]Cust. Price List'!$D$6:$O$14,2,0)</f>
        <v>Meat Masala (Jumbo)</v>
      </c>
      <c r="C19" s="106">
        <f>VLOOKUP(B19,'[1]Cust. Price List'!E9:P17,2,0)</f>
        <v>120</v>
      </c>
      <c r="D19" s="284">
        <f>VLOOKUP(A19,'[1]Cust. Price List'!D9:M17,4,0)</f>
        <v>40</v>
      </c>
      <c r="E19" s="291">
        <f>VLOOKUP(A19,'[1]Cust. Price List'!D9:M17,6,0)</f>
        <v>90</v>
      </c>
      <c r="F19" s="292">
        <f>VLOOKUP(A19,'[1]Cust.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145.28</v>
      </c>
      <c r="K19" s="128">
        <f t="shared" si="1"/>
        <v>50.848000000000006</v>
      </c>
      <c r="L19" s="119">
        <f t="shared" si="1"/>
        <v>0</v>
      </c>
      <c r="M19" s="230">
        <f t="shared" si="2"/>
        <v>1256.672</v>
      </c>
      <c r="N19" s="277">
        <f t="shared" si="3"/>
        <v>274.57627118644069</v>
      </c>
      <c r="O19" s="239">
        <f t="shared" si="4"/>
        <v>7.6562413559322033</v>
      </c>
      <c r="P19" s="119">
        <f t="shared" si="5"/>
        <v>1538.9045125423729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VLOOKUP($A20,'[1]Cust. Price List'!$D$6:$O$14,2,0)</f>
        <v>Lemon Tarka (Jumbo)</v>
      </c>
      <c r="C20" s="106">
        <f>VLOOKUP(B20,'[1]Cust. Price List'!E10:P18,2,0)</f>
        <v>120</v>
      </c>
      <c r="D20" s="284">
        <f>VLOOKUP(A20,'[1]Cust. Price List'!D10:M18,4,0)</f>
        <v>40</v>
      </c>
      <c r="E20" s="291">
        <f>VLOOKUP(A20,'[1]Cust. Price List'!D10:M18,6,0)</f>
        <v>90</v>
      </c>
      <c r="F20" s="292">
        <f>VLOOKUP(A20,'[1]Cust.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145.28</v>
      </c>
      <c r="K20" s="128">
        <f t="shared" si="1"/>
        <v>50.848000000000006</v>
      </c>
      <c r="L20" s="119">
        <f t="shared" si="1"/>
        <v>0</v>
      </c>
      <c r="M20" s="230">
        <f t="shared" si="2"/>
        <v>1256.672</v>
      </c>
      <c r="N20" s="277">
        <f t="shared" si="3"/>
        <v>274.57627118644069</v>
      </c>
      <c r="O20" s="239">
        <f t="shared" si="4"/>
        <v>7.6562413559322033</v>
      </c>
      <c r="P20" s="119">
        <f t="shared" si="5"/>
        <v>1538.9045125423729</v>
      </c>
      <c r="Q20" s="319"/>
      <c r="R20">
        <f>P20/21</f>
        <v>73.281167263922526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VLOOKUP($A21,'[1]Cust. Price List'!$D$6:$O$14,2,0)</f>
        <v>Chicken Chatkhara (Jumbo)</v>
      </c>
      <c r="C21" s="106">
        <f>VLOOKUP(B21,'[1]Cust. Price List'!E11:P19,2,0)</f>
        <v>120</v>
      </c>
      <c r="D21" s="284">
        <f>VLOOKUP(A21,'[1]Cust. Price List'!D11:M19,4,0)</f>
        <v>40</v>
      </c>
      <c r="E21" s="291">
        <f>VLOOKUP(A21,'[1]Cust. Price List'!D11:M19,6,0)</f>
        <v>90</v>
      </c>
      <c r="F21" s="292">
        <f>VLOOKUP(A21,'[1]Cust.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145.28</v>
      </c>
      <c r="K21" s="128">
        <f t="shared" si="1"/>
        <v>50.848000000000006</v>
      </c>
      <c r="L21" s="119">
        <f t="shared" si="1"/>
        <v>0</v>
      </c>
      <c r="M21" s="230">
        <f t="shared" si="2"/>
        <v>1256.672</v>
      </c>
      <c r="N21" s="277">
        <f t="shared" si="3"/>
        <v>274.57627118644069</v>
      </c>
      <c r="O21" s="239">
        <f t="shared" si="4"/>
        <v>7.6562413559322033</v>
      </c>
      <c r="P21" s="119">
        <f t="shared" si="5"/>
        <v>1538.9045125423729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VLOOKUP($A22,'[1]Cust. Price List'!$D$6:$O$14,2,0)</f>
        <v>Chicken Chatkhara  (ECO)</v>
      </c>
      <c r="C22" s="106">
        <f>VLOOKUP(B22,'[1]Cust. Price List'!E12:P20,2,0)</f>
        <v>60</v>
      </c>
      <c r="D22" s="284">
        <f>VLOOKUP(A22,'[1]Cust. Price List'!D12:M20,4,0)</f>
        <v>40</v>
      </c>
      <c r="E22" s="291">
        <f>VLOOKUP(A22,'[1]Cust. Price List'!D12:M20,6,0)</f>
        <v>50</v>
      </c>
      <c r="F22" s="292">
        <f>VLOOKUP(A22,'[1]Cust.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VLOOKUP($A23,'[1]Cust. Price List'!$D$6:$O$14,2,0)</f>
        <v>Lemon Tarka (ECO)</v>
      </c>
      <c r="C23" s="106">
        <f>VLOOKUP(B23,'[1]Cust. Price List'!E13:P21,2,0)</f>
        <v>60</v>
      </c>
      <c r="D23" s="284">
        <f>VLOOKUP(A23,'[1]Cust. Price List'!D13:M21,4,0)</f>
        <v>40</v>
      </c>
      <c r="E23" s="291">
        <f>VLOOKUP(A23,'[1]Cust. Price List'!D13:M21,6,0)</f>
        <v>50</v>
      </c>
      <c r="F23" s="292">
        <f>VLOOKUP(A23,'[1]Cust.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VLOOKUP($A24,'[1]Cust. Price List'!$D$6:$O$14,2,0)</f>
        <v>Meat Masala (ECO)</v>
      </c>
      <c r="C24" s="107">
        <f>VLOOKUP(B24,'[1]Cust. Price List'!E14:P22,2,0)</f>
        <v>60</v>
      </c>
      <c r="D24" s="285">
        <f>VLOOKUP(A24,'[1]Cust. Price List'!D14:M22,4,0)</f>
        <v>40</v>
      </c>
      <c r="E24" s="293">
        <f>VLOOKUP(A24,'[1]Cust. Price List'!D14:M22,6,0)</f>
        <v>50</v>
      </c>
      <c r="F24" s="294">
        <f>VLOOKUP(A24,'[1]Cust.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105</v>
      </c>
      <c r="I25" s="114">
        <f t="shared" si="7"/>
        <v>6719.2125000000005</v>
      </c>
      <c r="J25" s="274">
        <f>SUM(J16:J24)</f>
        <v>671.92124999999999</v>
      </c>
      <c r="K25" s="275">
        <f t="shared" si="7"/>
        <v>235.17243750000003</v>
      </c>
      <c r="L25" s="276">
        <f t="shared" si="7"/>
        <v>0</v>
      </c>
      <c r="M25" s="232">
        <f t="shared" si="7"/>
        <v>5812.1188125000008</v>
      </c>
      <c r="N25" s="233">
        <f>SUM(N16:N24)</f>
        <v>1269.9152542372879</v>
      </c>
      <c r="O25" s="101">
        <f>SUM(O16:O24)</f>
        <v>35.410170333686438</v>
      </c>
      <c r="P25" s="234">
        <f>SUM(P16:P24)</f>
        <v>7117.4442370709739</v>
      </c>
      <c r="Q25" s="239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ht="14.5" customHeight="1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6719.2125000000005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671.92124999999999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235.17243750000003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5812.1188124999999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1269.9152542372879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7082.0340667372875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35.410170333686438</v>
      </c>
    </row>
    <row r="35" spans="2:16" ht="15.75" customHeight="1" thickBot="1" x14ac:dyDescent="0.4">
      <c r="N35" s="345" t="s">
        <v>88</v>
      </c>
      <c r="O35" s="346"/>
      <c r="P35" s="297">
        <f>+P33+P34</f>
        <v>7117.4442370709739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A943F4E2-B601-4F07-AA16-D9E64D65FDFF}">
      <formula1>$XFD$12:$XFD$17</formula1>
    </dataValidation>
    <dataValidation type="list" allowBlank="1" showInputMessage="1" showErrorMessage="1" sqref="B12" xr:uid="{743C0A99-9D8F-4FD9-A8F8-CDA7C166BD5C}">
      <formula1>$XFC$6:$XFC$7</formula1>
    </dataValidation>
    <dataValidation type="list" allowBlank="1" showInputMessage="1" showErrorMessage="1" sqref="B11" xr:uid="{ACD5C030-576B-4674-A834-7A42CE3D097A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2026-09-26T08:46:00Z</dcterms:modified>
</cp:coreProperties>
</file>