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F9FF49D-7F54-4DD4-9BC7-95D9F5B4BB6B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8" l="1"/>
  <c r="N4" i="68"/>
  <c r="N5" i="68" s="1"/>
  <c r="N4" i="51"/>
  <c r="N4" i="55"/>
  <c r="N5" i="55" s="1"/>
  <c r="N4" i="67"/>
  <c r="N5" i="67" s="1"/>
  <c r="N4" i="46"/>
  <c r="N4" i="53"/>
  <c r="N4" i="69"/>
  <c r="N5" i="69" s="1"/>
  <c r="N4" i="59"/>
  <c r="N4" i="61"/>
  <c r="N5" i="11"/>
  <c r="N4" i="50"/>
  <c r="N5" i="50" s="1"/>
  <c r="N4" i="57"/>
  <c r="N4" i="64"/>
  <c r="N5" i="64" s="1"/>
  <c r="N4" i="63"/>
  <c r="N5" i="63" s="1"/>
  <c r="N4" i="70"/>
  <c r="N5" i="70" s="1"/>
  <c r="N4" i="45"/>
  <c r="N4" i="65"/>
  <c r="N5" i="65" s="1"/>
  <c r="N4" i="60"/>
  <c r="N4" i="52"/>
  <c r="N5" i="52" s="1"/>
  <c r="N4" i="44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<sst xmlns="http://schemas.openxmlformats.org/spreadsheetml/2006/main" count="3948" uniqueCount="522">
  <si>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</si>
  <si>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</si>
  <si>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</si>
  <si>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</si>
  <si>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</si>
  <si>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</si>
  <si>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</si>
  <si>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</si>
  <si>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</si>
  <si>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</si>
  <si>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</si>
  <si>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</si>
  <si>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</si>
  <si>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</si>
  <si>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</si>
  <si>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</si>
  <si>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</si>
  <si>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</si>
  <si>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</si>
  <si>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</si>
  <si>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</si>
  <si>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</si>
  <si>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</si>
  <si>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</si>
  <si>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</si>
  <si>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</si>
  <si>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</si>
  <si>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</si>
  <si>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</si>
  <si>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</si>
  <si>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</si>
  <si>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</si>
  <si>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</si>
  <si>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</si>
  <si>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</si>
  <si>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</si>
  <si>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</si>
  <si>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</si>
  <si>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</si>
  <si>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</si>
  <si>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</si>
  <si>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</si>
  <si>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</si>
  <si>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</si>
  <si>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</si>
  <si>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</si>
  <si>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</si>
  <si>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</si>
  <si>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</si>
  <si>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</si>
  <si>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</si>
  <si>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</si>
  <si>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</si>
  <si>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</si>
  <si>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</si>
  <si>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</si>
  <si>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</si>
  <si>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</si>
  <si>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</si>
  <si>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</si>
  <si>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</si>
  <si>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</si>
  <si>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</si>
  <si>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</si>
  <si>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</si>
  <si>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</si>
  <si>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</si>
  <si>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</si>
  <si>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</si>
  <si>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</si>
  <si>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</si>
  <si>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</si>
  <si>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</si>
  <si>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</si>
  <si>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</si>
  <si>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</si>
  <si>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</si>
  <si>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</si>
  <si>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</si>
  <si>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</si>
  <si>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</si>
  <si>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</si>
  <si>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</si>
  <si>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</si>
  <si>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</si>
  <si>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</si>
  <si>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</si>
  <si>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</si>
  <si>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</si>
  <si>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</si>
  <si>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</si>
  <si>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</si>
  <si>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</si>
  <si>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</si>
  <si>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</si>
  <si>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</si>
  <si>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</si>
  <si>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</si>
  <si>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</si>
  <si>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</si>
  <si>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</si>
  <si>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</si>
  <si>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</si>
  <si>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</si>
  <si>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</si>
  <si>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</si>
  <si>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</si>
  <si>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</si>
  <si>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</si>
  <si>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</si>
  <si>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</si>
  <si>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</si>
  <si>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</si>
  <si>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</si>
  <si>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</si>
  <si>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</si>
  <si>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</si>
  <si>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</si>
  <si>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</si>
  <si>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</si>
  <si>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</si>
  <si>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</si>
  <si>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</si>
  <si>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</si>
  <si>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</si>
  <si>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</si>
  <si>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</si>
  <si>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</si>
  <si>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</si>
  <si>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</si>
  <si>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</si>
  <si>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</si>
  <si>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</si>
  <si>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</si>
  <si>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</si>
  <si>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</si>
  <si>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</si>
  <si>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</si>
  <si>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</si>
  <si>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</si>
  <si>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</si>
  <si>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</si>
  <si>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</si>
  <si>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</si>
  <si>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</si>
  <si>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</si>
  <si>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</si>
  <si>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</si>
  <si>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</si>
  <si>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</si>
  <si>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</si>
  <si>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</si>
  <si>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</si>
  <si>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</si>
  <si>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</si>
  <si>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</si>
  <si>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</si>
  <si>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</si>
  <si>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</si>
  <si>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</si>
  <si>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</si>
  <si>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</si>
  <si>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</si>
  <si>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</si>
  <si>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</si>
  <si>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</si>
  <si>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</si>
  <si>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</si>
  <si>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</si>
  <si>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</si>
  <si>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</si>
  <si>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</si>
  <si>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</si>
  <si>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</si>
  <si>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</si>
  <si>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</si>
  <si>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</si>
  <si>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</si>
  <si>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</si>
  <si>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</si>
  <si>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</si>
  <si>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</si>
  <si>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</si>
  <si>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</si>
  <si>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</si>
  <si>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</si>
  <si>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</si>
  <si>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</si>
  <si>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</si>
  <si>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</si>
  <si>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</si>
  <si>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</si>
  <si>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</si>
  <si>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</si>
  <si>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</si>
  <si>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</si>
  <si>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</si>
  <si>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</si>
  <si>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</si>
  <si>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</si>
  <si>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</si>
  <si>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</si>
  <si>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</si>
  <si>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</si>
  <si>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</si>
  <si>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</si>
  <si>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</si>
  <si>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</si>
  <si>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</si>
  <si>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</si>
  <si>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</si>
  <si>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</si>
  <si>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</si>
  <si>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</si>
  <si>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</si>
  <si>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</si>
  <si>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</si>
  <si>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</si>
  <si>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</si>
  <si>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</si>
  <si>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</si>
  <si>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</si>
  <si>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</si>
  <si>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</si>
  <si>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</si>
  <si>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</si>
  <si>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</si>
  <si>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</si>
  <si>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</si>
  <si>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</si>
  <si>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</si>
  <si>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</si>
  <si>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</si>
  <si>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</si>
  <si>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</si>
  <si>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</si>
  <si>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</si>
  <si>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</si>
  <si>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</si>
  <si>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</si>
  <si>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</si>
  <si>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</si>
  <si>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</si>
  <si>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</si>
  <si>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</si>
  <si>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</si>
  <si>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</si>
  <si>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</si>
  <si>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</si>
  <si>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</si>
  <si>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</si>
  <si>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</si>
  <si>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</si>
  <si>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</si>
  <si>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</si>
  <si>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</si>
  <si>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</si>
  <si>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</si>
  <si>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</si>
  <si>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</si>
  <si>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</si>
  <si>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</si>
  <si>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</si>
  <si>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</si>
  <si>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</si>
  <si>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</si>
  <si>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</si>
  <si>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</si>
  <si>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</si>
  <si>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</si>
  <si>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</si>
  <si>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</si>
  <si>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</si>
  <si>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</si>
  <si>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</si>
  <si>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</si>
  <si>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</si>
  <si>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</si>
  <si>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</si>
  <si>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</si>
  <si>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</si>
  <si>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</si>
  <si>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</si>
  <si>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</si>
  <si>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</si>
  <si>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</si>
  <si>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</si>
  <si>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</si>
  <si>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</si>
  <si>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</si>
  <si>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</si>
  <si>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</si>
  <si>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</si>
  <si>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</si>
  <si>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</si>
  <si>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</si>
  <si>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</si>
  <si>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</si>
  <si>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</si>
  <si>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</si>
  <si>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</si>
  <si>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</si>
  <si>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</si>
  <si>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</si>
  <si>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</si>
  <si>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</si>
  <si>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</si>
  <si>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</si>
  <si>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</si>
  <si>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</si>
  <si>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</si>
  <si>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</si>
  <si>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</si>
  <si>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</si>
  <si>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</si>
  <si>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</si>
  <si>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</si>
  <si>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</si>
  <si>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</si>
  <si>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</si>
  <si>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</si>
  <si>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</si>
  <si>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</si>
  <si>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</si>
  <si>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</si>
  <si>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</si>
  <si>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</si>
  <si>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</si>
  <si>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</si>
  <si>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</si>
  <si>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</si>
  <si>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</si>
  <si>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</si>
  <si>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</si>
  <si>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</si>
  <si>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</si>
  <si>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</si>
  <si>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</si>
  <si>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</si>
  <si>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</si>
  <si>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</si>
  <si>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</si>
  <si>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</si>
  <si>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</si>
  <si>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</si>
  <si>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</si>
  <si>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</si>
  <si>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</si>
  <si>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</si>
  <si>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</si>
  <si>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</si>
  <si>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</si>
  <si>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</si>
  <si>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</si>
  <si>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</si>
  <si>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</si>
  <si>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</si>
  <si>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</si>
  <si>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</si>
  <si>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</si>
  <si>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</si>
  <si>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</si>
  <si>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</si>
  <si>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</si>
  <si>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</si>
  <si>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</si>
  <si>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</si>
  <si>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</si>
  <si>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</si>
  <si>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</si>
  <si>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</si>
  <si>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</si>
  <si>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</si>
  <si>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</si>
  <si>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</si>
  <si>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</si>
  <si>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</si>
  <si>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</si>
  <si>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</si>
  <si>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</si>
  <si>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</si>
  <si>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</si>
  <si>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</si>
  <si>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</si>
  <si>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</si>
  <si>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</si>
  <si>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</si>
  <si>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</si>
  <si>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</si>
  <si>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</si>
  <si>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</si>
  <si>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</si>
  <si>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</si>
  <si>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</si>
  <si>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</si>
  <si>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</si>
  <si>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</si>
  <si>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</si>
  <si>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</si>
  <si>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</si>
  <si>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</si>
  <si>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</si>
  <si>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</si>
  <si>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</si>
  <si>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</si>
  <si>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</si>
  <si>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</si>
  <si>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</si>
  <si>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</si>
  <si>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</si>
  <si>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</si>
  <si>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</si>
  <si>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</si>
  <si>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</si>
  <si>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</si>
  <si>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</si>
  <si>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</si>
  <si>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</si>
  <si>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</si>
  <si>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</si>
  <si>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</si>
  <si>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</si>
  <si>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</si>
  <si>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</si>
  <si>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</si>
  <si>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</si>
  <si>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</si>
  <si>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</si>
  <si>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</si>
  <si>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</si>
  <si>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</si>
  <si>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</si>
  <si>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</si>
  <si>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</si>
  <si>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</si>
  <si>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</si>
  <si>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</si>
  <si>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</si>
  <si>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</si>
  <si>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</si>
  <si>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</si>
  <si>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</si>
  <si>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</si>
  <si>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</si>
  <si>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</si>
  <si>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</si>
  <si>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</si>
  <si>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</si>
  <si>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</si>
  <si>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</si>
  <si>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</si>
  <si>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</si>
  <si>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</si>
  <si>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</si>
  <si>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</si>
  <si>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</si>
  <si>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</si>
  <si>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</si>
  <si>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</si>
  <si>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</si>
  <si>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</si>
  <si>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</si>
  <si>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</si>
  <si>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</si>
  <si>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</si>
  <si>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</si>
  <si>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</si>
  <si>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</si>
  <si>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</si>
  <si>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</si>
  <si>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</si>
  <si>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</si>
  <si>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</si>
  <si>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</si>
  <si>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</si>
  <si>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</si>
  <si>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</si>
  <si>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</si>
  <si>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</si>
  <si>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</si>
  <si>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</si>
  <si>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</si>
  <si>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</si>
  <si>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</si>
  <si>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</si>
  <si>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</si>
  <si>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</si>
  <si>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</si>
  <si>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</si>
  <si>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</si>
  <si>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</si>
  <si>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</si>
  <si>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</si>
  <si>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</si>
  <si>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</si>
  <si>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</si>
  <si>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</si>
  <si>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</si>
  <si>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</si>
  <si>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</si>
  <si>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</si>
  <si>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</si>
  <si>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</si>
  <si>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</si>
  <si>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</si>
  <si>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</si>
  <si>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</si>
  <si>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</si>
  <si>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</si>
  <si>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</si>
  <si>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</si>
  <si>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</si>
  <si>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</si>
  <si>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</si>
  <si>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>Swat Variety Store</t>
  </si>
  <si>
    <t>Address: Gopal Nager Bazar</t>
  </si>
  <si>
    <t>Husnain Store</t>
  </si>
  <si>
    <t xml:space="preserve">Friend Mart </t>
  </si>
  <si>
    <t>E Cart Stroe</t>
  </si>
  <si>
    <t>Fazale Kabeer</t>
  </si>
  <si>
    <t>New Kashmir Bakerry</t>
  </si>
  <si>
    <t xml:space="preserve">Pak Bakers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</si>
</sst>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6" workbookViewId="0">
      <selection activeCell="F29" sqref="F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46291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Swat Variety Store</v>
      </c>
      <c r="T3" s="301">
        <f>+'1'!P35</f>
        <v>3136.2115850847458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Husnain Store</v>
      </c>
      <c r="T4" s="301">
        <f>+'2'!P35</f>
        <v>2700.6315839618646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Friend Mart </v>
      </c>
      <c r="T5" s="301">
        <f>+'3'!P35</f>
        <v>3136.2115850847458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E Cart Stroe</v>
      </c>
      <c r="T6" s="301">
        <f>+'4'!P35</f>
        <v>1620.3789503771181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26</v>
      </c>
      <c r="I7" s="235">
        <f>(G7*D7)*F7+H7*F7</f>
        <v>1364.0249999999999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109.122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47.740875000000003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1207.1621249999998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257.79661016949143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7.3247936758474577</v>
      </c>
      <c r="P7" s="310">
        <f>M7+N7+O7</f>
        <v>1472.2835288453389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Fazale Kabeer</v>
      </c>
      <c r="T7" s="301">
        <f>+'5'!P35</f>
        <v>1685.7159505455511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23</v>
      </c>
      <c r="I8" s="236">
        <f t="shared" ref="I8:I14" si="0">(G8*D8)*F8+H8*F8</f>
        <v>1206.6375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96.530999999999992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42.232312500000006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1067.8741875000001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228.05084745762701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6.4796251747881346</v>
      </c>
      <c r="P8" s="311">
        <f t="shared" ref="P8:P15" si="2">M8+N8+O8</f>
        <v>1302.4046601324153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New Kashmir Bakerry</v>
      </c>
      <c r="T8" s="301">
        <f>+'6'!P35</f>
        <v>4050.947375942796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167.87999999999997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73.447499999999991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1857.1725000000001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11.268913347457627</v>
      </c>
      <c r="P9" s="311">
        <f t="shared" si="2"/>
        <v>2265.051582838983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Pak Bakers </v>
      </c>
      <c r="T9" s="301">
        <f>+'7'!P35</f>
        <v>1254.4890811588984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73</v>
      </c>
      <c r="I10" s="236">
        <f t="shared" si="0"/>
        <v>5302.72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424.21760000000006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185.59520000000001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4692.9072000000006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1002.2033898305084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28.47555294915254</v>
      </c>
      <c r="P10" s="311">
        <f t="shared" si="2"/>
        <v>5723.5861427796608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232.44800000000001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2571.4560000000001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15.603042711864408</v>
      </c>
      <c r="P11" s="311">
        <f t="shared" si="2"/>
        <v>3136.2115850847458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47</v>
      </c>
      <c r="I12" s="236">
        <f t="shared" si="0"/>
        <v>3414.08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273.12640000000005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119.49280000000002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3021.4607999999998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645.25423728813564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18.33357518644068</v>
      </c>
      <c r="P12" s="311">
        <f t="shared" si="2"/>
        <v>3685.0486124745762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6.2249999999999996</v>
      </c>
      <c r="H16" s="113">
        <f t="shared" ref="H16:M16" si="3">SUM(H7:H15)</f>
        <v>249</v>
      </c>
      <c r="I16" s="114">
        <f t="shared" si="3"/>
        <v>16291.5625</v>
      </c>
      <c r="J16" s="274">
        <f>SUM(J7:J15)</f>
        <v>1303.3250000000003</v>
      </c>
      <c r="K16" s="275">
        <f t="shared" si="3"/>
        <v>570.20468749999998</v>
      </c>
      <c r="L16" s="276">
        <f t="shared" si="3"/>
        <v>0</v>
      </c>
      <c r="M16" s="232">
        <f t="shared" si="3"/>
        <v>14418.032812500001</v>
      </c>
      <c r="N16" s="233">
        <f>SUM(N7:N15)</f>
        <v>3079.0677966101694</v>
      </c>
      <c r="O16" s="101">
        <f>SUM(O7:O15)</f>
        <v>87.485503045550843</v>
      </c>
      <c r="P16" s="113">
        <f>SUM(P7:P15)</f>
        <v>17584.586112155721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16291.5625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1303.3250000000003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570.20468749999998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14418.0328125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3079.0677966101694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17497.10060911017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87.485503045550843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17584.586112155721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17584.586112155721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7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7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</v>
      </c>
      <c r="J25" s="274">
        <f>SUM(J16:J24)</f>
        <v>232.44800000000001</v>
      </c>
      <c r="K25" s="275">
        <f t="shared" si="10"/>
        <v>101.69600000000001</v>
      </c>
      <c r="L25" s="276">
        <f t="shared" si="10"/>
        <v>0</v>
      </c>
      <c r="M25" s="232">
        <f t="shared" si="10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2502.0500000000002</v>
      </c>
      <c r="J25" s="274">
        <f>SUM(J16:J24)</f>
        <v>200.16399999999999</v>
      </c>
      <c r="K25" s="275">
        <f t="shared" si="7"/>
        <v>87.571750000000009</v>
      </c>
      <c r="L25" s="276">
        <f t="shared" si="7"/>
        <v>0</v>
      </c>
      <c r="M25" s="232">
        <f t="shared" si="7"/>
        <v>2214.3142500000004</v>
      </c>
      <c r="N25" s="233">
        <f>SUM(N16:N24)</f>
        <v>472.88135593220329</v>
      </c>
      <c r="O25" s="101">
        <f>SUM(O16:O24)</f>
        <v>13.435978029661017</v>
      </c>
      <c r="P25" s="234">
        <f>SUM(P16:P24)</f>
        <v>2700.6315839618646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2502.0500000000002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200.16399999999999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87.571750000000009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2214.3142500000004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472.88135593220329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2687.1956059322038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13.435978029661019</v>
      </c>
    </row>
    <row r="35" spans="2:16" ht="15.75" customHeight="1" thickBot="1" x14ac:dyDescent="0.4">
      <c r="N35" s="345" t="s">
        <v>88</v>
      </c>
      <c r="O35" s="346"/>
      <c r="P35" s="297">
        <f>+P33+P34</f>
        <v>2700.6315839618646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118">
        <f>M16+N16+O16</f>
        <v>226.50515828389825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119">
        <f t="shared" ref="P17:P24" si="5">M17+N17+O17</f>
        <v>226.50515828389825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</v>
      </c>
      <c r="I20" s="236">
        <f t="shared" si="0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119">
        <f t="shared" si="5"/>
        <v>313.62115850847459</v>
      </c>
      <c r="Q20" s="319"/>
      <c r="R20">
        <f>P20/21</f>
        <v>14.934340881355933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1501.2299999999998</v>
      </c>
      <c r="J25" s="274">
        <f>SUM(J16:J24)</f>
        <v>120.0984</v>
      </c>
      <c r="K25" s="275">
        <f t="shared" si="7"/>
        <v>52.543050000000008</v>
      </c>
      <c r="L25" s="276">
        <f t="shared" si="7"/>
        <v>0</v>
      </c>
      <c r="M25" s="232">
        <f t="shared" si="7"/>
        <v>1328.5885500000002</v>
      </c>
      <c r="N25" s="233">
        <f>SUM(N16:N24)</f>
        <v>283.72881355932202</v>
      </c>
      <c r="O25" s="101">
        <f>SUM(O16:O24)</f>
        <v>8.0615868177966092</v>
      </c>
      <c r="P25" s="234">
        <f>SUM(P16:P24)</f>
        <v>1620.3789503771184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1501.2299999999998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120.0984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52.543050000000008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1328.5885499999997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283.72881355932202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1612.3173635593216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8.0615868177966075</v>
      </c>
    </row>
    <row r="35" spans="2:16" ht="15.75" customHeight="1" thickBot="1" x14ac:dyDescent="0.4">
      <c r="N35" s="345" t="s">
        <v>88</v>
      </c>
      <c r="O35" s="346"/>
      <c r="P35" s="297">
        <f>+P33+P34</f>
        <v>1620.3789503771181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</v>
      </c>
      <c r="I17" s="236">
        <f t="shared" ref="I17:I23" si="0">(G17*D17)*F17+H17*F17</f>
        <v>157.38749999999999</v>
      </c>
      <c r="J17" s="272">
        <f t="shared" ref="J17:L24" si="1">$I17*S17</f>
        <v>12.590999999999999</v>
      </c>
      <c r="K17" s="128">
        <f>$I17*T17</f>
        <v>5.5085625</v>
      </c>
      <c r="L17" s="119">
        <f>$I17*U17</f>
        <v>0</v>
      </c>
      <c r="M17" s="230">
        <f t="shared" ref="M17:M24" si="2">I17-SUM(J17:L17)</f>
        <v>139.2879375</v>
      </c>
      <c r="N17" s="277">
        <f t="shared" ref="N17:N24" si="3">+(G17*D17+H17)*V17</f>
        <v>29.745762711864394</v>
      </c>
      <c r="O17" s="239">
        <f t="shared" ref="O17:O24" si="4">(N17+M17)*$O$15</f>
        <v>0.84516850105932195</v>
      </c>
      <c r="P17" s="119">
        <f t="shared" ref="P17:P24" si="5">M17+N17+O17</f>
        <v>169.87886871292372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1561.7625000000003</v>
      </c>
      <c r="J25" s="274">
        <f>SUM(J16:J24)</f>
        <v>124.94099999999999</v>
      </c>
      <c r="K25" s="275">
        <f t="shared" si="7"/>
        <v>54.661687500000006</v>
      </c>
      <c r="L25" s="276">
        <f t="shared" si="7"/>
        <v>0</v>
      </c>
      <c r="M25" s="232">
        <f t="shared" si="7"/>
        <v>1382.1598125</v>
      </c>
      <c r="N25" s="233">
        <f>SUM(N16:N24)</f>
        <v>295.16949152542372</v>
      </c>
      <c r="O25" s="101">
        <f>SUM(O16:O24)</f>
        <v>8.386646520127119</v>
      </c>
      <c r="P25" s="234">
        <f>SUM(P16:P24)</f>
        <v>1685.7159505455509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1561.7625000000003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124.94099999999999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54.661687500000006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1382.1598125000003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295.16949152542372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1677.3293040254239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8.386646520127119</v>
      </c>
    </row>
    <row r="35" spans="2:16" ht="15.75" customHeight="1" thickBot="1" x14ac:dyDescent="0.4">
      <c r="N35" s="345" t="s">
        <v>88</v>
      </c>
      <c r="O35" s="346"/>
      <c r="P35" s="297">
        <f>+P33+P34</f>
        <v>1685.7159505455511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60</v>
      </c>
      <c r="I25" s="114">
        <f t="shared" si="7"/>
        <v>3753.0750000000003</v>
      </c>
      <c r="J25" s="274">
        <f>SUM(J16:J24)</f>
        <v>300.24599999999998</v>
      </c>
      <c r="K25" s="275">
        <f t="shared" si="7"/>
        <v>131.35762500000001</v>
      </c>
      <c r="L25" s="276">
        <f t="shared" si="7"/>
        <v>0</v>
      </c>
      <c r="M25" s="232">
        <f t="shared" si="7"/>
        <v>3321.4713750000001</v>
      </c>
      <c r="N25" s="233">
        <f>SUM(N16:N24)</f>
        <v>709.32203389830488</v>
      </c>
      <c r="O25" s="101">
        <f>SUM(O16:O24)</f>
        <v>20.153967044491523</v>
      </c>
      <c r="P25" s="234">
        <f>SUM(P16:P24)</f>
        <v>4050.9473759427965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3753.0750000000003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300.24599999999998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131.35762500000001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3321.4713750000001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709.32203389830488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4030.7934088983047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20.153967044491523</v>
      </c>
    </row>
    <row r="35" spans="2:16" ht="15.75" customHeight="1" thickBot="1" x14ac:dyDescent="0.4">
      <c r="N35" s="345" t="s">
        <v>88</v>
      </c>
      <c r="O35" s="346"/>
      <c r="P35" s="297">
        <f>+P33+P34</f>
        <v>4050.947375942796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21</v>
      </c>
      <c r="I25" s="114">
        <f t="shared" si="7"/>
        <v>1162.2449999999999</v>
      </c>
      <c r="J25" s="274">
        <f>SUM(J16:J24)</f>
        <v>92.979599999999991</v>
      </c>
      <c r="K25" s="275">
        <f t="shared" si="7"/>
        <v>40.678575000000002</v>
      </c>
      <c r="L25" s="276">
        <f t="shared" si="7"/>
        <v>0</v>
      </c>
      <c r="M25" s="232">
        <f t="shared" si="7"/>
        <v>1028.5868250000001</v>
      </c>
      <c r="N25" s="233">
        <f>SUM(N16:N24)</f>
        <v>219.6610169491525</v>
      </c>
      <c r="O25" s="101">
        <f>SUM(O16:O24)</f>
        <v>6.2412392097457623</v>
      </c>
      <c r="P25" s="234">
        <f>SUM(P16:P24)</f>
        <v>1254.4890811588982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1162.2449999999999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92.979599999999991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40.678575000000002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1028.5868250000001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219.6610169491525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1248.2478419491526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6.2412392097457632</v>
      </c>
    </row>
    <row r="35" spans="2:16" ht="15.75" customHeight="1" thickBot="1" x14ac:dyDescent="0.4">
      <c r="N35" s="345" t="s">
        <v>88</v>
      </c>
      <c r="O35" s="346"/>
      <c r="P35" s="297">
        <f>+P33+P34</f>
        <v>1254.4890811588984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46291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46290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2026-09-25T12:27:01Z</dcterms:modified>
</cp:coreProperties>
</file>