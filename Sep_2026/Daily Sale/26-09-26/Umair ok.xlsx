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5BC67BD-3F41-4F8C-9C3E-2070EDA02E8B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8" l="1"/>
  <c r="N4" i="68"/>
  <c r="N5" i="68" s="1"/>
  <c r="N4" i="51"/>
  <c r="N4" i="55"/>
  <c r="N5" i="55" s="1"/>
  <c r="N4" i="67"/>
  <c r="N5" i="67" s="1"/>
  <c r="N4" i="46"/>
  <c r="N4" i="53"/>
  <c r="N4" i="69"/>
  <c r="N5" i="69" s="1"/>
  <c r="N4" i="59"/>
  <c r="N4" i="61"/>
  <c r="N5" i="11"/>
  <c r="N4" i="50"/>
  <c r="N5" i="50" s="1"/>
  <c r="N4" i="57"/>
  <c r="N4" i="64"/>
  <c r="N5" i="64" s="1"/>
  <c r="N4" i="63"/>
  <c r="N5" i="63" s="1"/>
  <c r="N4" i="70"/>
  <c r="N5" i="70" s="1"/>
  <c r="N4" i="45"/>
  <c r="N4" i="65"/>
  <c r="N5" i="65" s="1"/>
  <c r="N4" i="60"/>
  <c r="N4" i="52"/>
  <c r="N5" i="52" s="1"/>
  <c r="N4" i="44"/>
  <c r="N4" i="72"/>
  <c r="N5" i="72" s="1"/>
  <c r="N4" i="71"/>
  <c r="N5" i="71" s="1"/>
  <c r="N4" i="54"/>
  <c r="N5" i="54" s="1"/>
  <c r="N4" i="66"/>
  <c r="N5" i="66" s="1"/>
  <c r="N4" i="49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R20" i="48" s="1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7" l="1"/>
  <c r="O20" i="47" s="1"/>
  <c r="P20" i="47" s="1"/>
  <c r="R20" i="47" s="1"/>
  <c r="M21" i="44"/>
  <c r="O21" i="44" s="1"/>
  <c r="P21" i="44" s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<sst xmlns="http://schemas.openxmlformats.org/spreadsheetml/2006/main" count="3948" uniqueCount="523">
  <si>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</si>
  <si>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</si>
  <si>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</si>
  <si>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</si>
  <si>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</si>
  <si>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</si>
  <si>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</si>
  <si>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</si>
  <si>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</si>
  <si>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</si>
  <si>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</si>
  <si>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</si>
  <si>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</si>
  <si>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</si>
  <si>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</si>
  <si>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</si>
  <si>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</si>
  <si>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</si>
  <si>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</si>
  <si>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</si>
  <si>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</si>
  <si>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</si>
  <si>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</si>
  <si>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</si>
  <si>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</si>
  <si>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</si>
  <si>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</si>
  <si>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</si>
  <si>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</si>
  <si>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</si>
  <si>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</si>
  <si>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</si>
  <si>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</si>
  <si>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</si>
  <si>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</si>
  <si>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</si>
  <si>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</si>
  <si>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</si>
  <si>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</si>
  <si>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</si>
  <si>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</si>
  <si>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</si>
  <si>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</si>
  <si>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</si>
  <si>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</si>
  <si>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</si>
  <si>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</si>
  <si>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</si>
  <si>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</si>
  <si>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</si>
  <si>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</si>
  <si>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</si>
  <si>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</si>
  <si>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</si>
  <si>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</si>
  <si>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</si>
  <si>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</si>
  <si>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</si>
  <si>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</si>
  <si>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</si>
  <si>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</si>
  <si>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</si>
  <si>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</si>
  <si>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</si>
  <si>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</si>
  <si>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</si>
  <si>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</si>
  <si>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</si>
  <si>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</si>
  <si>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</si>
  <si>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</si>
  <si>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</si>
  <si>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</si>
  <si>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</si>
  <si>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</si>
  <si>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</si>
  <si>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</si>
  <si>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</si>
  <si>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</si>
  <si>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</si>
  <si>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</si>
  <si>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</si>
  <si>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</si>
  <si>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</si>
  <si>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</si>
  <si>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</si>
  <si>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</si>
  <si>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</si>
  <si>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</si>
  <si>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</si>
  <si>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</si>
  <si>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</si>
  <si>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</si>
  <si>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</si>
  <si>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</si>
  <si>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</si>
  <si>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</si>
  <si>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</si>
  <si>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</si>
  <si>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</si>
  <si>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</si>
  <si>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</si>
  <si>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</si>
  <si>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</si>
  <si>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</si>
  <si>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</si>
  <si>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</si>
  <si>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</si>
  <si>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</si>
  <si>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</si>
  <si>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</si>
  <si>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</si>
  <si>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</si>
  <si>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</si>
  <si>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</si>
  <si>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</si>
  <si>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</si>
  <si>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</si>
  <si>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</si>
  <si>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</si>
  <si>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</si>
  <si>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</si>
  <si>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</si>
  <si>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</si>
  <si>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</si>
  <si>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</si>
  <si>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</si>
  <si>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</si>
  <si>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</si>
  <si>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</si>
  <si>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</si>
  <si>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</si>
  <si>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</si>
  <si>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</si>
  <si>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</si>
  <si>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</si>
  <si>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</si>
  <si>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</si>
  <si>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</si>
  <si>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</si>
  <si>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</si>
  <si>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</si>
  <si>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</si>
  <si>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</si>
  <si>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</si>
  <si>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</si>
  <si>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</si>
  <si>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</si>
  <si>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</si>
  <si>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</si>
  <si>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</si>
  <si>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</si>
  <si>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</si>
  <si>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</si>
  <si>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</si>
  <si>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</si>
  <si>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</si>
  <si>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</si>
  <si>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</si>
  <si>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</si>
  <si>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</si>
  <si>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</si>
  <si>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</si>
  <si>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</si>
  <si>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</si>
  <si>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</si>
  <si>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</si>
  <si>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</si>
  <si>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</si>
  <si>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</si>
  <si>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</si>
  <si>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</si>
  <si>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</si>
  <si>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</si>
  <si>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</si>
  <si>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</si>
  <si>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</si>
  <si>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</si>
  <si>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</si>
  <si>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</si>
  <si>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</si>
  <si>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</si>
  <si>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</si>
  <si>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</si>
  <si>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</si>
  <si>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</si>
  <si>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</si>
  <si>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</si>
  <si>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</si>
  <si>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</si>
  <si>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</si>
  <si>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</si>
  <si>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</si>
  <si>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</si>
  <si>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</si>
  <si>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</si>
  <si>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</si>
  <si>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</si>
  <si>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</si>
  <si>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</si>
  <si>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</si>
  <si>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</si>
  <si>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</si>
  <si>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</si>
  <si>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</si>
  <si>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</si>
  <si>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</si>
  <si>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</si>
  <si>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</si>
  <si>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</si>
  <si>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</si>
  <si>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</si>
  <si>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</si>
  <si>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</si>
  <si>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</si>
  <si>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</si>
  <si>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</si>
  <si>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</si>
  <si>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</si>
  <si>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</si>
  <si>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</si>
  <si>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</si>
  <si>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</si>
  <si>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</si>
  <si>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</si>
  <si>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</si>
  <si>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</si>
  <si>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</si>
  <si>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</si>
  <si>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</si>
  <si>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</si>
  <si>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</si>
  <si>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</si>
  <si>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</si>
  <si>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</si>
  <si>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</si>
  <si>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</si>
  <si>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</si>
  <si>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</si>
  <si>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</si>
  <si>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</si>
  <si>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</si>
  <si>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</si>
  <si>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</si>
  <si>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</si>
  <si>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</si>
  <si>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</si>
  <si>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</si>
  <si>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</si>
  <si>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</si>
  <si>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</si>
  <si>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</si>
  <si>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</si>
  <si>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</si>
  <si>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</si>
  <si>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</si>
  <si>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</si>
  <si>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</si>
  <si>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</si>
  <si>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</si>
  <si>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</si>
  <si>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</si>
  <si>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</si>
  <si>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</si>
  <si>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</si>
  <si>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</si>
  <si>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</si>
  <si>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</si>
  <si>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</si>
  <si>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</si>
  <si>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</si>
  <si>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</si>
  <si>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</si>
  <si>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</si>
  <si>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</si>
  <si>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</si>
  <si>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</si>
  <si>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</si>
  <si>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</si>
  <si>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</si>
  <si>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</si>
  <si>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</si>
  <si>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</si>
  <si>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</si>
  <si>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</si>
  <si>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</si>
  <si>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</si>
  <si>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</si>
  <si>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</si>
  <si>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</si>
  <si>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</si>
  <si>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</si>
  <si>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</si>
  <si>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</si>
  <si>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</si>
  <si>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</si>
  <si>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</si>
  <si>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</si>
  <si>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</si>
  <si>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</si>
  <si>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</si>
  <si>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</si>
  <si>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</si>
  <si>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</si>
  <si>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</si>
  <si>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</si>
  <si>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</si>
  <si>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</si>
  <si>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</si>
  <si>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</si>
  <si>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</si>
  <si>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</si>
  <si>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</si>
  <si>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</si>
  <si>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</si>
  <si>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</si>
  <si>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</si>
  <si>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</si>
  <si>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</si>
  <si>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</si>
  <si>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</si>
  <si>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</si>
  <si>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</si>
  <si>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</si>
  <si>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</si>
  <si>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</si>
  <si>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</si>
  <si>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</si>
  <si>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</si>
  <si>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</si>
  <si>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</si>
  <si>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</si>
  <si>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</si>
  <si>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</si>
  <si>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</si>
  <si>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</si>
  <si>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</si>
  <si>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</si>
  <si>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</si>
  <si>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</si>
  <si>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</si>
  <si>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</si>
  <si>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</si>
  <si>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</si>
  <si>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</si>
  <si>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</si>
  <si>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</si>
  <si>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</si>
  <si>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</si>
  <si>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</si>
  <si>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</si>
  <si>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</si>
  <si>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</si>
  <si>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</si>
  <si>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</si>
  <si>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</si>
  <si>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</si>
  <si>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</si>
  <si>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</si>
  <si>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</si>
  <si>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</si>
  <si>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</si>
  <si>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</si>
  <si>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</si>
  <si>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</si>
  <si>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</si>
  <si>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</si>
  <si>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</si>
  <si>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</si>
  <si>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</si>
  <si>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</si>
  <si>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</si>
  <si>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</si>
  <si>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</si>
  <si>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</si>
  <si>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</si>
  <si>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</si>
  <si>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</si>
  <si>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</si>
  <si>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</si>
  <si>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</si>
  <si>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</si>
  <si>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</si>
  <si>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</si>
  <si>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</si>
  <si>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</si>
  <si>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</si>
  <si>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</si>
  <si>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</si>
  <si>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</si>
  <si>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</si>
  <si>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</si>
  <si>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</si>
  <si>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</si>
  <si>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</si>
  <si>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</si>
  <si>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</si>
  <si>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</si>
  <si>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</si>
  <si>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</si>
  <si>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</si>
  <si>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</si>
  <si>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</si>
  <si>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</si>
  <si>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</si>
  <si>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</si>
  <si>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</si>
  <si>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</si>
  <si>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</si>
  <si>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</si>
  <si>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</si>
  <si>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</si>
  <si>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</si>
  <si>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</si>
  <si>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</si>
  <si>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</si>
  <si>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</si>
  <si>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</si>
  <si>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</si>
  <si>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</si>
  <si>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</si>
  <si>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</si>
  <si>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</si>
  <si>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</si>
  <si>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</si>
  <si>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</si>
  <si>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</si>
  <si>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</si>
  <si>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</si>
  <si>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</si>
  <si>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</si>
  <si>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</si>
  <si>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</si>
  <si>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</si>
  <si>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</si>
  <si>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</si>
  <si>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</si>
  <si>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</si>
  <si>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</si>
  <si>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</si>
  <si>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</si>
  <si>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</si>
  <si>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</si>
  <si>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</si>
  <si>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</si>
  <si>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</si>
  <si>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</si>
  <si>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</si>
  <si>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</si>
  <si>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</si>
  <si>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</si>
  <si>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</si>
  <si>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</si>
  <si>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</si>
  <si>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</si>
  <si>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</si>
  <si>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</si>
  <si>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</si>
  <si>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</si>
  <si>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</si>
  <si>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</si>
  <si>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</si>
  <si>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</si>
  <si>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</si>
  <si>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</si>
  <si>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</si>
  <si>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</si>
  <si>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</si>
  <si>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</si>
  <si>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</si>
  <si>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</si>
  <si>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</si>
  <si>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</si>
  <si>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</si>
  <si>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</si>
  <si>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</si>
  <si>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</si>
  <si>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</si>
  <si>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</si>
  <si>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</si>
  <si>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</si>
  <si>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</si>
  <si>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</si>
  <si>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</si>
  <si>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</si>
  <si>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</si>
  <si>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</si>
  <si>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</si>
  <si>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</si>
  <si>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</si>
  <si>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</si>
  <si>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</si>
  <si>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</si>
  <si>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</si>
  <si>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</si>
  <si>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</si>
  <si>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</si>
  <si>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</si>
  <si>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</si>
  <si>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</si>
  <si>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</si>
  <si>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</si>
  <si>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</si>
  <si>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</si>
  <si>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</si>
  <si>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</si>
  <si>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</si>
  <si>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</si>
  <si>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</si>
  <si>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</si>
  <si>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</si>
  <si>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</si>
  <si>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</si>
  <si>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</si>
  <si>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 xml:space="preserve">Address: Pak Arab </t>
  </si>
  <si>
    <t xml:space="preserve">Panda Mart </t>
  </si>
  <si>
    <t>Chuhan Store</t>
  </si>
  <si>
    <t xml:space="preserve">Easy Tobaco </t>
  </si>
  <si>
    <t>Roshan Store</t>
  </si>
  <si>
    <t>Haris Khan Store</t>
  </si>
  <si>
    <t xml:space="preserve">Family Choice </t>
  </si>
  <si>
    <t>Waleed Super Store</t>
  </si>
  <si>
    <t>Awan Super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</si>
</sst>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5" workbookViewId="0">
      <selection activeCell="I15" sqref="I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46291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Panda Mart </v>
      </c>
      <c r="T3" s="301">
        <f>+'1'!P35</f>
        <v>9408.6347552542375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Chuhan Store</v>
      </c>
      <c r="T4" s="301">
        <f>+'2'!P35</f>
        <v>2265.051582838983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Easy Tobaco </v>
      </c>
      <c r="T5" s="301">
        <f>+'3'!P35</f>
        <v>1411.2952132881355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Roshan Store</v>
      </c>
      <c r="T6" s="301">
        <f>+'4'!P35</f>
        <v>3136.2115850847463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15</v>
      </c>
      <c r="I7" s="235">
        <f>(G7*D7)*F7+H7*F7</f>
        <v>786.9375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62.954999999999998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27.542812500000004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696.43968749999999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148.72881355932196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4.22584250529661</v>
      </c>
      <c r="P7" s="310">
        <f>M7+N7+O7</f>
        <v>849.39434356461845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Haris Khan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</v>
      </c>
      <c r="I8" s="236">
        <f t="shared" ref="I8:I14" si="0">(G8*D8)*F8+H8*F8</f>
        <v>629.54999999999995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50.363999999999997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22.03425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557.15174999999999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118.98305084745758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3.3806740042372878</v>
      </c>
      <c r="P8" s="311">
        <f t="shared" ref="P8:P15" si="2">M8+N8+O8</f>
        <v>679.51547485169488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Family Choice </v>
      </c>
      <c r="T8" s="301">
        <f>+'6'!P35</f>
        <v>1568.1057925423729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13</v>
      </c>
      <c r="I9" s="236">
        <f t="shared" si="0"/>
        <v>682.01249999999993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54.560999999999993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23.870437500000001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603.58106249999992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128.89830508474572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3.6623968379237284</v>
      </c>
      <c r="P9" s="311">
        <f t="shared" si="2"/>
        <v>736.14176442266944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Waleed Super Store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86</v>
      </c>
      <c r="I10" s="236">
        <f t="shared" si="0"/>
        <v>6247.04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499.76320000000004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218.64640000000003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5528.6304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1180.6779661016949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33.546541830508474</v>
      </c>
      <c r="P10" s="311">
        <f t="shared" si="2"/>
        <v>6742.8549079322038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7</v>
      </c>
      <c r="R10" s="313">
        <v>8</v>
      </c>
      <c r="S10" s="300" t="str">
        <f>+'8'!A6:A6</f>
        <v>Awan Super Store</v>
      </c>
      <c r="T10" s="301">
        <f>+'8'!P35</f>
        <v>1568.1057925423731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87</v>
      </c>
      <c r="I11" s="236">
        <f t="shared" si="0"/>
        <v>6319.68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505.57440000000008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221.18880000000001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5592.9168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1194.406779661017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33.936617898305087</v>
      </c>
      <c r="P11" s="311">
        <f t="shared" si="2"/>
        <v>6821.2601975593225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6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85</v>
      </c>
      <c r="I12" s="236">
        <f t="shared" si="0"/>
        <v>6174.4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493.952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216.10400000000001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5464.3439999999991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1166.9491525423728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33.156465762711868</v>
      </c>
      <c r="P12" s="311">
        <f t="shared" si="2"/>
        <v>6664.4496183050842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7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7.45</v>
      </c>
      <c r="H16" s="113">
        <f t="shared" ref="H16:M16" si="3">SUM(H7:H15)</f>
        <v>298</v>
      </c>
      <c r="I16" s="114">
        <f t="shared" si="3"/>
        <v>20839.620000000003</v>
      </c>
      <c r="J16" s="274">
        <f>SUM(J7:J15)</f>
        <v>1667.1695999999999</v>
      </c>
      <c r="K16" s="275">
        <f t="shared" si="3"/>
        <v>729.38670000000002</v>
      </c>
      <c r="L16" s="276">
        <f t="shared" si="3"/>
        <v>0</v>
      </c>
      <c r="M16" s="232">
        <f t="shared" si="3"/>
        <v>18443.063699999999</v>
      </c>
      <c r="N16" s="233">
        <f>SUM(N7:N15)</f>
        <v>3938.6440677966102</v>
      </c>
      <c r="O16" s="101">
        <f>SUM(O7:O15)</f>
        <v>111.90853883898305</v>
      </c>
      <c r="P16" s="113">
        <f>SUM(P7:P15)</f>
        <v>22493.616306635595</v>
      </c>
      <c r="Q16" s="128">
        <f>SUM(Q7:Q15)</f>
        <v>20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20839.620000000003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1667.1695999999999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729.38670000000002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18443.063700000002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3938.6440677966102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22381.707767796612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111.90853883898305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22493.616306635595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22493.616306635595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8716.7999999999993</v>
      </c>
      <c r="J25" s="274">
        <f>SUM(J16:J24)</f>
        <v>697.34400000000005</v>
      </c>
      <c r="K25" s="275">
        <f t="shared" si="10"/>
        <v>305.08800000000002</v>
      </c>
      <c r="L25" s="276">
        <f t="shared" si="10"/>
        <v>0</v>
      </c>
      <c r="M25" s="232">
        <f t="shared" si="10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8716.7999999999993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697.34400000000005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305.08800000000002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7714.3679999999995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9361.8256271186438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4" t="s">
        <v>88</v>
      </c>
      <c r="O35" s="375"/>
      <c r="P35" s="297">
        <f>+P33+P34</f>
        <v>9408.6347552542375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13</v>
      </c>
      <c r="I18" s="236">
        <f t="shared" si="0"/>
        <v>682.01249999999993</v>
      </c>
      <c r="J18" s="272">
        <f t="shared" si="1"/>
        <v>54.560999999999993</v>
      </c>
      <c r="K18" s="128">
        <f t="shared" si="1"/>
        <v>23.870437500000001</v>
      </c>
      <c r="L18" s="119">
        <f t="shared" si="1"/>
        <v>0</v>
      </c>
      <c r="M18" s="230">
        <f t="shared" si="2"/>
        <v>603.58106249999992</v>
      </c>
      <c r="N18" s="277">
        <f t="shared" si="3"/>
        <v>128.89830508474572</v>
      </c>
      <c r="O18" s="239">
        <f t="shared" si="4"/>
        <v>3.6623968379237284</v>
      </c>
      <c r="P18" s="119">
        <f t="shared" si="5"/>
        <v>736.14176442266944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396.61016949152531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396.61016949152531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18</v>
      </c>
      <c r="I25" s="114">
        <f t="shared" si="7"/>
        <v>1307.52</v>
      </c>
      <c r="J25" s="274">
        <f>SUM(J16:J24)</f>
        <v>104.60160000000002</v>
      </c>
      <c r="K25" s="275">
        <f t="shared" si="7"/>
        <v>45.763200000000005</v>
      </c>
      <c r="L25" s="276">
        <f t="shared" si="7"/>
        <v>0</v>
      </c>
      <c r="M25" s="232">
        <f t="shared" si="7"/>
        <v>1157.1552000000001</v>
      </c>
      <c r="N25" s="233">
        <f>SUM(N16:N24)</f>
        <v>247.11864406779662</v>
      </c>
      <c r="O25" s="101">
        <f>SUM(O16:O24)</f>
        <v>7.0213692203389835</v>
      </c>
      <c r="P25" s="234">
        <f>SUM(P16:P24)</f>
        <v>1411.2952132881355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1307.52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104.60160000000002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45.763200000000005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1157.1551999999999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247.11864406779662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1404.2738440677965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7.0213692203389826</v>
      </c>
    </row>
    <row r="35" spans="2:16" ht="15.75" customHeight="1" thickBot="1" x14ac:dyDescent="0.4">
      <c r="N35" s="374" t="s">
        <v>88</v>
      </c>
      <c r="O35" s="375"/>
      <c r="P35" s="297">
        <f>+P33+P34</f>
        <v>1411.2952132881355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</v>
      </c>
      <c r="I21" s="236">
        <f t="shared" si="0"/>
        <v>1162.24</v>
      </c>
      <c r="J21" s="272">
        <f t="shared" si="1"/>
        <v>92.979200000000006</v>
      </c>
      <c r="K21" s="128">
        <f t="shared" si="1"/>
        <v>40.678400000000003</v>
      </c>
      <c r="L21" s="119">
        <f t="shared" si="1"/>
        <v>0</v>
      </c>
      <c r="M21" s="230">
        <f t="shared" si="2"/>
        <v>1028.5824</v>
      </c>
      <c r="N21" s="277">
        <f t="shared" si="3"/>
        <v>219.66101694915255</v>
      </c>
      <c r="O21" s="239">
        <f t="shared" si="4"/>
        <v>6.2412170847457631</v>
      </c>
      <c r="P21" s="119">
        <f t="shared" si="5"/>
        <v>1254.4846340338984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F15" sqref="F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6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</v>
      </c>
      <c r="I21" s="236">
        <f t="shared" si="0"/>
        <v>581.12</v>
      </c>
      <c r="J21" s="272">
        <f t="shared" si="1"/>
        <v>46.489600000000003</v>
      </c>
      <c r="K21" s="128">
        <f t="shared" si="1"/>
        <v>20.339200000000002</v>
      </c>
      <c r="L21" s="119">
        <f t="shared" si="1"/>
        <v>0</v>
      </c>
      <c r="M21" s="230">
        <f t="shared" si="2"/>
        <v>514.2912</v>
      </c>
      <c r="N21" s="277">
        <f t="shared" si="3"/>
        <v>109.83050847457628</v>
      </c>
      <c r="O21" s="239">
        <f t="shared" si="4"/>
        <v>3.1206085423728815</v>
      </c>
      <c r="P21" s="119">
        <f t="shared" si="5"/>
        <v>627.24231701694919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1452.8000000000002</v>
      </c>
      <c r="J25" s="274">
        <f>SUM(J16:J24)</f>
        <v>116.22400000000002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1452.8000000000002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7.8015213559322047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1568.1057925423731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2026-09-28T05:00:35Z</dcterms:modified>
</cp:coreProperties>
</file>