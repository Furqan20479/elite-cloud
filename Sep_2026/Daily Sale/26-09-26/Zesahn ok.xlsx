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B97D8CC-C4A5-4AB0-9D1B-80390EB57BF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O15" i="68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4" i="68"/>
  <c r="N5" i="68" s="1"/>
  <c r="N4" i="51"/>
  <c r="N4" i="55"/>
  <c r="N5" i="55" s="1"/>
  <c r="N4" i="67"/>
  <c r="N5" i="67" s="1"/>
  <c r="N4" i="46"/>
  <c r="N4" i="53"/>
  <c r="N4" i="69"/>
  <c r="N5" i="69" s="1"/>
  <c r="N4" i="59"/>
  <c r="N4" i="61"/>
  <c r="N5" i="11"/>
  <c r="N4" i="50"/>
  <c r="N5" i="50" s="1"/>
  <c r="N4" i="57"/>
  <c r="N4" i="64"/>
  <c r="N5" i="64" s="1"/>
  <c r="N4" i="63"/>
  <c r="N5" i="63" s="1"/>
  <c r="N4" i="70"/>
  <c r="N5" i="70" s="1"/>
  <c r="N4" i="45"/>
  <c r="N4" i="65"/>
  <c r="N5" i="65" s="1"/>
  <c r="N4" i="60"/>
  <c r="N4" i="52"/>
  <c r="N5" i="52" s="1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M20" i="61" s="1"/>
  <c r="O20" i="61" s="1"/>
  <c r="P20" i="61" s="1"/>
  <c r="R20" i="61" s="1"/>
  <c r="J20" i="6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1" i="53"/>
  <c r="O21" i="53" s="1"/>
  <c r="P21" i="53" s="1"/>
  <c r="K12" i="62"/>
  <c r="M21" i="52"/>
  <c r="O21" i="52" s="1"/>
  <c r="P21" i="52" s="1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<sst xmlns="http://schemas.openxmlformats.org/spreadsheetml/2006/main" count="3948" uniqueCount="540">
  <si>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</si>
  <si>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</si>
  <si>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</si>
  <si>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</si>
  <si>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</si>
  <si>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</si>
  <si>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</si>
  <si>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</si>
  <si>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</si>
  <si>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</si>
  <si>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</si>
  <si>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</si>
  <si>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</si>
  <si>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</si>
  <si>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</si>
  <si>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</si>
  <si>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</si>
  <si>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</si>
  <si>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</si>
  <si>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</si>
  <si>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</si>
  <si>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</si>
  <si>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</si>
  <si>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</si>
  <si>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</si>
  <si>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</si>
  <si>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</si>
  <si>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</si>
  <si>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</si>
  <si>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</si>
  <si>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</si>
  <si>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</si>
  <si>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</si>
  <si>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</si>
  <si>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</si>
  <si>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</si>
  <si>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</si>
  <si>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</si>
  <si>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</si>
  <si>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</si>
  <si>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</si>
  <si>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</si>
  <si>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</si>
  <si>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</si>
  <si>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</si>
  <si>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</si>
  <si>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</si>
  <si>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</si>
  <si>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</si>
  <si>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</si>
  <si>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</si>
  <si>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</si>
  <si>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</si>
  <si>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</si>
  <si>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</si>
  <si>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</si>
  <si>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</si>
  <si>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</si>
  <si>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</si>
  <si>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</si>
  <si>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</si>
  <si>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</si>
  <si>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</si>
  <si>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</si>
  <si>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</si>
  <si>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</si>
  <si>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</si>
  <si>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</si>
  <si>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</si>
  <si>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</si>
  <si>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</si>
  <si>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</si>
  <si>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</si>
  <si>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</si>
  <si>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</si>
  <si>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</si>
  <si>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</si>
  <si>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</si>
  <si>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</si>
  <si>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</si>
  <si>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</si>
  <si>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</si>
  <si>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</si>
  <si>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</si>
  <si>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</si>
  <si>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</si>
  <si>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</si>
  <si>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</si>
  <si>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</si>
  <si>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</si>
  <si>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</si>
  <si>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</si>
  <si>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</si>
  <si>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</si>
  <si>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</si>
  <si>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</si>
  <si>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</si>
  <si>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</si>
  <si>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</si>
  <si>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</si>
  <si>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</si>
  <si>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</si>
  <si>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</si>
  <si>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</si>
  <si>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</si>
  <si>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</si>
  <si>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</si>
  <si>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</si>
  <si>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</si>
  <si>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</si>
  <si>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</si>
  <si>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</si>
  <si>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</si>
  <si>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</si>
  <si>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</si>
  <si>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</si>
  <si>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</si>
  <si>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</si>
  <si>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</si>
  <si>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</si>
  <si>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</si>
  <si>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</si>
  <si>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</si>
  <si>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</si>
  <si>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</si>
  <si>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</si>
  <si>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</si>
  <si>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</si>
  <si>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</si>
  <si>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</si>
  <si>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</si>
  <si>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</si>
  <si>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</si>
  <si>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</si>
  <si>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</si>
  <si>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</si>
  <si>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</si>
  <si>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</si>
  <si>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</si>
  <si>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</si>
  <si>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</si>
  <si>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</si>
  <si>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</si>
  <si>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</si>
  <si>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</si>
  <si>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</si>
  <si>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</si>
  <si>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</si>
  <si>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</si>
  <si>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</si>
  <si>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</si>
  <si>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</si>
  <si>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</si>
  <si>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</si>
  <si>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</si>
  <si>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</si>
  <si>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</si>
  <si>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</si>
  <si>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</si>
  <si>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</si>
  <si>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</si>
  <si>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</si>
  <si>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</si>
  <si>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</si>
  <si>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</si>
  <si>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</si>
  <si>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</si>
  <si>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</si>
  <si>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</si>
  <si>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</si>
  <si>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</si>
  <si>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</si>
  <si>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</si>
  <si>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</si>
  <si>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</si>
  <si>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</si>
  <si>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</si>
  <si>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</si>
  <si>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</si>
  <si>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</si>
  <si>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</si>
  <si>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</si>
  <si>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</si>
  <si>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</si>
  <si>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</si>
  <si>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</si>
  <si>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</si>
  <si>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</si>
  <si>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</si>
  <si>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</si>
  <si>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</si>
  <si>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</si>
  <si>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</si>
  <si>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</si>
  <si>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</si>
  <si>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</si>
  <si>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</si>
  <si>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</si>
  <si>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</si>
  <si>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</si>
  <si>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</si>
  <si>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</si>
  <si>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</si>
  <si>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</si>
  <si>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</si>
  <si>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</si>
  <si>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</si>
  <si>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</si>
  <si>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</si>
  <si>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</si>
  <si>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</si>
  <si>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</si>
  <si>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</si>
  <si>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</si>
  <si>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</si>
  <si>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</si>
  <si>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</si>
  <si>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</si>
  <si>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</si>
  <si>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</si>
  <si>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</si>
  <si>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</si>
  <si>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</si>
  <si>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</si>
  <si>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</si>
  <si>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</si>
  <si>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</si>
  <si>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</si>
  <si>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</si>
  <si>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</si>
  <si>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</si>
  <si>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</si>
  <si>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</si>
  <si>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</si>
  <si>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</si>
  <si>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</si>
  <si>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</si>
  <si>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</si>
  <si>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</si>
  <si>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</si>
  <si>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</si>
  <si>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</si>
  <si>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</si>
  <si>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</si>
  <si>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</si>
  <si>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</si>
  <si>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</si>
  <si>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</si>
  <si>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</si>
  <si>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</si>
  <si>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</si>
  <si>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</si>
  <si>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</si>
  <si>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</si>
  <si>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</si>
  <si>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</si>
  <si>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</si>
  <si>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</si>
  <si>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</si>
  <si>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</si>
  <si>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</si>
  <si>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</si>
  <si>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</si>
  <si>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</si>
  <si>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</si>
  <si>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</si>
  <si>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</si>
  <si>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</si>
  <si>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</si>
  <si>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</si>
  <si>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</si>
  <si>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</si>
  <si>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</si>
  <si>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</si>
  <si>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</si>
  <si>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</si>
  <si>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</si>
  <si>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</si>
  <si>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</si>
  <si>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</si>
  <si>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</si>
  <si>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</si>
  <si>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</si>
  <si>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</si>
  <si>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</si>
  <si>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</si>
  <si>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</si>
  <si>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</si>
  <si>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</si>
  <si>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</si>
  <si>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</si>
  <si>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</si>
  <si>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</si>
  <si>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</si>
  <si>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</si>
  <si>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</si>
  <si>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</si>
  <si>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</si>
  <si>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</si>
  <si>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</si>
  <si>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</si>
  <si>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</si>
  <si>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</si>
  <si>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</si>
  <si>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</si>
  <si>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</si>
  <si>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</si>
  <si>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</si>
  <si>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</si>
  <si>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</si>
  <si>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</si>
  <si>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</si>
  <si>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</si>
  <si>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</si>
  <si>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</si>
  <si>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</si>
  <si>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</si>
  <si>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</si>
  <si>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</si>
  <si>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</si>
  <si>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</si>
  <si>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</si>
  <si>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</si>
  <si>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</si>
  <si>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</si>
  <si>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</si>
  <si>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</si>
  <si>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</si>
  <si>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</si>
  <si>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</si>
  <si>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</si>
  <si>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</si>
  <si>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</si>
  <si>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</si>
  <si>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</si>
  <si>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</si>
  <si>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</si>
  <si>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</si>
  <si>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</si>
  <si>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</si>
  <si>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</si>
  <si>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</si>
  <si>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</si>
  <si>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</si>
  <si>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</si>
  <si>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</si>
  <si>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</si>
  <si>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</si>
  <si>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</si>
  <si>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</si>
  <si>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</si>
  <si>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</si>
  <si>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</si>
  <si>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</si>
  <si>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</si>
  <si>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</si>
  <si>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</si>
  <si>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</si>
  <si>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</si>
  <si>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</si>
  <si>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</si>
  <si>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</si>
  <si>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</si>
  <si>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</si>
  <si>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</si>
  <si>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</si>
  <si>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</si>
  <si>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</si>
  <si>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</si>
  <si>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</si>
  <si>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</si>
  <si>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</si>
  <si>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</si>
  <si>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</si>
  <si>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</si>
  <si>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</si>
  <si>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</si>
  <si>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</si>
  <si>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</si>
  <si>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</si>
  <si>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</si>
  <si>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</si>
  <si>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</si>
  <si>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</si>
  <si>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</si>
  <si>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</si>
  <si>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</si>
  <si>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</si>
  <si>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</si>
  <si>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</si>
  <si>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</si>
  <si>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</si>
  <si>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</si>
  <si>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</si>
  <si>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</si>
  <si>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</si>
  <si>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</si>
  <si>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</si>
  <si>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</si>
  <si>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</si>
  <si>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</si>
  <si>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</si>
  <si>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</si>
  <si>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</si>
  <si>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</si>
  <si>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</si>
  <si>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</si>
  <si>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</si>
  <si>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</si>
  <si>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</si>
  <si>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</si>
  <si>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</si>
  <si>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</si>
  <si>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</si>
  <si>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</si>
  <si>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</si>
  <si>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</si>
  <si>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</si>
  <si>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</si>
  <si>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</si>
  <si>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</si>
  <si>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</si>
  <si>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</si>
  <si>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</si>
  <si>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</si>
  <si>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</si>
  <si>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</si>
  <si>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</si>
  <si>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</si>
  <si>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</si>
  <si>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</si>
  <si>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</si>
  <si>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</si>
  <si>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</si>
  <si>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</si>
  <si>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</si>
  <si>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</si>
  <si>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</si>
  <si>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</si>
  <si>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</si>
  <si>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</si>
  <si>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</si>
  <si>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</si>
  <si>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</si>
  <si>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</si>
  <si>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</si>
  <si>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</si>
  <si>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</si>
  <si>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</si>
  <si>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</si>
  <si>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</si>
  <si>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</si>
  <si>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</si>
  <si>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</si>
  <si>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</si>
  <si>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</si>
  <si>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</si>
  <si>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</si>
  <si>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</si>
  <si>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</si>
  <si>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</si>
  <si>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</si>
  <si>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</si>
  <si>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</si>
  <si>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</si>
  <si>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</si>
  <si>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</si>
  <si>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</si>
  <si>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</si>
  <si>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</si>
  <si>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</si>
  <si>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</si>
  <si>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</si>
  <si>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</si>
  <si>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</si>
  <si>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</si>
  <si>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</si>
  <si>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</si>
  <si>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</si>
  <si>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</si>
  <si>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</si>
  <si>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</si>
  <si>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</si>
  <si>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</si>
  <si>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</si>
  <si>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</si>
  <si>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</si>
  <si>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</si>
  <si>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</si>
  <si>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</si>
  <si>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</si>
  <si>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</si>
  <si>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</si>
  <si>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</si>
  <si>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</si>
  <si>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</si>
  <si>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</si>
  <si>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</si>
  <si>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</si>
  <si>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</si>
  <si>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</si>
  <si>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</si>
  <si>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</si>
  <si>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</si>
  <si>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</si>
  <si>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</si>
  <si>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</si>
  <si>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</si>
  <si>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</si>
  <si>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</si>
  <si>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</si>
  <si>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</si>
  <si>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</si>
  <si>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</si>
  <si>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Paradise Store</t>
  </si>
  <si>
    <t>Address: DHA</t>
  </si>
  <si>
    <t xml:space="preserve">Total Pump </t>
  </si>
  <si>
    <t>CV Store</t>
  </si>
  <si>
    <t>786 Store</t>
  </si>
  <si>
    <t xml:space="preserve">Best Mart </t>
  </si>
  <si>
    <t>Rehman Store</t>
  </si>
  <si>
    <t>Am store</t>
  </si>
  <si>
    <t>Address: Statelife</t>
  </si>
  <si>
    <t>Max Store</t>
  </si>
  <si>
    <t>Omega Stroe</t>
  </si>
  <si>
    <t xml:space="preserve">Jalil Mart </t>
  </si>
  <si>
    <t>Rehmat Cash &amp; Carry</t>
  </si>
  <si>
    <t>Smart Store</t>
  </si>
  <si>
    <t>Sadique Store</t>
  </si>
  <si>
    <t xml:space="preserve">Address: Fomenties Society </t>
  </si>
  <si>
    <t>Ajwa Store</t>
  </si>
  <si>
    <t>Marwa Store</t>
  </si>
  <si>
    <t>Ali Store</t>
  </si>
  <si>
    <t>Ali Sir</t>
  </si>
  <si>
    <t xml:space="preserve">Afzal Mart </t>
  </si>
  <si>
    <t>Waqas Store</t>
  </si>
  <si>
    <t xml:space="preserve">Fresh Hill </t>
  </si>
  <si>
    <t xml:space="preserve">Captain Mart </t>
  </si>
  <si>
    <t xml:space="preserve">Address: Sui Gas Cociety </t>
  </si>
  <si>
    <t>Al Ghani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</si>
</sst>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6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46291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Paradise Store</v>
      </c>
      <c r="T3" s="301">
        <f>+'1'!P35</f>
        <v>10802.526335847459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Total Pump 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CV Store</v>
      </c>
      <c r="T5" s="301">
        <f>+'3'!P35</f>
        <v>283.13144785487287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786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Best Mart 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55</v>
      </c>
      <c r="I8" s="236">
        <f t="shared" ref="I8:I14" si="0">(G8*D8)*F8+H8*F8</f>
        <v>2885.4375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230.83499999999998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100.9903125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2553.6121874999999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545.33898305084722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15.494755852754237</v>
      </c>
      <c r="P8" s="311">
        <f t="shared" ref="P8:P15" si="2">M8+N8+O8</f>
        <v>3114.4459264036013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Rehman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102</v>
      </c>
      <c r="I9" s="236">
        <f t="shared" si="0"/>
        <v>5351.1750000000002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428.09399999999999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187.29112500000002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4735.7898750000004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1011.3559322033894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28.735729036016949</v>
      </c>
      <c r="P9" s="311">
        <f t="shared" si="2"/>
        <v>5775.8815362394071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Am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42</v>
      </c>
      <c r="I10" s="236">
        <f t="shared" si="0"/>
        <v>3050.88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244.07040000000001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106.78080000000001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2700.0288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576.61016949152554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16.383194847457631</v>
      </c>
      <c r="P10" s="311">
        <f t="shared" si="2"/>
        <v>3293.0221643389832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Omega Stroe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70</v>
      </c>
      <c r="I11" s="236">
        <f t="shared" si="0"/>
        <v>5084.8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177.96800000000002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4500.0479999999998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961.01694915254234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27.305324745762711</v>
      </c>
      <c r="P11" s="311">
        <f t="shared" si="2"/>
        <v>5488.3702738983047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Jalil Mart 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192</v>
      </c>
      <c r="I12" s="236">
        <f t="shared" si="0"/>
        <v>13946.880000000001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1115.7503999999999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488.14079999999996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12342.988800000001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2635.9322033898306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74.894605016949157</v>
      </c>
      <c r="P12" s="311">
        <f t="shared" si="2"/>
        <v>15053.81560840678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Max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Rehmat Cash &amp; Carry</v>
      </c>
      <c r="T13" s="301">
        <f>+'11'!P35</f>
        <v>5401.2631679237293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Smart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Sadique Store</v>
      </c>
      <c r="T15" s="301">
        <f>+'13'!P35</f>
        <v>784.05289627118646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11.9</v>
      </c>
      <c r="H16" s="113">
        <f t="shared" ref="H16:M16" si="3">SUM(H7:H15)</f>
        <v>476</v>
      </c>
      <c r="I16" s="114">
        <f t="shared" si="3"/>
        <v>31106.11</v>
      </c>
      <c r="J16" s="274">
        <f>SUM(J7:J15)</f>
        <v>2488.4888000000001</v>
      </c>
      <c r="K16" s="275">
        <f t="shared" si="3"/>
        <v>1088.7138499999999</v>
      </c>
      <c r="L16" s="276">
        <f t="shared" si="3"/>
        <v>0</v>
      </c>
      <c r="M16" s="232">
        <f t="shared" si="3"/>
        <v>27528.907350000001</v>
      </c>
      <c r="N16" s="233">
        <f>SUM(N7:N15)</f>
        <v>5878.983050847457</v>
      </c>
      <c r="O16" s="101">
        <f>SUM(O7:O15)</f>
        <v>167.03945200423729</v>
      </c>
      <c r="P16" s="113">
        <f>SUM(P7:P15)</f>
        <v>33574.929852851696</v>
      </c>
      <c r="Q16" s="128">
        <f>SUM(Q7:Q15)</f>
        <v>0</v>
      </c>
      <c r="R16" s="313">
        <v>14</v>
      </c>
      <c r="S16" s="315" t="str">
        <f>+'14'!A6:A6</f>
        <v>Ajwa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Marwa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Ali Store</v>
      </c>
      <c r="T18" s="301">
        <f>+'16'!P35</f>
        <v>784.05289627118646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31106.11</v>
      </c>
      <c r="R19" s="299">
        <v>17</v>
      </c>
      <c r="S19" s="300" t="str">
        <f>+'17'!A6:A6</f>
        <v>Ali Sir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2488.4888000000001</v>
      </c>
      <c r="R20" s="299">
        <v>18</v>
      </c>
      <c r="S20" s="300" t="str">
        <f>+'18'!A6:A6</f>
        <v xml:space="preserve">Afzal Mart </v>
      </c>
      <c r="T20" s="301">
        <f>+'18'!P35</f>
        <v>784.05289627118646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1088.7138499999999</v>
      </c>
      <c r="R21" s="299">
        <v>19</v>
      </c>
      <c r="S21" s="300" t="str">
        <f>+'19'!A6:A6</f>
        <v>Waqas Store</v>
      </c>
      <c r="T21" s="301">
        <f>+'19'!P35</f>
        <v>784.05289627118646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27528.907350000001</v>
      </c>
      <c r="R22" s="299">
        <v>20</v>
      </c>
      <c r="S22" s="300" t="str">
        <f>+'20'!A6:A6</f>
        <v xml:space="preserve">Fresh Hill </v>
      </c>
      <c r="T22" s="301">
        <f>+'20'!P35</f>
        <v>784.05289627118646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5878.983050847457</v>
      </c>
      <c r="R23" s="299">
        <v>21</v>
      </c>
      <c r="S23" s="300" t="str">
        <f>+'21'!A6:A6</f>
        <v xml:space="preserve">Captain Mart </v>
      </c>
      <c r="T23" s="301">
        <f>+'21'!P35</f>
        <v>3136.2115850847458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33407.890400847456</v>
      </c>
      <c r="R24" s="299">
        <v>22</v>
      </c>
      <c r="S24" s="300" t="str">
        <f>+'22'!A6:A6</f>
        <v>Al Ghani Store</v>
      </c>
      <c r="T24" s="301">
        <f>+'22'!P35</f>
        <v>2561.242425902542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167.03945200423729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33574.929852851696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33574.929852851703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800.65599999999995</v>
      </c>
      <c r="K25" s="275">
        <f t="shared" si="10"/>
        <v>350.28700000000003</v>
      </c>
      <c r="L25" s="276">
        <f t="shared" si="10"/>
        <v>0</v>
      </c>
      <c r="M25" s="232">
        <f t="shared" si="10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800.65599999999995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8857.2570000000014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10748.782423728815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45" t="s">
        <v>88</v>
      </c>
      <c r="O35" s="346"/>
      <c r="P35" s="297">
        <f>+P33+P34</f>
        <v>10802.526335847459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2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8.75" customHeight="1" x14ac:dyDescent="0.4">
      <c r="A6" s="399" t="s">
        <v>536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36</v>
      </c>
      <c r="I25" s="114">
        <f t="shared" si="7"/>
        <v>2372.91</v>
      </c>
      <c r="J25" s="274">
        <f>SUM(J16:J24)</f>
        <v>189.83280000000002</v>
      </c>
      <c r="K25" s="275">
        <f t="shared" si="7"/>
        <v>83.051850000000016</v>
      </c>
      <c r="L25" s="276">
        <f t="shared" si="7"/>
        <v>0</v>
      </c>
      <c r="M25" s="232">
        <f t="shared" si="7"/>
        <v>2100.0253499999999</v>
      </c>
      <c r="N25" s="233">
        <f>SUM(N16:N24)</f>
        <v>448.47457627118644</v>
      </c>
      <c r="O25" s="101">
        <f>SUM(O16:O24)</f>
        <v>12.742499631355932</v>
      </c>
      <c r="P25" s="234">
        <f>SUM(P16:P24)</f>
        <v>2561.2424259025424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2372.91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189.83280000000002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83.051850000000016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2100.0253499999999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448.47457627118644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2548.4999262711863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12.742499631355932</v>
      </c>
    </row>
    <row r="35" spans="2:16" ht="15.75" customHeight="1" thickBot="1" x14ac:dyDescent="0.4">
      <c r="N35" s="345" t="s">
        <v>88</v>
      </c>
      <c r="O35" s="346"/>
      <c r="P35" s="297">
        <f>+P33+P34</f>
        <v>2561.242425902542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7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IF(B11="Filer",2.5%)</f>
        <v>2.5000000000000001E-2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2026-09-28T04:59:20Z</dcterms:modified>
</cp:coreProperties>
</file>