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9BB587A-B6E0-46DD-AB4A-9C4C31A8878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<sst xmlns="http://schemas.openxmlformats.org/spreadsheetml/2006/main" count="3948" uniqueCount="526">
  <si>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</si>
  <si>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</si>
  <si>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</si>
  <si>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</si>
  <si>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</si>
  <si>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</si>
  <si>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</si>
  <si>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</si>
  <si>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</si>
  <si>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</si>
  <si>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</si>
  <si>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</si>
  <si>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</si>
  <si>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</si>
  <si>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</si>
  <si>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</si>
  <si>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</si>
  <si>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</si>
  <si>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</si>
  <si>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</si>
  <si>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</si>
  <si>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</si>
  <si>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</si>
  <si>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</si>
  <si>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</si>
  <si>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</si>
  <si>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</si>
  <si>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</si>
  <si>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</si>
  <si>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</si>
  <si>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</si>
  <si>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</si>
  <si>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</si>
  <si>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</si>
  <si>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</si>
  <si>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</si>
  <si>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</si>
  <si>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</si>
  <si>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</si>
  <si>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</si>
  <si>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</si>
  <si>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</si>
  <si>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</si>
  <si>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</si>
  <si>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</si>
  <si>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</si>
  <si>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</si>
  <si>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</si>
  <si>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</si>
  <si>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</si>
  <si>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</si>
  <si>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</si>
  <si>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</si>
  <si>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</si>
  <si>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</si>
  <si>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</si>
  <si>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</si>
  <si>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</si>
  <si>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</si>
  <si>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</si>
  <si>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</si>
  <si>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</si>
  <si>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</si>
  <si>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</si>
  <si>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</si>
  <si>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</si>
  <si>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</si>
  <si>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</si>
  <si>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</si>
  <si>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</si>
  <si>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</si>
  <si>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</si>
  <si>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</si>
  <si>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</si>
  <si>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</si>
  <si>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</si>
  <si>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</si>
  <si>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</si>
  <si>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</si>
  <si>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</si>
  <si>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</si>
  <si>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</si>
  <si>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</si>
  <si>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</si>
  <si>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</si>
  <si>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</si>
  <si>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</si>
  <si>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</si>
  <si>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</si>
  <si>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</si>
  <si>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</si>
  <si>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</si>
  <si>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</si>
  <si>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</si>
  <si>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</si>
  <si>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</si>
  <si>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</si>
  <si>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</si>
  <si>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</si>
  <si>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</si>
  <si>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</si>
  <si>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</si>
  <si>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</si>
  <si>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</si>
  <si>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</si>
  <si>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</si>
  <si>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</si>
  <si>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</si>
  <si>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</si>
  <si>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</si>
  <si>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</si>
  <si>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</si>
  <si>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</si>
  <si>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</si>
  <si>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</si>
  <si>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</si>
  <si>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</si>
  <si>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</si>
  <si>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</si>
  <si>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</si>
  <si>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</si>
  <si>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</si>
  <si>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</si>
  <si>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</si>
  <si>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</si>
  <si>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</si>
  <si>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</si>
  <si>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</si>
  <si>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</si>
  <si>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</si>
  <si>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</si>
  <si>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</si>
  <si>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</si>
  <si>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</si>
  <si>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</si>
  <si>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</si>
  <si>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</si>
  <si>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</si>
  <si>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</si>
  <si>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</si>
  <si>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</si>
  <si>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</si>
  <si>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</si>
  <si>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</si>
  <si>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</si>
  <si>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</si>
  <si>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</si>
  <si>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</si>
  <si>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</si>
  <si>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</si>
  <si>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</si>
  <si>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</si>
  <si>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</si>
  <si>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</si>
  <si>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</si>
  <si>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</si>
  <si>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</si>
  <si>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</si>
  <si>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</si>
  <si>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</si>
  <si>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</si>
  <si>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</si>
  <si>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</si>
  <si>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</si>
  <si>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</si>
  <si>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</si>
  <si>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</si>
  <si>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</si>
  <si>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</si>
  <si>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</si>
  <si>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</si>
  <si>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</si>
  <si>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</si>
  <si>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</si>
  <si>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</si>
  <si>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</si>
  <si>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</si>
  <si>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</si>
  <si>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</si>
  <si>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</si>
  <si>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</si>
  <si>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</si>
  <si>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</si>
  <si>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</si>
  <si>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</si>
  <si>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</si>
  <si>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</si>
  <si>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</si>
  <si>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</si>
  <si>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</si>
  <si>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</si>
  <si>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</si>
  <si>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</si>
  <si>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</si>
  <si>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</si>
  <si>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</si>
  <si>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</si>
  <si>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</si>
  <si>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</si>
  <si>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</si>
  <si>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</si>
  <si>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</si>
  <si>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</si>
  <si>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</si>
  <si>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</si>
  <si>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</si>
  <si>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</si>
  <si>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</si>
  <si>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</si>
  <si>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</si>
  <si>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</si>
  <si>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</si>
  <si>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</si>
  <si>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</si>
  <si>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</si>
  <si>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</si>
  <si>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</si>
  <si>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</si>
  <si>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</si>
  <si>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</si>
  <si>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</si>
  <si>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</si>
  <si>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</si>
  <si>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</si>
  <si>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</si>
  <si>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</si>
  <si>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</si>
  <si>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</si>
  <si>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</si>
  <si>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</si>
  <si>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</si>
  <si>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</si>
  <si>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</si>
  <si>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</si>
  <si>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</si>
  <si>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</si>
  <si>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</si>
  <si>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</si>
  <si>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</si>
  <si>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</si>
  <si>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</si>
  <si>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</si>
  <si>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</si>
  <si>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</si>
  <si>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</si>
  <si>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</si>
  <si>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</si>
  <si>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</si>
  <si>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</si>
  <si>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</si>
  <si>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</si>
  <si>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</si>
  <si>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</si>
  <si>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</si>
  <si>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</si>
  <si>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</si>
  <si>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</si>
  <si>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</si>
  <si>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</si>
  <si>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</si>
  <si>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</si>
  <si>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</si>
  <si>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</si>
  <si>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</si>
  <si>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</si>
  <si>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</si>
  <si>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</si>
  <si>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</si>
  <si>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</si>
  <si>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</si>
  <si>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</si>
  <si>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</si>
  <si>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</si>
  <si>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</si>
  <si>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</si>
  <si>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</si>
  <si>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</si>
  <si>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</si>
  <si>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</si>
  <si>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</si>
  <si>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</si>
  <si>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</si>
  <si>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</si>
  <si>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</si>
  <si>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</si>
  <si>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</si>
  <si>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</si>
  <si>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</si>
  <si>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</si>
  <si>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</si>
  <si>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</si>
  <si>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</si>
  <si>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</si>
  <si>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</si>
  <si>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</si>
  <si>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</si>
  <si>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</si>
  <si>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</si>
  <si>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</si>
  <si>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</si>
  <si>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</si>
  <si>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</si>
  <si>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</si>
  <si>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</si>
  <si>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</si>
  <si>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</si>
  <si>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</si>
  <si>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</si>
  <si>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</si>
  <si>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</si>
  <si>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</si>
  <si>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</si>
  <si>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</si>
  <si>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</si>
  <si>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</si>
  <si>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</si>
  <si>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</si>
  <si>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</si>
  <si>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</si>
  <si>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</si>
  <si>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</si>
  <si>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</si>
  <si>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</si>
  <si>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</si>
  <si>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</si>
  <si>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</si>
  <si>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</si>
  <si>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</si>
  <si>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</si>
  <si>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</si>
  <si>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</si>
  <si>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</si>
  <si>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</si>
  <si>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</si>
  <si>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</si>
  <si>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</si>
  <si>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</si>
  <si>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</si>
  <si>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</si>
  <si>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</si>
  <si>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</si>
  <si>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</si>
  <si>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</si>
  <si>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</si>
  <si>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</si>
  <si>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</si>
  <si>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</si>
  <si>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</si>
  <si>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</si>
  <si>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</si>
  <si>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</si>
  <si>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</si>
  <si>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</si>
  <si>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</si>
  <si>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</si>
  <si>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</si>
  <si>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</si>
  <si>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</si>
  <si>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</si>
  <si>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</si>
  <si>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</si>
  <si>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</si>
  <si>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</si>
  <si>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</si>
  <si>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</si>
  <si>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</si>
  <si>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</si>
  <si>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</si>
  <si>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</si>
  <si>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</si>
  <si>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</si>
  <si>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</si>
  <si>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</si>
  <si>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</si>
  <si>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</si>
  <si>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</si>
  <si>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</si>
  <si>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</si>
  <si>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</si>
  <si>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</si>
  <si>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</si>
  <si>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</si>
  <si>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</si>
  <si>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</si>
  <si>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</si>
  <si>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</si>
  <si>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</si>
  <si>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</si>
  <si>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</si>
  <si>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</si>
  <si>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</si>
  <si>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</si>
  <si>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</si>
  <si>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</si>
  <si>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</si>
  <si>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</si>
  <si>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</si>
  <si>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</si>
  <si>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</si>
  <si>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</si>
  <si>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</si>
  <si>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</si>
  <si>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</si>
  <si>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</si>
  <si>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</si>
  <si>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</si>
  <si>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</si>
  <si>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</si>
  <si>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</si>
  <si>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</si>
  <si>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</si>
  <si>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</si>
  <si>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</si>
  <si>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</si>
  <si>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</si>
  <si>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</si>
  <si>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</si>
  <si>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</si>
  <si>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</si>
  <si>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</si>
  <si>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</si>
  <si>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</si>
  <si>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</si>
  <si>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</si>
  <si>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</si>
  <si>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</si>
  <si>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</si>
  <si>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</si>
  <si>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</si>
  <si>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</si>
  <si>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</si>
  <si>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</si>
  <si>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</si>
  <si>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</si>
  <si>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</si>
  <si>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</si>
  <si>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</si>
  <si>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</si>
  <si>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</si>
  <si>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</si>
  <si>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</si>
  <si>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</si>
  <si>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</si>
  <si>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</si>
  <si>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</si>
  <si>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</si>
  <si>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</si>
  <si>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</si>
  <si>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</si>
  <si>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</si>
  <si>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</si>
  <si>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</si>
  <si>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</si>
  <si>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</si>
  <si>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</si>
  <si>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</si>
  <si>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</si>
  <si>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</si>
  <si>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</si>
  <si>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</si>
  <si>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</si>
  <si>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</si>
  <si>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</si>
  <si>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</si>
  <si>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</si>
  <si>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</si>
  <si>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</si>
  <si>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</si>
  <si>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</si>
  <si>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</si>
  <si>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</si>
  <si>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</si>
  <si>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</si>
  <si>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</si>
  <si>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</si>
  <si>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</si>
  <si>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</si>
  <si>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</si>
  <si>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</si>
  <si>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</si>
  <si>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</si>
  <si>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</si>
  <si>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</si>
  <si>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</si>
  <si>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</si>
  <si>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</si>
  <si>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</si>
  <si>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</si>
  <si>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</si>
  <si>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</si>
  <si>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</si>
  <si>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</si>
  <si>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</si>
  <si>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</si>
  <si>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</si>
  <si>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</si>
  <si>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</si>
  <si>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</si>
  <si>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</si>
  <si>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</si>
  <si>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</si>
  <si>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</si>
  <si>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</si>
  <si>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</si>
  <si>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</si>
  <si>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</si>
  <si>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</si>
  <si>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</si>
  <si>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</si>
  <si>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</si>
  <si>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</si>
  <si>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</si>
  <si>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</si>
  <si>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</si>
  <si>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</si>
  <si>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Bravo Store</t>
  </si>
  <si>
    <t>Address: Phase 6</t>
  </si>
  <si>
    <t>Al Noor Store</t>
  </si>
  <si>
    <t xml:space="preserve">Address: Edden City </t>
  </si>
  <si>
    <t xml:space="preserve">Prograssive Mart </t>
  </si>
  <si>
    <t>Ch Store</t>
  </si>
  <si>
    <t xml:space="preserve">Address: Sami Town </t>
  </si>
  <si>
    <t>Asif store</t>
  </si>
  <si>
    <t xml:space="preserve">Address: Sami town </t>
  </si>
  <si>
    <t>Bhati Store</t>
  </si>
  <si>
    <t xml:space="preserve">Premier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</si>
</sst>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8" sqref="I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Bravo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Noor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Prograssive Mart </v>
      </c>
      <c r="T5" s="301">
        <f>+'3'!P35</f>
        <v>1881.7269510508474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736.14176442266944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34</v>
      </c>
      <c r="I7" s="235">
        <f>(G7*D7)*F7+H7*F7</f>
        <v>1783.7249999999999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142.69800000000001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62.430375000000005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1578.5966249999999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337.11864406779648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9.5785763453389823</v>
      </c>
      <c r="P7" s="310">
        <f>M7+N7+O7</f>
        <v>1925.2938454131352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Asif store</v>
      </c>
      <c r="T7" s="301">
        <f>+'5'!P35</f>
        <v>736.14176442266944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Bhati Store</v>
      </c>
      <c r="T8" s="301">
        <f>+'6'!P35</f>
        <v>792.768053993644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33</v>
      </c>
      <c r="I9" s="236">
        <f t="shared" si="0"/>
        <v>1731.2625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138.50099999999998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60.594187500000004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1532.1673125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327.20338983050834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9.2968535116525413</v>
      </c>
      <c r="P9" s="311">
        <f t="shared" si="2"/>
        <v>1868.6675558421607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Premier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27</v>
      </c>
      <c r="I10" s="236">
        <f t="shared" si="0"/>
        <v>1961.28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156.9024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68.644800000000004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1735.7328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370.67796610169495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10.532053830508474</v>
      </c>
      <c r="P10" s="311">
        <f t="shared" si="2"/>
        <v>2116.9428199322037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67</v>
      </c>
      <c r="I12" s="236">
        <f t="shared" si="0"/>
        <v>4866.88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389.35040000000004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170.3408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4307.1887999999999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919.83050847457639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26.135096542372882</v>
      </c>
      <c r="P12" s="311">
        <f t="shared" si="2"/>
        <v>5253.1544050169487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4.5999999999999996</v>
      </c>
      <c r="H16" s="113">
        <f t="shared" ref="H16:M16" si="3">SUM(H7:H15)</f>
        <v>184</v>
      </c>
      <c r="I16" s="114">
        <f t="shared" si="3"/>
        <v>11751.56</v>
      </c>
      <c r="J16" s="274">
        <f>SUM(J7:J15)</f>
        <v>940.12480000000005</v>
      </c>
      <c r="K16" s="275">
        <f t="shared" si="3"/>
        <v>411.30460000000005</v>
      </c>
      <c r="L16" s="276">
        <f t="shared" si="3"/>
        <v>0</v>
      </c>
      <c r="M16" s="232">
        <f t="shared" si="3"/>
        <v>10400.130599999999</v>
      </c>
      <c r="N16" s="233">
        <f>SUM(N7:N15)</f>
        <v>2221.0169491525421</v>
      </c>
      <c r="O16" s="101">
        <f>SUM(O7:O15)</f>
        <v>63.10573774576271</v>
      </c>
      <c r="P16" s="113">
        <f>SUM(P7:P15)</f>
        <v>12684.253286898303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11751.56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940.12480000000005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411.30460000000005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10400.1306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2221.0169491525421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12621.147549152542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63.10573774576271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12684.253286898303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12684.253286898305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ref="I18:I21" si="7">(G18*D18)*F18+H18*F18</f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si="0"/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</v>
      </c>
      <c r="I25" s="114">
        <f t="shared" si="7"/>
        <v>682.01249999999993</v>
      </c>
      <c r="J25" s="274">
        <f>SUM(J16:J24)</f>
        <v>54.560999999999993</v>
      </c>
      <c r="K25" s="275">
        <f t="shared" si="7"/>
        <v>23.870437500000001</v>
      </c>
      <c r="L25" s="276">
        <f t="shared" si="7"/>
        <v>0</v>
      </c>
      <c r="M25" s="232">
        <f t="shared" si="7"/>
        <v>603.58106249999992</v>
      </c>
      <c r="N25" s="233">
        <f>SUM(N16:N24)</f>
        <v>128.89830508474572</v>
      </c>
      <c r="O25" s="101">
        <f>SUM(O16:O24)</f>
        <v>3.6623968379237284</v>
      </c>
      <c r="P25" s="234">
        <f>SUM(P16:P24)</f>
        <v>736.14176442266944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682.01249999999993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54.560999999999993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23.870437500000001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603.58106249999992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128.89830508474572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732.47936758474566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3.6623968379237284</v>
      </c>
    </row>
    <row r="35" spans="2:16" ht="15.75" customHeight="1" thickBot="1" x14ac:dyDescent="0.4">
      <c r="N35" s="374" t="s">
        <v>88</v>
      </c>
      <c r="O35" s="375"/>
      <c r="P35" s="297">
        <f>+P33+P34</f>
        <v>736.14176442266944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13</v>
      </c>
      <c r="I25" s="114">
        <f t="shared" si="7"/>
        <v>682.01249999999993</v>
      </c>
      <c r="J25" s="274">
        <f>SUM(J16:J24)</f>
        <v>54.560999999999993</v>
      </c>
      <c r="K25" s="275">
        <f t="shared" si="7"/>
        <v>23.870437500000001</v>
      </c>
      <c r="L25" s="276">
        <f t="shared" si="7"/>
        <v>0</v>
      </c>
      <c r="M25" s="232">
        <f t="shared" si="7"/>
        <v>603.58106249999992</v>
      </c>
      <c r="N25" s="233">
        <f>SUM(N16:N24)</f>
        <v>128.89830508474572</v>
      </c>
      <c r="O25" s="101">
        <f>SUM(O16:O24)</f>
        <v>3.6623968379237284</v>
      </c>
      <c r="P25" s="234">
        <f>SUM(P16:P24)</f>
        <v>736.14176442266944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682.01249999999993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54.560999999999993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23.870437500000001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603.58106249999992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128.89830508474572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732.47936758474566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3.6623968379237284</v>
      </c>
    </row>
    <row r="35" spans="2:16" ht="15.75" customHeight="1" thickBot="1" x14ac:dyDescent="0.4">
      <c r="N35" s="374" t="s">
        <v>88</v>
      </c>
      <c r="O35" s="375"/>
      <c r="P35" s="297">
        <f>+P33+P34</f>
        <v>736.14176442266944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14</v>
      </c>
      <c r="I25" s="114">
        <f t="shared" si="7"/>
        <v>734.47500000000002</v>
      </c>
      <c r="J25" s="274">
        <f>SUM(J16:J24)</f>
        <v>58.758000000000003</v>
      </c>
      <c r="K25" s="275">
        <f t="shared" si="7"/>
        <v>25.706625000000003</v>
      </c>
      <c r="L25" s="276">
        <f t="shared" si="7"/>
        <v>0</v>
      </c>
      <c r="M25" s="232">
        <f t="shared" si="7"/>
        <v>650.01037500000007</v>
      </c>
      <c r="N25" s="233">
        <f>SUM(N16:N24)</f>
        <v>138.81355932203383</v>
      </c>
      <c r="O25" s="101">
        <f>SUM(O16:O24)</f>
        <v>3.9441196716101694</v>
      </c>
      <c r="P25" s="234">
        <f>SUM(P16:P24)</f>
        <v>792.76805399364412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734.47500000000002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58.758000000000003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25.706625000000003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650.01037499999995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138.81355932203383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788.82393432203378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3.944119671610169</v>
      </c>
    </row>
    <row r="35" spans="2:16" ht="15.75" customHeight="1" thickBot="1" x14ac:dyDescent="0.4">
      <c r="N35" s="374" t="s">
        <v>88</v>
      </c>
      <c r="O35" s="375"/>
      <c r="P35" s="297">
        <f>+P33+P34</f>
        <v>792.768053993644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2026-09-25T12:26:44Z</dcterms:modified>
</cp:coreProperties>
</file>