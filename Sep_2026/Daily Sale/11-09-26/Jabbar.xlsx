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0E7D3A1-6C4D-47B0-918B-FC11818D669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<sst xmlns="http://schemas.openxmlformats.org/spreadsheetml/2006/main" count="3948" uniqueCount="521">
  <si>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</si>
  <si>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</si>
  <si>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</si>
  <si>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</si>
  <si>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</si>
  <si>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</si>
  <si>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</si>
  <si>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</si>
  <si>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</si>
  <si>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</si>
  <si>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</si>
  <si>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</si>
  <si>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</si>
  <si>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</si>
  <si>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</si>
  <si>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</si>
  <si>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</si>
  <si>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</si>
  <si>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</si>
  <si>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</si>
  <si>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</si>
  <si>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</si>
  <si>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</si>
  <si>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</si>
  <si>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</si>
  <si>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</si>
  <si>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</si>
  <si>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</si>
  <si>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</si>
  <si>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</si>
  <si>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</si>
  <si>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</si>
  <si>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</si>
  <si>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</si>
  <si>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</si>
  <si>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</si>
  <si>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</si>
  <si>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</si>
  <si>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</si>
  <si>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</si>
  <si>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</si>
  <si>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</si>
  <si>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</si>
  <si>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</si>
  <si>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</si>
  <si>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</si>
  <si>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</si>
  <si>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</si>
  <si>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</si>
  <si>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</si>
  <si>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</si>
  <si>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</si>
  <si>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</si>
  <si>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</si>
  <si>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</si>
  <si>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</si>
  <si>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</si>
  <si>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</si>
  <si>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</si>
  <si>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</si>
  <si>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</si>
  <si>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</si>
  <si>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</si>
  <si>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</si>
  <si>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</si>
  <si>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</si>
  <si>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</si>
  <si>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</si>
  <si>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</si>
  <si>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</si>
  <si>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</si>
  <si>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</si>
  <si>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</si>
  <si>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</si>
  <si>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</si>
  <si>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</si>
  <si>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</si>
  <si>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</si>
  <si>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</si>
  <si>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</si>
  <si>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</si>
  <si>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</si>
  <si>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</si>
  <si>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</si>
  <si>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</si>
  <si>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</si>
  <si>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</si>
  <si>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</si>
  <si>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</si>
  <si>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</si>
  <si>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</si>
  <si>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</si>
  <si>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</si>
  <si>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</si>
  <si>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</si>
  <si>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</si>
  <si>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</si>
  <si>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</si>
  <si>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</si>
  <si>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</si>
  <si>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</si>
  <si>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</si>
  <si>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</si>
  <si>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</si>
  <si>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</si>
  <si>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</si>
  <si>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</si>
  <si>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</si>
  <si>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</si>
  <si>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</si>
  <si>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</si>
  <si>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</si>
  <si>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</si>
  <si>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</si>
  <si>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</si>
  <si>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</si>
  <si>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</si>
  <si>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</si>
  <si>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</si>
  <si>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</si>
  <si>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</si>
  <si>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</si>
  <si>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</si>
  <si>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</si>
  <si>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</si>
  <si>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</si>
  <si>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</si>
  <si>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</si>
  <si>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</si>
  <si>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</si>
  <si>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</si>
  <si>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</si>
  <si>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</si>
  <si>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</si>
  <si>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</si>
  <si>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</si>
  <si>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</si>
  <si>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</si>
  <si>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</si>
  <si>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</si>
  <si>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</si>
  <si>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</si>
  <si>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</si>
  <si>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</si>
  <si>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</si>
  <si>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</si>
  <si>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</si>
  <si>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</si>
  <si>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</si>
  <si>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</si>
  <si>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</si>
  <si>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</si>
  <si>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</si>
  <si>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</si>
  <si>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</si>
  <si>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</si>
  <si>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</si>
  <si>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</si>
  <si>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</si>
  <si>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</si>
  <si>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</si>
  <si>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</si>
  <si>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</si>
  <si>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</si>
  <si>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</si>
  <si>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</si>
  <si>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</si>
  <si>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</si>
  <si>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</si>
  <si>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</si>
  <si>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</si>
  <si>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</si>
  <si>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</si>
  <si>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</si>
  <si>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</si>
  <si>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</si>
  <si>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</si>
  <si>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</si>
  <si>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</si>
  <si>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</si>
  <si>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</si>
  <si>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</si>
  <si>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</si>
  <si>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</si>
  <si>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</si>
  <si>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</si>
  <si>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</si>
  <si>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</si>
  <si>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</si>
  <si>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</si>
  <si>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</si>
  <si>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</si>
  <si>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</si>
  <si>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</si>
  <si>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</si>
  <si>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</si>
  <si>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</si>
  <si>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</si>
  <si>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</si>
  <si>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</si>
  <si>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</si>
  <si>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</si>
  <si>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</si>
  <si>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</si>
  <si>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</si>
  <si>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</si>
  <si>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</si>
  <si>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</si>
  <si>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</si>
  <si>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</si>
  <si>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</si>
  <si>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</si>
  <si>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</si>
  <si>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</si>
  <si>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</si>
  <si>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</si>
  <si>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</si>
  <si>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</si>
  <si>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</si>
  <si>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</si>
  <si>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</si>
  <si>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</si>
  <si>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</si>
  <si>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</si>
  <si>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</si>
  <si>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</si>
  <si>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</si>
  <si>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</si>
  <si>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</si>
  <si>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</si>
  <si>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</si>
  <si>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</si>
  <si>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</si>
  <si>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</si>
  <si>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</si>
  <si>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</si>
  <si>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</si>
  <si>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</si>
  <si>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</si>
  <si>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</si>
  <si>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</si>
  <si>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</si>
  <si>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</si>
  <si>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</si>
  <si>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</si>
  <si>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</si>
  <si>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</si>
  <si>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</si>
  <si>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</si>
  <si>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</si>
  <si>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</si>
  <si>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</si>
  <si>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</si>
  <si>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</si>
  <si>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</si>
  <si>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</si>
  <si>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</si>
  <si>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</si>
  <si>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</si>
  <si>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</si>
  <si>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</si>
  <si>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</si>
  <si>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</si>
  <si>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</si>
  <si>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</si>
  <si>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</si>
  <si>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</si>
  <si>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</si>
  <si>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</si>
  <si>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</si>
  <si>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</si>
  <si>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</si>
  <si>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</si>
  <si>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</si>
  <si>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</si>
  <si>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</si>
  <si>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</si>
  <si>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</si>
  <si>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</si>
  <si>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</si>
  <si>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</si>
  <si>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</si>
  <si>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</si>
  <si>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</si>
  <si>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</si>
  <si>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</si>
  <si>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</si>
  <si>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</si>
  <si>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</si>
  <si>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</si>
  <si>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</si>
  <si>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</si>
  <si>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</si>
  <si>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</si>
  <si>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</si>
  <si>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</si>
  <si>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</si>
  <si>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</si>
  <si>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</si>
  <si>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</si>
  <si>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</si>
  <si>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</si>
  <si>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</si>
  <si>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</si>
  <si>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</si>
  <si>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</si>
  <si>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</si>
  <si>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</si>
  <si>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</si>
  <si>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</si>
  <si>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</si>
  <si>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</si>
  <si>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</si>
  <si>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</si>
  <si>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</si>
  <si>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</si>
  <si>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</si>
  <si>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</si>
  <si>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</si>
  <si>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</si>
  <si>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</si>
  <si>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</si>
  <si>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</si>
  <si>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</si>
  <si>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</si>
  <si>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</si>
  <si>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</si>
  <si>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</si>
  <si>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</si>
  <si>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</si>
  <si>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</si>
  <si>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</si>
  <si>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</si>
  <si>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</si>
  <si>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</si>
  <si>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</si>
  <si>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</si>
  <si>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</si>
  <si>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</si>
  <si>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</si>
  <si>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</si>
  <si>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</si>
  <si>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</si>
  <si>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</si>
  <si>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</si>
  <si>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</si>
  <si>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</si>
  <si>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</si>
  <si>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</si>
  <si>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</si>
  <si>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</si>
  <si>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</si>
  <si>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</si>
  <si>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</si>
  <si>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</si>
  <si>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</si>
  <si>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</si>
  <si>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</si>
  <si>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</si>
  <si>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</si>
  <si>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</si>
  <si>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</si>
  <si>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</si>
  <si>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</si>
  <si>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</si>
  <si>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</si>
  <si>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</si>
  <si>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</si>
  <si>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</si>
  <si>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</si>
  <si>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</si>
  <si>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</si>
  <si>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</si>
  <si>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</si>
  <si>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</si>
  <si>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</si>
  <si>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</si>
  <si>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</si>
  <si>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</si>
  <si>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</si>
  <si>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</si>
  <si>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</si>
  <si>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</si>
  <si>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</si>
  <si>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</si>
  <si>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</si>
  <si>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</si>
  <si>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</si>
  <si>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</si>
  <si>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</si>
  <si>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</si>
  <si>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</si>
  <si>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</si>
  <si>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</si>
  <si>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</si>
  <si>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</si>
  <si>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</si>
  <si>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</si>
  <si>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</si>
  <si>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</si>
  <si>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</si>
  <si>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</si>
  <si>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</si>
  <si>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</si>
  <si>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</si>
  <si>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</si>
  <si>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</si>
  <si>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</si>
  <si>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</si>
  <si>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</si>
  <si>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</si>
  <si>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</si>
  <si>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</si>
  <si>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</si>
  <si>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</si>
  <si>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</si>
  <si>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</si>
  <si>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</si>
  <si>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</si>
  <si>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</si>
  <si>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</si>
  <si>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</si>
  <si>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</si>
  <si>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</si>
  <si>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</si>
  <si>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</si>
  <si>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</si>
  <si>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</si>
  <si>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</si>
  <si>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</si>
  <si>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</si>
  <si>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</si>
  <si>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</si>
  <si>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</si>
  <si>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</si>
  <si>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</si>
  <si>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</si>
  <si>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</si>
  <si>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</si>
  <si>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</si>
  <si>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</si>
  <si>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</si>
  <si>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</si>
  <si>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</si>
  <si>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</si>
  <si>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</si>
  <si>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</si>
  <si>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</si>
  <si>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</si>
  <si>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</si>
  <si>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</si>
  <si>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</si>
  <si>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</si>
  <si>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</si>
  <si>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</si>
  <si>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</si>
  <si>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</si>
  <si>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</si>
  <si>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</si>
  <si>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</si>
  <si>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</si>
  <si>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</si>
  <si>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</si>
  <si>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</si>
  <si>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</si>
  <si>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</si>
  <si>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</si>
  <si>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</si>
  <si>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</si>
  <si>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</si>
  <si>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</si>
  <si>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</si>
  <si>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</si>
  <si>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</si>
  <si>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</si>
  <si>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</si>
  <si>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</si>
  <si>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</si>
  <si>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</si>
  <si>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</si>
  <si>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</si>
  <si>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</si>
  <si>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</si>
  <si>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</si>
  <si>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</si>
  <si>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</si>
  <si>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</si>
  <si>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</si>
  <si>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</si>
  <si>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</si>
  <si>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</si>
  <si>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</si>
  <si>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</si>
  <si>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</si>
  <si>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</si>
  <si>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</si>
  <si>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</si>
  <si>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</si>
  <si>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</si>
  <si>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</si>
  <si>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</si>
  <si>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</si>
  <si>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</si>
  <si>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</si>
  <si>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</si>
  <si>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</si>
  <si>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</si>
  <si>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</si>
  <si>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</si>
  <si>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</si>
  <si>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</si>
  <si>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</si>
  <si>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</si>
  <si>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Jabbar </t>
  </si>
  <si>
    <t>Hikma Store</t>
  </si>
  <si>
    <t xml:space="preserve">Address: Paragon </t>
  </si>
  <si>
    <t xml:space="preserve">ZB Mart </t>
  </si>
  <si>
    <t>Abdullah Store</t>
  </si>
  <si>
    <t>Umaima Store</t>
  </si>
  <si>
    <t xml:space="preserve">Pick And Pack </t>
  </si>
  <si>
    <t xml:space="preserve">Ayan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</si>
</sst>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topLeftCell="A4" workbookViewId="0">
      <selection activeCell="U8" sqref="U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Hikma Store</v>
      </c>
      <c r="T3" s="301">
        <f>+'1'!P35</f>
        <v>2352.1586888135594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ZB Mart </v>
      </c>
      <c r="T4" s="301">
        <f>+'2'!P35</f>
        <v>4805.3894985762718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Abdullah Store</v>
      </c>
      <c r="T5" s="301">
        <f>+'3'!P35</f>
        <v>1411.2952132881355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Umaima Store</v>
      </c>
      <c r="T6" s="301">
        <f>+'4'!P35</f>
        <v>11077.812668745764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Pick And Pack </v>
      </c>
      <c r="T7" s="301">
        <f>+'5'!P35</f>
        <v>3136.2115850847463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Ayan Mart </v>
      </c>
      <c r="T8" s="301">
        <f>+'6'!P35</f>
        <v>7070.4410814152552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97</v>
      </c>
      <c r="I10" s="236">
        <f t="shared" si="0"/>
        <v>7046.08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563.68640000000005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246.61280000000002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6235.7807999999995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1331.6949152542375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37.837378576271192</v>
      </c>
      <c r="P10" s="311">
        <f t="shared" si="2"/>
        <v>7605.3130938305085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92</v>
      </c>
      <c r="I11" s="236">
        <f t="shared" si="0"/>
        <v>6682.88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534.63040000000001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233.90080000000003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5914.3487999999998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1263.0508474576272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35.88699823728814</v>
      </c>
      <c r="P11" s="311">
        <f t="shared" si="2"/>
        <v>7213.286645694915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99</v>
      </c>
      <c r="I12" s="236">
        <f t="shared" si="0"/>
        <v>7191.36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575.30880000000002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251.69760000000002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6364.3535999999995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1359.1525423728813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38.617530711864404</v>
      </c>
      <c r="P12" s="311">
        <f t="shared" si="2"/>
        <v>7762.123673084745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11.2</v>
      </c>
      <c r="H16" s="113">
        <f t="shared" ref="H16:M16" si="3">SUM(H7:H15)</f>
        <v>448</v>
      </c>
      <c r="I16" s="114">
        <f t="shared" si="3"/>
        <v>27726.42</v>
      </c>
      <c r="J16" s="274">
        <f>SUM(J7:J15)</f>
        <v>2076.8856000000001</v>
      </c>
      <c r="K16" s="275">
        <f t="shared" si="3"/>
        <v>970.42470000000026</v>
      </c>
      <c r="L16" s="276">
        <f t="shared" si="3"/>
        <v>240.08760000000001</v>
      </c>
      <c r="M16" s="232">
        <f t="shared" si="3"/>
        <v>24439.022099999998</v>
      </c>
      <c r="N16" s="233">
        <f>SUM(N7:N15)</f>
        <v>5265.7627118644059</v>
      </c>
      <c r="O16" s="101">
        <f>SUM(O7:O15)</f>
        <v>148.52392405932204</v>
      </c>
      <c r="P16" s="113">
        <f>SUM(P7:P15)</f>
        <v>29853.308735923729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27726.42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2076.8856000000001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1210.5123000000003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24439.022099999995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5265.7627118644059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29704.7848118644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148.52392405932204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29853.308735923722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29853.308735923736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30</v>
      </c>
      <c r="I25" s="114">
        <f t="shared" ref="I25:M25" si="10">SUM(I16:I24)</f>
        <v>2179.1999999999998</v>
      </c>
      <c r="J25" s="274">
        <f>SUM(J16:J24)</f>
        <v>174.33600000000001</v>
      </c>
      <c r="K25" s="275">
        <f t="shared" si="10"/>
        <v>76.272000000000006</v>
      </c>
      <c r="L25" s="276">
        <f t="shared" si="10"/>
        <v>0</v>
      </c>
      <c r="M25" s="232">
        <f t="shared" si="10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2179.1999999999998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174.33600000000001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76.272000000000006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1928.5919999999999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2340.4564067796609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4" t="s">
        <v>88</v>
      </c>
      <c r="O35" s="375"/>
      <c r="P35" s="297">
        <f>+P33+P34</f>
        <v>2352.1586888135594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4474.8000000000011</v>
      </c>
      <c r="J25" s="274">
        <f>SUM(J16:J24)</f>
        <v>310.90800000000007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4474.8000000000011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310.90800000000007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236.6472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3927.2448000000009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4781.4820881355936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23.907410440677968</v>
      </c>
    </row>
    <row r="35" spans="2:16" ht="15.75" customHeight="1" thickBot="1" x14ac:dyDescent="0.4">
      <c r="N35" s="374" t="s">
        <v>88</v>
      </c>
      <c r="O35" s="375"/>
      <c r="P35" s="297">
        <f>+P33+P34</f>
        <v>4805.3894985762718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1307.52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104.60160000000002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45.763200000000005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1157.1551999999999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1404.2738440677965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4" t="s">
        <v>88</v>
      </c>
      <c r="O35" s="375"/>
      <c r="P35" s="297">
        <f>+P33+P34</f>
        <v>1411.2952132881355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10286</v>
      </c>
      <c r="J25" s="274">
        <f>SUM(J16:J24)</f>
        <v>775.80400000000009</v>
      </c>
      <c r="K25" s="275">
        <f t="shared" si="7"/>
        <v>360.01000000000005</v>
      </c>
      <c r="L25" s="276">
        <f t="shared" si="7"/>
        <v>80.029200000000003</v>
      </c>
      <c r="M25" s="232">
        <f t="shared" si="7"/>
        <v>9070.1568000000007</v>
      </c>
      <c r="N25" s="233">
        <f>SUM(N16:N24)</f>
        <v>1952.542372881356</v>
      </c>
      <c r="O25" s="101">
        <f>SUM(O16:O24)</f>
        <v>55.113495864406786</v>
      </c>
      <c r="P25" s="234">
        <f>SUM(P16:P24)</f>
        <v>11077.812668745762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10286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775.80400000000009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440.03920000000005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9070.1568000000007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1952.542372881356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11022.699172881357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55.113495864406786</v>
      </c>
    </row>
    <row r="35" spans="2:16" ht="15.75" customHeight="1" thickBot="1" x14ac:dyDescent="0.4">
      <c r="N35" s="374" t="s">
        <v>88</v>
      </c>
      <c r="O35" s="375"/>
      <c r="P35" s="297">
        <f>+P33+P34</f>
        <v>11077.812668745764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6573.3000000000011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478.78800000000007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310.09470000000005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5784.417300000001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7035.2647576271193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74" t="s">
        <v>88</v>
      </c>
      <c r="O35" s="375"/>
      <c r="P35" s="297">
        <f>+P33+P34</f>
        <v>7070.4410814152552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Jabbar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2026-09-10T11:58:32Z</dcterms:modified>
</cp:coreProperties>
</file>