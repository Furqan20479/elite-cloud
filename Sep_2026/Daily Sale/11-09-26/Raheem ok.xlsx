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BC27688-0D97-494C-B0F2-4A2F8B4822AB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J16" i="11" s="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7" i="62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16" i="59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<sst xmlns="http://schemas.openxmlformats.org/spreadsheetml/2006/main" count="3948" uniqueCount="517">
  <si>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</si>
  <si>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</si>
  <si>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</si>
  <si>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</si>
  <si>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</si>
  <si>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</si>
  <si>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</si>
  <si>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</si>
  <si>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</si>
  <si>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</si>
  <si>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</si>
  <si>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</si>
  <si>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</si>
  <si>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</si>
  <si>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</si>
  <si>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</si>
  <si>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</si>
  <si>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</si>
  <si>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</si>
  <si>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</si>
  <si>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</si>
  <si>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</si>
  <si>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</si>
  <si>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</si>
  <si>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</si>
  <si>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</si>
  <si>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</si>
  <si>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</si>
  <si>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</si>
  <si>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</si>
  <si>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</si>
  <si>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</si>
  <si>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</si>
  <si>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</si>
  <si>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</si>
  <si>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</si>
  <si>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</si>
  <si>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</si>
  <si>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</si>
  <si>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</si>
  <si>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</si>
  <si>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</si>
  <si>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</si>
  <si>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</si>
  <si>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</si>
  <si>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</si>
  <si>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</si>
  <si>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</si>
  <si>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</si>
  <si>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</si>
  <si>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</si>
  <si>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</si>
  <si>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</si>
  <si>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</si>
  <si>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</si>
  <si>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</si>
  <si>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</si>
  <si>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</si>
  <si>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</si>
  <si>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</si>
  <si>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</si>
  <si>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</si>
  <si>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</si>
  <si>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</si>
  <si>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</si>
  <si>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</si>
  <si>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</si>
  <si>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</si>
  <si>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</si>
  <si>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</si>
  <si>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</si>
  <si>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</si>
  <si>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</si>
  <si>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</si>
  <si>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</si>
  <si>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</si>
  <si>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</si>
  <si>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</si>
  <si>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</si>
  <si>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</si>
  <si>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</si>
  <si>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</si>
  <si>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</si>
  <si>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</si>
  <si>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</si>
  <si>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</si>
  <si>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</si>
  <si>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</si>
  <si>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</si>
  <si>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</si>
  <si>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</si>
  <si>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</si>
  <si>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</si>
  <si>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</si>
  <si>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</si>
  <si>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</si>
  <si>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</si>
  <si>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</si>
  <si>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</si>
  <si>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</si>
  <si>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</si>
  <si>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</si>
  <si>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</si>
  <si>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</si>
  <si>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</si>
  <si>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</si>
  <si>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</si>
  <si>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</si>
  <si>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</si>
  <si>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</si>
  <si>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</si>
  <si>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</si>
  <si>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</si>
  <si>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</si>
  <si>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</si>
  <si>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</si>
  <si>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</si>
  <si>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</si>
  <si>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</si>
  <si>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</si>
  <si>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</si>
  <si>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</si>
  <si>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</si>
  <si>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</si>
  <si>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</si>
  <si>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</si>
  <si>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</si>
  <si>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</si>
  <si>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</si>
  <si>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</si>
  <si>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</si>
  <si>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</si>
  <si>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</si>
  <si>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</si>
  <si>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</si>
  <si>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</si>
  <si>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</si>
  <si>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</si>
  <si>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</si>
  <si>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</si>
  <si>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</si>
  <si>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</si>
  <si>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</si>
  <si>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</si>
  <si>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</si>
  <si>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</si>
  <si>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</si>
  <si>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</si>
  <si>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</si>
  <si>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</si>
  <si>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</si>
  <si>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</si>
  <si>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</si>
  <si>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</si>
  <si>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</si>
  <si>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</si>
  <si>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</si>
  <si>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</si>
  <si>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</si>
  <si>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</si>
  <si>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</si>
  <si>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</si>
  <si>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</si>
  <si>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</si>
  <si>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</si>
  <si>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</si>
  <si>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</si>
  <si>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</si>
  <si>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</si>
  <si>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</si>
  <si>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</si>
  <si>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</si>
  <si>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</si>
  <si>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</si>
  <si>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</si>
  <si>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</si>
  <si>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</si>
  <si>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</si>
  <si>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</si>
  <si>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</si>
  <si>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</si>
  <si>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</si>
  <si>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</si>
  <si>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</si>
  <si>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</si>
  <si>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</si>
  <si>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</si>
  <si>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</si>
  <si>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</si>
  <si>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</si>
  <si>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</si>
  <si>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</si>
  <si>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</si>
  <si>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</si>
  <si>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</si>
  <si>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</si>
  <si>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</si>
  <si>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</si>
  <si>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</si>
  <si>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</si>
  <si>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</si>
  <si>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</si>
  <si>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</si>
  <si>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</si>
  <si>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</si>
  <si>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</si>
  <si>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</si>
  <si>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</si>
  <si>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</si>
  <si>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</si>
  <si>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</si>
  <si>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</si>
  <si>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</si>
  <si>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</si>
  <si>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</si>
  <si>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</si>
  <si>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</si>
  <si>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</si>
  <si>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</si>
  <si>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</si>
  <si>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</si>
  <si>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</si>
  <si>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</si>
  <si>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</si>
  <si>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</si>
  <si>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</si>
  <si>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</si>
  <si>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</si>
  <si>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</si>
  <si>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</si>
  <si>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</si>
  <si>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</si>
  <si>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</si>
  <si>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</si>
  <si>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</si>
  <si>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</si>
  <si>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</si>
  <si>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</si>
  <si>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</si>
  <si>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</si>
  <si>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</si>
  <si>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</si>
  <si>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</si>
  <si>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</si>
  <si>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</si>
  <si>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</si>
  <si>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</si>
  <si>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</si>
  <si>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</si>
  <si>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</si>
  <si>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</si>
  <si>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</si>
  <si>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</si>
  <si>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</si>
  <si>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</si>
  <si>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</si>
  <si>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</si>
  <si>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</si>
  <si>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</si>
  <si>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</si>
  <si>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</si>
  <si>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</si>
  <si>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</si>
  <si>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</si>
  <si>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</si>
  <si>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</si>
  <si>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</si>
  <si>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</si>
  <si>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</si>
  <si>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</si>
  <si>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</si>
  <si>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</si>
  <si>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</si>
  <si>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</si>
  <si>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</si>
  <si>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</si>
  <si>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</si>
  <si>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</si>
  <si>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</si>
  <si>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</si>
  <si>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</si>
  <si>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</si>
  <si>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</si>
  <si>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</si>
  <si>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</si>
  <si>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</si>
  <si>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</si>
  <si>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</si>
  <si>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</si>
  <si>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</si>
  <si>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</si>
  <si>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</si>
  <si>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</si>
  <si>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</si>
  <si>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</si>
  <si>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</si>
  <si>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</si>
  <si>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</si>
  <si>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</si>
  <si>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</si>
  <si>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</si>
  <si>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</si>
  <si>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</si>
  <si>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</si>
  <si>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</si>
  <si>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</si>
  <si>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</si>
  <si>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</si>
  <si>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</si>
  <si>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</si>
  <si>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</si>
  <si>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</si>
  <si>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</si>
  <si>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</si>
  <si>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</si>
  <si>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</si>
  <si>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</si>
  <si>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</si>
  <si>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</si>
  <si>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</si>
  <si>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</si>
  <si>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</si>
  <si>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</si>
  <si>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</si>
  <si>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</si>
  <si>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</si>
  <si>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</si>
  <si>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</si>
  <si>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</si>
  <si>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</si>
  <si>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</si>
  <si>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</si>
  <si>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</si>
  <si>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</si>
  <si>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</si>
  <si>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</si>
  <si>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</si>
  <si>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</si>
  <si>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</si>
  <si>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</si>
  <si>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</si>
  <si>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</si>
  <si>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</si>
  <si>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</si>
  <si>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</si>
  <si>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</si>
  <si>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</si>
  <si>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</si>
  <si>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</si>
  <si>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</si>
  <si>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</si>
  <si>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</si>
  <si>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</si>
  <si>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</si>
  <si>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</si>
  <si>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</si>
  <si>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</si>
  <si>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</si>
  <si>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</si>
  <si>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</si>
  <si>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</si>
  <si>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</si>
  <si>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</si>
  <si>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</si>
  <si>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</si>
  <si>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</si>
  <si>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</si>
  <si>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</si>
  <si>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</si>
  <si>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</si>
  <si>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</si>
  <si>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</si>
  <si>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</si>
  <si>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</si>
  <si>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</si>
  <si>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</si>
  <si>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</si>
  <si>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</si>
  <si>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</si>
  <si>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</si>
  <si>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</si>
  <si>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</si>
  <si>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</si>
  <si>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</si>
  <si>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</si>
  <si>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</si>
  <si>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</si>
  <si>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</si>
  <si>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</si>
  <si>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</si>
  <si>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</si>
  <si>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</si>
  <si>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</si>
  <si>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</si>
  <si>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</si>
  <si>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</si>
  <si>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</si>
  <si>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</si>
  <si>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</si>
  <si>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</si>
  <si>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</si>
  <si>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</si>
  <si>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</si>
  <si>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</si>
  <si>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</si>
  <si>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</si>
  <si>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</si>
  <si>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</si>
  <si>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</si>
  <si>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</si>
  <si>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</si>
  <si>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</si>
  <si>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</si>
  <si>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</si>
  <si>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</si>
  <si>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</si>
  <si>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</si>
  <si>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</si>
  <si>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</si>
  <si>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</si>
  <si>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</si>
  <si>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</si>
  <si>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</si>
  <si>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</si>
  <si>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</si>
  <si>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</si>
  <si>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</si>
  <si>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</si>
  <si>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</si>
  <si>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</si>
  <si>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</si>
  <si>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</si>
  <si>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</si>
  <si>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</si>
  <si>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</si>
  <si>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</si>
  <si>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</si>
  <si>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</si>
  <si>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</si>
  <si>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</si>
  <si>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</si>
  <si>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</si>
  <si>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</si>
  <si>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</si>
  <si>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</si>
  <si>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</si>
  <si>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</si>
  <si>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</si>
  <si>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</si>
  <si>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</si>
  <si>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</si>
  <si>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</si>
  <si>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</si>
  <si>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</si>
  <si>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</si>
  <si>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</si>
  <si>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</si>
  <si>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</si>
  <si>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</si>
  <si>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</si>
  <si>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</si>
  <si>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</si>
  <si>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</si>
  <si>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</si>
  <si>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</si>
  <si>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</si>
  <si>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</si>
  <si>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</si>
  <si>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</si>
  <si>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</si>
  <si>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</si>
  <si>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</si>
  <si>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</si>
  <si>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</si>
  <si>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</si>
  <si>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</si>
  <si>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</si>
  <si>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</si>
  <si>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</si>
  <si>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</si>
  <si>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</si>
  <si>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</si>
  <si>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</si>
  <si>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</si>
  <si>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</si>
  <si>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</si>
  <si>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</si>
  <si>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</si>
  <si>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</si>
  <si>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</si>
  <si>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</si>
  <si>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</si>
  <si>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</si>
  <si>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</si>
  <si>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</si>
  <si>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</si>
  <si>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</si>
  <si>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</si>
  <si>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</si>
  <si>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</si>
  <si>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</si>
  <si>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</si>
  <si>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</si>
  <si>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</si>
  <si>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</si>
  <si>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</si>
  <si>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</si>
  <si>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</si>
  <si>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</si>
  <si>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</si>
  <si>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</si>
  <si>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</si>
  <si>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Raheem</t>
  </si>
  <si>
    <t>Raheem Store</t>
  </si>
  <si>
    <t xml:space="preserve">Address: Iqbal Town </t>
  </si>
  <si>
    <t xml:space="preserve">NTN : // : A244322-8 </t>
  </si>
  <si>
    <t>Invoice No # : 72629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</si>
</sst>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U3" sqref="U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7" t="s">
        <v>91</v>
      </c>
      <c r="B2" s="367"/>
      <c r="C2" s="367"/>
      <c r="E2" s="354" t="s">
        <v>498</v>
      </c>
      <c r="F2" s="355"/>
      <c r="G2" s="355"/>
      <c r="H2" s="352" t="s">
        <v>512</v>
      </c>
      <c r="I2" s="352"/>
      <c r="J2" s="353"/>
      <c r="R2" s="349" t="s">
        <v>497</v>
      </c>
      <c r="S2" s="350"/>
      <c r="T2" s="351"/>
    </row>
    <row r="3" spans="1:20 16377:16378" ht="21.75" customHeight="1" thickBot="1" x14ac:dyDescent="0.4">
      <c r="A3" s="368" t="s">
        <v>92</v>
      </c>
      <c r="B3" s="368"/>
      <c r="C3" s="368"/>
      <c r="E3" s="358" t="s">
        <v>508</v>
      </c>
      <c r="F3" s="359"/>
      <c r="G3" s="359"/>
      <c r="H3" s="356">
        <f ca="1">TODAY()</f>
        <v>46277</v>
      </c>
      <c r="I3" s="356"/>
      <c r="J3" s="357"/>
      <c r="K3" s="369" t="s">
        <v>43</v>
      </c>
      <c r="L3" s="369"/>
      <c r="M3" s="369"/>
      <c r="N3" s="368"/>
      <c r="O3" s="368"/>
      <c r="P3" s="368"/>
      <c r="R3" s="299">
        <v>1</v>
      </c>
      <c r="S3" s="300" t="str">
        <f>+'1'!A6:A6</f>
        <v>Raheem Store</v>
      </c>
      <c r="T3" s="301">
        <f>+'1'!P35</f>
        <v>78466.68639724575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Raheem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8" t="s">
        <v>51</v>
      </c>
      <c r="B5" s="360"/>
      <c r="C5" s="390" t="s">
        <v>90</v>
      </c>
      <c r="D5" s="115" t="s">
        <v>52</v>
      </c>
      <c r="E5" s="392" t="s">
        <v>58</v>
      </c>
      <c r="F5" s="393"/>
      <c r="G5" s="365" t="s">
        <v>54</v>
      </c>
      <c r="H5" s="366"/>
      <c r="I5" s="394" t="s">
        <v>77</v>
      </c>
      <c r="J5" s="364" t="s">
        <v>55</v>
      </c>
      <c r="K5" s="365"/>
      <c r="L5" s="366"/>
      <c r="M5" s="360" t="s">
        <v>84</v>
      </c>
      <c r="N5" s="362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Raheem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9"/>
      <c r="B6" s="361"/>
      <c r="C6" s="39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3"/>
      <c r="J6" s="143" t="s">
        <v>59</v>
      </c>
      <c r="K6" s="144" t="s">
        <v>39</v>
      </c>
      <c r="L6" s="145" t="s">
        <v>493</v>
      </c>
      <c r="M6" s="361"/>
      <c r="N6" s="363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Raheem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Raheem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160</v>
      </c>
      <c r="I8" s="236">
        <f t="shared" ref="I8:I14" si="0">(G8*D8)*F8+H8*F8</f>
        <v>8394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1175.1600000000001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293.79000000000002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6925.05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1586.440677966101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42.557453389830506</v>
      </c>
      <c r="P8" s="311">
        <f t="shared" ref="P8:P15" si="2">M8+N8+O8</f>
        <v>8554.0481313559321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Raheem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200</v>
      </c>
      <c r="I9" s="236">
        <f t="shared" si="0"/>
        <v>10492.5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1468.95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367.23750000000001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8656.3125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1983.0508474576263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53.196816737288138</v>
      </c>
      <c r="P9" s="311">
        <f t="shared" si="2"/>
        <v>10692.560164194916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Raheem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200</v>
      </c>
      <c r="I10" s="236">
        <f t="shared" si="0"/>
        <v>14528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2033.9200000000003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508.48000000000008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11985.599999999999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2745.7627118644068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73.656813559322032</v>
      </c>
      <c r="P10" s="311">
        <f t="shared" si="2"/>
        <v>14805.019525423728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Raheem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200</v>
      </c>
      <c r="I11" s="236">
        <f t="shared" si="0"/>
        <v>14528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2033.9200000000003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508.48000000000008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11985.599999999999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2745.7627118644068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73.656813559322032</v>
      </c>
      <c r="P11" s="311">
        <f t="shared" si="2"/>
        <v>14805.019525423728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Raheem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400</v>
      </c>
      <c r="I12" s="236">
        <f t="shared" si="0"/>
        <v>29056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4067.8400000000006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1016.9600000000002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23971.199999999997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5491.5254237288136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147.31362711864406</v>
      </c>
      <c r="P12" s="311">
        <f t="shared" si="2"/>
        <v>29610.039050847456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Raheem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Raheem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Raheem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Raheem Store</v>
      </c>
      <c r="T15" s="301">
        <f>+'13'!P35</f>
        <v>0</v>
      </c>
    </row>
    <row r="16" spans="1:20 16377:16378" ht="21.75" customHeight="1" thickBot="1" x14ac:dyDescent="0.4">
      <c r="A16" s="370">
        <f>COUNT(A7:A15)</f>
        <v>0</v>
      </c>
      <c r="B16" s="371"/>
      <c r="C16" s="371" t="s">
        <v>40</v>
      </c>
      <c r="D16" s="371"/>
      <c r="E16" s="371"/>
      <c r="F16" s="372"/>
      <c r="G16" s="117">
        <f>H16/40</f>
        <v>29</v>
      </c>
      <c r="H16" s="113">
        <f t="shared" ref="H16:M16" si="3">SUM(H7:H15)</f>
        <v>1160</v>
      </c>
      <c r="I16" s="114">
        <f t="shared" si="3"/>
        <v>76998.5</v>
      </c>
      <c r="J16" s="274">
        <f>SUM(J7:J15)</f>
        <v>10779.79</v>
      </c>
      <c r="K16" s="275">
        <f t="shared" si="3"/>
        <v>2694.9475000000002</v>
      </c>
      <c r="L16" s="276">
        <f t="shared" si="3"/>
        <v>0</v>
      </c>
      <c r="M16" s="232">
        <f t="shared" si="3"/>
        <v>63523.762499999997</v>
      </c>
      <c r="N16" s="233">
        <f>SUM(N7:N15)</f>
        <v>14552.542372881355</v>
      </c>
      <c r="O16" s="101">
        <f>SUM(O7:O15)</f>
        <v>390.3815243644068</v>
      </c>
      <c r="P16" s="113">
        <f>SUM(P7:P15)</f>
        <v>78466.68639724575</v>
      </c>
      <c r="Q16" s="128">
        <f>SUM(Q7:Q15)</f>
        <v>0</v>
      </c>
      <c r="R16" s="314">
        <v>14</v>
      </c>
      <c r="S16" s="300" t="str">
        <f>+'14'!A6:A6</f>
        <v>Raheem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Raheem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Raheem Store</v>
      </c>
      <c r="T18" s="301">
        <f>+'16'!P35</f>
        <v>0</v>
      </c>
    </row>
    <row r="19" spans="1:20" ht="21.75" customHeight="1" x14ac:dyDescent="0.35">
      <c r="B19" s="373" t="s">
        <v>64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5"/>
      <c r="N19" s="382" t="s">
        <v>60</v>
      </c>
      <c r="O19" s="383"/>
      <c r="P19" s="139">
        <f>I16</f>
        <v>76998.5</v>
      </c>
      <c r="R19" s="299">
        <v>17</v>
      </c>
      <c r="S19" s="300" t="str">
        <f>+'17'!A6:A6</f>
        <v>Raheem Store</v>
      </c>
      <c r="T19" s="301">
        <f>+'17'!P35</f>
        <v>0</v>
      </c>
    </row>
    <row r="20" spans="1:20" ht="21.75" customHeight="1" x14ac:dyDescent="0.35">
      <c r="B20" s="376"/>
      <c r="C20" s="377"/>
      <c r="D20" s="377"/>
      <c r="E20" s="377"/>
      <c r="F20" s="377"/>
      <c r="G20" s="377"/>
      <c r="H20" s="377"/>
      <c r="I20" s="377"/>
      <c r="J20" s="377"/>
      <c r="K20" s="377"/>
      <c r="L20" s="378"/>
      <c r="N20" s="384" t="s">
        <v>85</v>
      </c>
      <c r="O20" s="385"/>
      <c r="P20" s="140">
        <f>+J16</f>
        <v>10779.79</v>
      </c>
      <c r="R20" s="299">
        <v>18</v>
      </c>
      <c r="S20" s="300" t="str">
        <f>+'18'!A6:A6</f>
        <v>Raheem Store</v>
      </c>
      <c r="T20" s="301">
        <f>+'18'!P35</f>
        <v>0</v>
      </c>
    </row>
    <row r="21" spans="1:20" ht="21.75" customHeight="1" x14ac:dyDescent="0.35">
      <c r="B21" s="376"/>
      <c r="C21" s="377"/>
      <c r="D21" s="377"/>
      <c r="E21" s="377"/>
      <c r="F21" s="377"/>
      <c r="G21" s="377"/>
      <c r="H21" s="377"/>
      <c r="I21" s="377"/>
      <c r="J21" s="377"/>
      <c r="K21" s="377"/>
      <c r="L21" s="378"/>
      <c r="N21" s="384" t="s">
        <v>86</v>
      </c>
      <c r="O21" s="385"/>
      <c r="P21" s="140">
        <f>+K16+L16</f>
        <v>2694.9475000000002</v>
      </c>
      <c r="R21" s="299">
        <v>19</v>
      </c>
      <c r="S21" s="300" t="str">
        <f>+'19'!A6:A6</f>
        <v>Raheem Store</v>
      </c>
      <c r="T21" s="301">
        <f>+'19'!P35</f>
        <v>0</v>
      </c>
    </row>
    <row r="22" spans="1:20" ht="21.75" customHeight="1" x14ac:dyDescent="0.35">
      <c r="B22" s="376"/>
      <c r="C22" s="377"/>
      <c r="D22" s="377"/>
      <c r="E22" s="377"/>
      <c r="F22" s="377"/>
      <c r="G22" s="377"/>
      <c r="H22" s="377"/>
      <c r="I22" s="377"/>
      <c r="J22" s="377"/>
      <c r="K22" s="377"/>
      <c r="L22" s="378"/>
      <c r="M22" s="131"/>
      <c r="N22" s="384" t="s">
        <v>87</v>
      </c>
      <c r="O22" s="385"/>
      <c r="P22" s="140">
        <f>P19-P20-P21</f>
        <v>63523.76249999999</v>
      </c>
      <c r="R22" s="299">
        <v>20</v>
      </c>
      <c r="S22" s="300" t="str">
        <f>+'20'!A6:A6</f>
        <v>Raheem Store</v>
      </c>
      <c r="T22" s="301">
        <f>+'20'!P35</f>
        <v>0</v>
      </c>
    </row>
    <row r="23" spans="1:20" ht="21.75" customHeight="1" x14ac:dyDescent="0.35">
      <c r="B23" s="376"/>
      <c r="C23" s="377"/>
      <c r="D23" s="377"/>
      <c r="E23" s="377"/>
      <c r="F23" s="377"/>
      <c r="G23" s="377"/>
      <c r="H23" s="377"/>
      <c r="I23" s="377"/>
      <c r="J23" s="377"/>
      <c r="K23" s="377"/>
      <c r="L23" s="378"/>
      <c r="M23" s="131"/>
      <c r="N23" s="136" t="s">
        <v>61</v>
      </c>
      <c r="O23" s="133">
        <v>0.18</v>
      </c>
      <c r="P23" s="140">
        <f>+N16</f>
        <v>14552.542372881355</v>
      </c>
      <c r="R23" s="299">
        <v>21</v>
      </c>
      <c r="S23" s="300" t="str">
        <f>+'21'!A6:A6</f>
        <v>Raheem Store</v>
      </c>
      <c r="T23" s="301">
        <f>+'21'!P35</f>
        <v>0</v>
      </c>
    </row>
    <row r="24" spans="1:20" ht="21.75" customHeight="1" x14ac:dyDescent="0.35">
      <c r="B24" s="376"/>
      <c r="C24" s="377"/>
      <c r="D24" s="377"/>
      <c r="E24" s="377"/>
      <c r="F24" s="377"/>
      <c r="G24" s="377"/>
      <c r="H24" s="377"/>
      <c r="I24" s="377"/>
      <c r="J24" s="377"/>
      <c r="K24" s="377"/>
      <c r="L24" s="378"/>
      <c r="M24" s="131"/>
      <c r="N24" s="386" t="s">
        <v>76</v>
      </c>
      <c r="O24" s="387"/>
      <c r="P24" s="140">
        <f>P22+P23</f>
        <v>78076.304872881345</v>
      </c>
      <c r="R24" s="299">
        <v>22</v>
      </c>
      <c r="S24" s="300" t="str">
        <f>+'22'!A6:A6</f>
        <v>Raheem Store</v>
      </c>
      <c r="T24" s="301">
        <f>+'22'!P35</f>
        <v>0</v>
      </c>
    </row>
    <row r="25" spans="1:20" ht="21.75" customHeight="1" thickBot="1" x14ac:dyDescent="0.4">
      <c r="B25" s="379"/>
      <c r="C25" s="380"/>
      <c r="D25" s="380"/>
      <c r="E25" s="380"/>
      <c r="F25" s="380"/>
      <c r="G25" s="380"/>
      <c r="H25" s="380"/>
      <c r="I25" s="380"/>
      <c r="J25" s="380"/>
      <c r="K25" s="380"/>
      <c r="L25" s="381"/>
      <c r="M25" s="99"/>
      <c r="N25" s="138" t="s">
        <v>83</v>
      </c>
      <c r="O25" s="137" t="e">
        <f>IF(#REF!="Filer",0.5%,2.5%)</f>
        <v>#REF!</v>
      </c>
      <c r="P25" s="140">
        <f>+O16</f>
        <v>390.3815243644068</v>
      </c>
      <c r="R25" s="299">
        <v>23</v>
      </c>
      <c r="S25" s="300" t="str">
        <f>+'23'!A6:A6</f>
        <v>Raheem Store</v>
      </c>
      <c r="T25" s="301">
        <f>+'23'!P35</f>
        <v>0</v>
      </c>
    </row>
    <row r="26" spans="1:20" ht="21.75" customHeight="1" thickBot="1" x14ac:dyDescent="0.4">
      <c r="N26" s="343" t="s">
        <v>88</v>
      </c>
      <c r="O26" s="344"/>
      <c r="P26" s="297">
        <f>+P24+P25</f>
        <v>78466.68639724575</v>
      </c>
      <c r="R26" s="299">
        <v>24</v>
      </c>
      <c r="S26" s="300" t="str">
        <f>+'24'!A6:A6</f>
        <v>Raheem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5"/>
      <c r="D27" s="345"/>
      <c r="E27" s="345"/>
      <c r="F27" s="345"/>
      <c r="G27" s="345"/>
      <c r="H27" s="345"/>
      <c r="I27" s="346"/>
      <c r="J27" s="347"/>
      <c r="K27" s="348"/>
      <c r="R27" s="299">
        <v>25</v>
      </c>
      <c r="S27" s="300" t="str">
        <f>+'25'!A6:A6</f>
        <v>Raheem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Raheem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Raheem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Raheem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Raheem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Raheem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78466.68639724575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5" workbookViewId="0">
      <selection activeCell="H26" sqref="H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46276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46275</v>
      </c>
      <c r="O5" s="368"/>
      <c r="P5" s="368"/>
      <c r="R5" s="85"/>
      <c r="S5" s="266"/>
    </row>
    <row r="6" spans="1:22 16383:16384" ht="17.2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500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160</v>
      </c>
      <c r="I17" s="236">
        <f t="shared" ref="I17:I23" si="0">(G17*D17)*F17+H17*F17</f>
        <v>8394</v>
      </c>
      <c r="J17" s="272">
        <f t="shared" ref="J17:L24" si="1">$I17*S17</f>
        <v>1175.1600000000001</v>
      </c>
      <c r="K17" s="128">
        <f>$I17*T17</f>
        <v>293.79000000000002</v>
      </c>
      <c r="L17" s="119">
        <f>$I17*U17</f>
        <v>0</v>
      </c>
      <c r="M17" s="230">
        <f t="shared" ref="M17:M24" si="2">I17-SUM(J17:L17)</f>
        <v>6925.05</v>
      </c>
      <c r="N17" s="277">
        <f t="shared" ref="N17:N24" si="3">+(G17*D17+H17)*V17</f>
        <v>1586.440677966101</v>
      </c>
      <c r="O17" s="239">
        <f t="shared" ref="O17:O24" si="4">(N17+M17)*$O$15</f>
        <v>42.557453389830506</v>
      </c>
      <c r="P17" s="311">
        <f t="shared" ref="P17:P24" si="5">M17+N17+O17</f>
        <v>8554.0481313559321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200</v>
      </c>
      <c r="I18" s="236">
        <f t="shared" ref="I18:I21" si="7">(G18*D18)*F18+H18*F18</f>
        <v>10492.5</v>
      </c>
      <c r="J18" s="272">
        <f t="shared" si="1"/>
        <v>1468.95</v>
      </c>
      <c r="K18" s="128">
        <f t="shared" si="1"/>
        <v>367.23750000000001</v>
      </c>
      <c r="L18" s="119">
        <f t="shared" si="1"/>
        <v>0</v>
      </c>
      <c r="M18" s="230">
        <f t="shared" si="2"/>
        <v>8656.3125</v>
      </c>
      <c r="N18" s="277">
        <f t="shared" si="3"/>
        <v>1983.0508474576263</v>
      </c>
      <c r="O18" s="239">
        <f t="shared" si="4"/>
        <v>53.196816737288138</v>
      </c>
      <c r="P18" s="311">
        <f t="shared" si="5"/>
        <v>10692.560164194916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200</v>
      </c>
      <c r="I19" s="236">
        <f t="shared" si="7"/>
        <v>14528</v>
      </c>
      <c r="J19" s="272">
        <f t="shared" si="1"/>
        <v>2033.9200000000003</v>
      </c>
      <c r="K19" s="128">
        <f t="shared" si="1"/>
        <v>508.48000000000008</v>
      </c>
      <c r="L19" s="119">
        <f t="shared" si="1"/>
        <v>0</v>
      </c>
      <c r="M19" s="230">
        <f t="shared" si="2"/>
        <v>11985.599999999999</v>
      </c>
      <c r="N19" s="277">
        <f t="shared" si="3"/>
        <v>2745.7627118644068</v>
      </c>
      <c r="O19" s="239">
        <f t="shared" si="4"/>
        <v>73.656813559322032</v>
      </c>
      <c r="P19" s="311">
        <f t="shared" si="5"/>
        <v>14805.019525423728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200</v>
      </c>
      <c r="I20" s="236">
        <f t="shared" si="7"/>
        <v>14528</v>
      </c>
      <c r="J20" s="272">
        <f t="shared" si="1"/>
        <v>2033.9200000000003</v>
      </c>
      <c r="K20" s="128">
        <f t="shared" si="1"/>
        <v>508.48000000000008</v>
      </c>
      <c r="L20" s="119">
        <f t="shared" si="1"/>
        <v>0</v>
      </c>
      <c r="M20" s="230">
        <f t="shared" si="2"/>
        <v>11985.599999999999</v>
      </c>
      <c r="N20" s="277">
        <f t="shared" si="3"/>
        <v>2745.7627118644068</v>
      </c>
      <c r="O20" s="239">
        <f t="shared" si="4"/>
        <v>73.656813559322032</v>
      </c>
      <c r="P20" s="311">
        <f t="shared" si="5"/>
        <v>14805.019525423728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400</v>
      </c>
      <c r="I21" s="236">
        <f t="shared" si="7"/>
        <v>29056</v>
      </c>
      <c r="J21" s="272">
        <f t="shared" si="1"/>
        <v>4067.8400000000006</v>
      </c>
      <c r="K21" s="128">
        <f t="shared" si="1"/>
        <v>1016.9600000000002</v>
      </c>
      <c r="L21" s="119">
        <f t="shared" si="1"/>
        <v>0</v>
      </c>
      <c r="M21" s="230">
        <f t="shared" si="2"/>
        <v>23971.199999999997</v>
      </c>
      <c r="N21" s="277">
        <f t="shared" si="3"/>
        <v>5491.5254237288136</v>
      </c>
      <c r="O21" s="239">
        <f t="shared" si="4"/>
        <v>147.31362711864406</v>
      </c>
      <c r="P21" s="311">
        <f t="shared" si="5"/>
        <v>29610.039050847456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" si="8">SUM(G16:G24)</f>
        <v>0</v>
      </c>
      <c r="H25" s="113">
        <f t="shared" ref="H25" si="9">SUM(H16:H24)</f>
        <v>1160</v>
      </c>
      <c r="I25" s="114">
        <f t="shared" ref="I25:M25" si="10">SUM(I16:I24)</f>
        <v>76998.5</v>
      </c>
      <c r="J25" s="274">
        <f>SUM(J16:J24)</f>
        <v>10779.79</v>
      </c>
      <c r="K25" s="275">
        <f t="shared" si="10"/>
        <v>2694.9475000000002</v>
      </c>
      <c r="L25" s="276">
        <f t="shared" si="10"/>
        <v>0</v>
      </c>
      <c r="M25" s="232">
        <f t="shared" si="10"/>
        <v>63523.762499999997</v>
      </c>
      <c r="N25" s="233">
        <f>SUM(N16:N24)</f>
        <v>14552.542372881355</v>
      </c>
      <c r="O25" s="101">
        <f>SUM(O16:O24)</f>
        <v>390.3815243644068</v>
      </c>
      <c r="P25" s="113">
        <f>SUM(P16:P24)</f>
        <v>78466.68639724575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76998.5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10779.79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2694.9475000000002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63523.76249999999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14552.542372881355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78076.304872881345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390.38152436440674</v>
      </c>
    </row>
    <row r="35" spans="2:16" ht="15.75" customHeight="1" thickBot="1" x14ac:dyDescent="0.4">
      <c r="N35" s="343" t="s">
        <v>88</v>
      </c>
      <c r="O35" s="344"/>
      <c r="P35" s="297">
        <f>+P33+P34</f>
        <v>78466.68639724575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8.7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8.7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7" t="s">
        <v>91</v>
      </c>
      <c r="B2" s="367"/>
      <c r="C2" s="367"/>
    </row>
    <row r="3" spans="1:18 16382:16383" ht="15" customHeight="1" x14ac:dyDescent="0.35">
      <c r="A3" s="368" t="s">
        <v>92</v>
      </c>
      <c r="B3" s="368"/>
      <c r="C3" s="368"/>
      <c r="F3" s="85"/>
      <c r="G3" s="1"/>
      <c r="J3" s="369" t="s">
        <v>43</v>
      </c>
      <c r="K3" s="369"/>
      <c r="L3" s="369"/>
      <c r="M3" s="368"/>
      <c r="N3" s="368"/>
      <c r="O3" s="36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8" t="s">
        <v>65</v>
      </c>
      <c r="B4" s="368"/>
      <c r="C4" s="368"/>
      <c r="F4" s="85"/>
      <c r="G4" s="1"/>
      <c r="J4" s="369" t="s">
        <v>44</v>
      </c>
      <c r="K4" s="369"/>
      <c r="L4" s="369"/>
      <c r="M4" s="399">
        <f ca="1">TODAY()+1</f>
        <v>46278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69" t="s">
        <v>45</v>
      </c>
      <c r="K5" s="369"/>
      <c r="L5" s="369"/>
      <c r="M5" s="399">
        <f ca="1">M4-1</f>
        <v>46277</v>
      </c>
      <c r="N5" s="368"/>
      <c r="O5" s="368"/>
      <c r="Q5" s="85"/>
      <c r="R5" s="1"/>
    </row>
    <row r="6" spans="1:18 16382:16383" ht="15" customHeight="1" x14ac:dyDescent="0.35">
      <c r="A6" s="369" t="s">
        <v>94</v>
      </c>
      <c r="B6" s="369"/>
      <c r="C6" s="369"/>
      <c r="F6" s="85"/>
      <c r="G6" s="86"/>
      <c r="J6" s="369" t="s">
        <v>69</v>
      </c>
      <c r="K6" s="369"/>
      <c r="L6" s="369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9" t="s">
        <v>73</v>
      </c>
      <c r="B7" s="369"/>
      <c r="C7" s="369"/>
      <c r="F7" s="85"/>
      <c r="G7" s="86"/>
      <c r="J7" s="369" t="s">
        <v>66</v>
      </c>
      <c r="K7" s="369"/>
      <c r="L7" s="369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69" t="s">
        <v>67</v>
      </c>
      <c r="K8" s="369"/>
      <c r="L8" s="369"/>
      <c r="M8" s="398" t="s">
        <v>71</v>
      </c>
      <c r="N8" s="398"/>
      <c r="O8" s="398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69" t="s">
        <v>68</v>
      </c>
      <c r="K9" s="369"/>
      <c r="L9" s="369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69" t="s">
        <v>46</v>
      </c>
      <c r="K10" s="369"/>
      <c r="L10" s="369"/>
      <c r="M10" s="368" t="s">
        <v>47</v>
      </c>
      <c r="N10" s="368"/>
      <c r="O10" s="36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9" t="s">
        <v>48</v>
      </c>
      <c r="K11" s="369"/>
      <c r="L11" s="369"/>
      <c r="M11" s="368" t="s">
        <v>49</v>
      </c>
      <c r="N11" s="368"/>
      <c r="O11" s="36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9" t="s">
        <v>50</v>
      </c>
      <c r="K12" s="369"/>
      <c r="L12" s="369"/>
      <c r="M12" s="368"/>
      <c r="N12" s="368"/>
      <c r="O12" s="36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8" t="s">
        <v>51</v>
      </c>
      <c r="B14" s="360"/>
      <c r="C14" s="390" t="s">
        <v>90</v>
      </c>
      <c r="D14" s="88" t="s">
        <v>52</v>
      </c>
      <c r="E14" s="95" t="s">
        <v>74</v>
      </c>
      <c r="F14" s="115" t="s">
        <v>53</v>
      </c>
      <c r="G14" s="364" t="s">
        <v>54</v>
      </c>
      <c r="H14" s="366"/>
      <c r="I14" s="394" t="s">
        <v>77</v>
      </c>
      <c r="J14" s="365" t="s">
        <v>55</v>
      </c>
      <c r="K14" s="366"/>
      <c r="L14" s="39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9"/>
      <c r="B15" s="361"/>
      <c r="C15" s="39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3"/>
      <c r="J15" s="144" t="s">
        <v>39</v>
      </c>
      <c r="K15" s="145" t="s">
        <v>59</v>
      </c>
      <c r="L15" s="36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5"/>
      <c r="M28" s="382" t="s">
        <v>60</v>
      </c>
      <c r="N28" s="383"/>
      <c r="O28" s="139">
        <f>I25</f>
        <v>1452.8</v>
      </c>
    </row>
    <row r="29" spans="1:18 16383:16383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8"/>
      <c r="M29" s="384" t="s">
        <v>85</v>
      </c>
      <c r="N29" s="385"/>
      <c r="O29" s="140">
        <f>K25</f>
        <v>0</v>
      </c>
    </row>
    <row r="30" spans="1:18 16383:16383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8"/>
      <c r="M30" s="384" t="s">
        <v>86</v>
      </c>
      <c r="N30" s="385"/>
      <c r="O30" s="140">
        <f>J25</f>
        <v>50.848000000000006</v>
      </c>
    </row>
    <row r="31" spans="1:18 16383:16383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8"/>
      <c r="L31" s="131"/>
      <c r="M31" s="384" t="s">
        <v>87</v>
      </c>
      <c r="N31" s="385"/>
      <c r="O31" s="140">
        <f>O28-O29-O30</f>
        <v>1401.952</v>
      </c>
    </row>
    <row r="32" spans="1:18 16383:16383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8"/>
      <c r="L33" s="131"/>
      <c r="M33" s="386" t="s">
        <v>76</v>
      </c>
      <c r="N33" s="387"/>
      <c r="O33" s="140">
        <f>O31+O32</f>
        <v>1710.3814400000001</v>
      </c>
    </row>
    <row r="34" spans="2:15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3" t="s">
        <v>88</v>
      </c>
      <c r="N35" s="344"/>
      <c r="O35" s="141">
        <f>O28-O29+O31+O34</f>
        <v>2897.511536</v>
      </c>
    </row>
    <row r="36" spans="2:15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2" t="s">
        <v>439</v>
      </c>
      <c r="E1" s="335" t="s">
        <v>58</v>
      </c>
      <c r="F1" s="335"/>
      <c r="G1" s="336" t="s">
        <v>440</v>
      </c>
      <c r="H1" s="336"/>
      <c r="I1" s="409" t="s">
        <v>441</v>
      </c>
      <c r="J1" s="409"/>
      <c r="K1" s="409" t="s">
        <v>442</v>
      </c>
      <c r="L1" s="409"/>
      <c r="M1" s="404" t="s">
        <v>484</v>
      </c>
      <c r="N1" s="405"/>
      <c r="O1" s="406"/>
    </row>
    <row r="2" spans="3:24" ht="29" x14ac:dyDescent="0.35">
      <c r="C2" s="335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3" t="s">
        <v>58</v>
      </c>
      <c r="F7" s="403"/>
      <c r="G7" s="401" t="s">
        <v>440</v>
      </c>
      <c r="H7" s="336"/>
      <c r="I7" s="337" t="s">
        <v>441</v>
      </c>
      <c r="J7" s="338"/>
      <c r="K7" s="337" t="s">
        <v>442</v>
      </c>
      <c r="L7" s="338"/>
      <c r="M7" s="404" t="s">
        <v>484</v>
      </c>
      <c r="N7" s="405"/>
      <c r="O7" s="406"/>
      <c r="P7" s="256" t="s">
        <v>475</v>
      </c>
      <c r="Q7" s="242" t="s">
        <v>473</v>
      </c>
      <c r="R7" s="402" t="s">
        <v>475</v>
      </c>
      <c r="S7" s="402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1"/>
      <c r="U8" s="40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4" t="s">
        <v>484</v>
      </c>
      <c r="N13" s="405"/>
      <c r="O13" s="406"/>
      <c r="P13" s="256" t="s">
        <v>475</v>
      </c>
      <c r="Q13" s="242" t="s">
        <v>473</v>
      </c>
      <c r="R13" s="402" t="s">
        <v>475</v>
      </c>
      <c r="S13" s="402" t="s">
        <v>485</v>
      </c>
      <c r="T13" s="400" t="s">
        <v>486</v>
      </c>
      <c r="U13" s="400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1"/>
      <c r="U14" s="40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4" t="s">
        <v>484</v>
      </c>
      <c r="N20" s="405"/>
      <c r="O20" s="406"/>
      <c r="P20" s="256" t="s">
        <v>475</v>
      </c>
      <c r="Q20" s="242" t="s">
        <v>473</v>
      </c>
      <c r="R20" s="402" t="s">
        <v>475</v>
      </c>
      <c r="S20" s="402" t="s">
        <v>485</v>
      </c>
      <c r="T20" s="400" t="s">
        <v>486</v>
      </c>
      <c r="U20" s="400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1"/>
      <c r="U21" s="40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4" t="s">
        <v>484</v>
      </c>
      <c r="N27" s="405"/>
      <c r="O27" s="406"/>
      <c r="P27" s="256" t="s">
        <v>475</v>
      </c>
      <c r="Q27" s="242" t="s">
        <v>473</v>
      </c>
      <c r="R27" s="402" t="s">
        <v>475</v>
      </c>
      <c r="S27" s="402" t="s">
        <v>485</v>
      </c>
      <c r="T27" s="400" t="s">
        <v>486</v>
      </c>
      <c r="U27" s="400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1"/>
      <c r="U28" s="40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2" t="s">
        <v>439</v>
      </c>
      <c r="D1" s="335" t="s">
        <v>58</v>
      </c>
      <c r="E1" s="335"/>
      <c r="F1" s="336" t="s">
        <v>440</v>
      </c>
      <c r="G1" s="336"/>
      <c r="H1" s="409" t="s">
        <v>441</v>
      </c>
      <c r="I1" s="409"/>
      <c r="J1" s="409" t="s">
        <v>442</v>
      </c>
      <c r="K1" s="409"/>
      <c r="L1" s="404" t="s">
        <v>484</v>
      </c>
      <c r="M1" s="405"/>
      <c r="N1" s="406"/>
    </row>
    <row r="2" spans="2:17" ht="29" x14ac:dyDescent="0.35">
      <c r="B2" s="335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2026-09-12T04:41:01Z</dcterms:modified>
</cp:coreProperties>
</file>