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8B29111-A176-4EBD-9AEE-53796D8E1BB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<sst xmlns="http://schemas.openxmlformats.org/spreadsheetml/2006/main" count="3948" uniqueCount="521">
  <si>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</si>
  <si>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</si>
  <si>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</si>
  <si>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</si>
  <si>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</si>
  <si>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</si>
  <si>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</si>
  <si>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</si>
  <si>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</si>
  <si>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</si>
  <si>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</si>
  <si>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</si>
  <si>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</si>
  <si>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</si>
  <si>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</si>
  <si>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</si>
  <si>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</si>
  <si>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</si>
  <si>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</si>
  <si>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</si>
  <si>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</si>
  <si>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</si>
  <si>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</si>
  <si>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</si>
  <si>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</si>
  <si>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</si>
  <si>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</si>
  <si>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</si>
  <si>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</si>
  <si>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</si>
  <si>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</si>
  <si>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</si>
  <si>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</si>
  <si>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</si>
  <si>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</si>
  <si>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</si>
  <si>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</si>
  <si>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</si>
  <si>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</si>
  <si>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</si>
  <si>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</si>
  <si>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</si>
  <si>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</si>
  <si>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</si>
  <si>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</si>
  <si>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</si>
  <si>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</si>
  <si>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</si>
  <si>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</si>
  <si>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</si>
  <si>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</si>
  <si>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</si>
  <si>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</si>
  <si>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</si>
  <si>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</si>
  <si>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</si>
  <si>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</si>
  <si>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</si>
  <si>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</si>
  <si>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</si>
  <si>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</si>
  <si>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</si>
  <si>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</si>
  <si>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</si>
  <si>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</si>
  <si>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</si>
  <si>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</si>
  <si>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</si>
  <si>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</si>
  <si>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</si>
  <si>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</si>
  <si>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</si>
  <si>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</si>
  <si>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</si>
  <si>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</si>
  <si>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</si>
  <si>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</si>
  <si>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</si>
  <si>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</si>
  <si>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</si>
  <si>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</si>
  <si>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</si>
  <si>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</si>
  <si>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</si>
  <si>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</si>
  <si>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</si>
  <si>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</si>
  <si>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</si>
  <si>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</si>
  <si>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</si>
  <si>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</si>
  <si>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</si>
  <si>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</si>
  <si>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</si>
  <si>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</si>
  <si>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</si>
  <si>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</si>
  <si>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</si>
  <si>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</si>
  <si>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</si>
  <si>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</si>
  <si>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</si>
  <si>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</si>
  <si>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</si>
  <si>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</si>
  <si>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</si>
  <si>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</si>
  <si>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</si>
  <si>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</si>
  <si>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</si>
  <si>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</si>
  <si>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</si>
  <si>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</si>
  <si>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</si>
  <si>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</si>
  <si>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</si>
  <si>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</si>
  <si>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</si>
  <si>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</si>
  <si>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</si>
  <si>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</si>
  <si>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</si>
  <si>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</si>
  <si>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</si>
  <si>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</si>
  <si>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</si>
  <si>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</si>
  <si>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</si>
  <si>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</si>
  <si>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</si>
  <si>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</si>
  <si>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</si>
  <si>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</si>
  <si>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</si>
  <si>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</si>
  <si>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</si>
  <si>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</si>
  <si>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</si>
  <si>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</si>
  <si>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</si>
  <si>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</si>
  <si>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</si>
  <si>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</si>
  <si>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</si>
  <si>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</si>
  <si>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</si>
  <si>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</si>
  <si>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</si>
  <si>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</si>
  <si>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</si>
  <si>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</si>
  <si>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</si>
  <si>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</si>
  <si>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</si>
  <si>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</si>
  <si>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</si>
  <si>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</si>
  <si>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</si>
  <si>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</si>
  <si>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</si>
  <si>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</si>
  <si>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</si>
  <si>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</si>
  <si>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</si>
  <si>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</si>
  <si>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</si>
  <si>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</si>
  <si>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</si>
  <si>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</si>
  <si>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</si>
  <si>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</si>
  <si>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</si>
  <si>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</si>
  <si>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</si>
  <si>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</si>
  <si>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</si>
  <si>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</si>
  <si>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</si>
  <si>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</si>
  <si>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</si>
  <si>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</si>
  <si>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</si>
  <si>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</si>
  <si>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</si>
  <si>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</si>
  <si>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</si>
  <si>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</si>
  <si>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</si>
  <si>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</si>
  <si>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</si>
  <si>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</si>
  <si>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</si>
  <si>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</si>
  <si>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</si>
  <si>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</si>
  <si>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</si>
  <si>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</si>
  <si>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</si>
  <si>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</si>
  <si>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</si>
  <si>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</si>
  <si>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</si>
  <si>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</si>
  <si>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</si>
  <si>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</si>
  <si>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</si>
  <si>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</si>
  <si>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</si>
  <si>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</si>
  <si>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</si>
  <si>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</si>
  <si>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</si>
  <si>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</si>
  <si>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</si>
  <si>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</si>
  <si>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</si>
  <si>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</si>
  <si>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</si>
  <si>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</si>
  <si>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</si>
  <si>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</si>
  <si>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</si>
  <si>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</si>
  <si>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</si>
  <si>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</si>
  <si>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</si>
  <si>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</si>
  <si>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</si>
  <si>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</si>
  <si>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</si>
  <si>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</si>
  <si>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</si>
  <si>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</si>
  <si>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</si>
  <si>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</si>
  <si>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</si>
  <si>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</si>
  <si>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</si>
  <si>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</si>
  <si>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</si>
  <si>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</si>
  <si>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</si>
  <si>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</si>
  <si>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</si>
  <si>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</si>
  <si>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</si>
  <si>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</si>
  <si>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</si>
  <si>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</si>
  <si>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</si>
  <si>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</si>
  <si>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</si>
  <si>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</si>
  <si>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</si>
  <si>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</si>
  <si>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</si>
  <si>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</si>
  <si>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</si>
  <si>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</si>
  <si>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</si>
  <si>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</si>
  <si>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</si>
  <si>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</si>
  <si>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</si>
  <si>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</si>
  <si>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</si>
  <si>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</si>
  <si>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</si>
  <si>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</si>
  <si>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</si>
  <si>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</si>
  <si>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</si>
  <si>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</si>
  <si>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</si>
  <si>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</si>
  <si>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</si>
  <si>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</si>
  <si>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</si>
  <si>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</si>
  <si>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</si>
  <si>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</si>
  <si>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</si>
  <si>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</si>
  <si>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</si>
  <si>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</si>
  <si>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</si>
  <si>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</si>
  <si>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</si>
  <si>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</si>
  <si>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</si>
  <si>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</si>
  <si>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</si>
  <si>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</si>
  <si>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</si>
  <si>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</si>
  <si>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</si>
  <si>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</si>
  <si>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</si>
  <si>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</si>
  <si>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</si>
  <si>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</si>
  <si>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</si>
  <si>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</si>
  <si>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</si>
  <si>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</si>
  <si>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</si>
  <si>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</si>
  <si>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</si>
  <si>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</si>
  <si>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</si>
  <si>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</si>
  <si>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</si>
  <si>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</si>
  <si>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</si>
  <si>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</si>
  <si>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</si>
  <si>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</si>
  <si>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</si>
  <si>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</si>
  <si>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</si>
  <si>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</si>
  <si>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</si>
  <si>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</si>
  <si>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</si>
  <si>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</si>
  <si>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</si>
  <si>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</si>
  <si>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</si>
  <si>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</si>
  <si>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</si>
  <si>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</si>
  <si>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</si>
  <si>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</si>
  <si>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</si>
  <si>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</si>
  <si>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</si>
  <si>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</si>
  <si>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</si>
  <si>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</si>
  <si>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</si>
  <si>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</si>
  <si>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</si>
  <si>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</si>
  <si>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</si>
  <si>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</si>
  <si>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</si>
  <si>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</si>
  <si>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</si>
  <si>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</si>
  <si>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</si>
  <si>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</si>
  <si>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</si>
  <si>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</si>
  <si>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</si>
  <si>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</si>
  <si>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</si>
  <si>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</si>
  <si>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</si>
  <si>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</si>
  <si>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</si>
  <si>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</si>
  <si>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</si>
  <si>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</si>
  <si>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</si>
  <si>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</si>
  <si>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</si>
  <si>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</si>
  <si>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</si>
  <si>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</si>
  <si>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</si>
  <si>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</si>
  <si>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</si>
  <si>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</si>
  <si>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</si>
  <si>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</si>
  <si>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</si>
  <si>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</si>
  <si>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</si>
  <si>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</si>
  <si>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</si>
  <si>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</si>
  <si>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</si>
  <si>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</si>
  <si>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</si>
  <si>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</si>
  <si>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</si>
  <si>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</si>
  <si>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</si>
  <si>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</si>
  <si>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</si>
  <si>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</si>
  <si>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</si>
  <si>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</si>
  <si>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</si>
  <si>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</si>
  <si>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</si>
  <si>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</si>
  <si>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</si>
  <si>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</si>
  <si>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</si>
  <si>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</si>
  <si>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</si>
  <si>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</si>
  <si>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</si>
  <si>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</si>
  <si>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</si>
  <si>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</si>
  <si>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</si>
  <si>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</si>
  <si>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</si>
  <si>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</si>
  <si>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</si>
  <si>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</si>
  <si>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</si>
  <si>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</si>
  <si>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</si>
  <si>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</si>
  <si>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</si>
  <si>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</si>
  <si>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</si>
  <si>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</si>
  <si>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</si>
  <si>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</si>
  <si>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</si>
  <si>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</si>
  <si>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</si>
  <si>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</si>
  <si>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</si>
  <si>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</si>
  <si>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</si>
  <si>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</si>
  <si>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</si>
  <si>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</si>
  <si>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</si>
  <si>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</si>
  <si>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</si>
  <si>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</si>
  <si>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</si>
  <si>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</si>
  <si>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</si>
  <si>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</si>
  <si>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</si>
  <si>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</si>
  <si>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</si>
  <si>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</si>
  <si>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</si>
  <si>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</si>
  <si>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</si>
  <si>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</si>
  <si>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</si>
  <si>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</si>
  <si>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</si>
  <si>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</si>
  <si>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</si>
  <si>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</si>
  <si>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</si>
  <si>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</si>
  <si>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</si>
  <si>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</si>
  <si>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</si>
  <si>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</si>
  <si>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</si>
  <si>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</si>
  <si>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</si>
  <si>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</si>
  <si>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</si>
  <si>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</si>
  <si>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</si>
  <si>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</si>
  <si>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</si>
  <si>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</si>
  <si>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</si>
  <si>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</si>
  <si>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</si>
  <si>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</si>
  <si>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</si>
  <si>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</si>
  <si>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</si>
  <si>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</si>
  <si>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</si>
  <si>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</si>
  <si>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</si>
  <si>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</si>
  <si>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</si>
  <si>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</si>
  <si>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</si>
  <si>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</si>
  <si>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</si>
  <si>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</si>
  <si>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</si>
  <si>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</si>
  <si>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</si>
  <si>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</si>
  <si>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</si>
  <si>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</si>
  <si>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</si>
  <si>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</si>
  <si>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</si>
  <si>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</si>
  <si>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</si>
  <si>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</si>
  <si>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</si>
  <si>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</si>
  <si>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</si>
  <si>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</si>
  <si>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</si>
  <si>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</si>
  <si>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</si>
  <si>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</si>
  <si>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</si>
  <si>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</si>
  <si>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</si>
  <si>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</si>
  <si>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Jabbar </t>
  </si>
  <si>
    <t>Hikma Store</t>
  </si>
  <si>
    <t xml:space="preserve">Address: Paragon </t>
  </si>
  <si>
    <t xml:space="preserve">ZB Mart </t>
  </si>
  <si>
    <t>Abdullah Store</t>
  </si>
  <si>
    <t>Umaima Store</t>
  </si>
  <si>
    <t xml:space="preserve">Pick And Pack </t>
  </si>
  <si>
    <t xml:space="preserve">Ayan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</si>
</sst>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Hikma Store</v>
      </c>
      <c r="T3" s="301">
        <f>+'1'!P35</f>
        <v>2352.1586888135594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ZB Mart </v>
      </c>
      <c r="T4" s="301">
        <f>+'2'!P35</f>
        <v>4805.3894985762718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Abdullah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Umaima Store</v>
      </c>
      <c r="T6" s="301">
        <f>+'4'!P35</f>
        <v>11077.812668745764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Pick And Pack </v>
      </c>
      <c r="T7" s="301">
        <f>+'5'!P35</f>
        <v>3136.2115850847463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</v>
      </c>
      <c r="I8" s="236">
        <f t="shared" ref="I8:I14" si="0">(G8*D8)*F8+H8*F8</f>
        <v>472.16249999999997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37.772999999999996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16.5256875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417.86381249999999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89.23728813559319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2.5355055031779661</v>
      </c>
      <c r="P8" s="311">
        <f t="shared" ref="P8:P15" si="2">M8+N8+O8</f>
        <v>509.63660613877113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</v>
      </c>
      <c r="R8" s="313">
        <v>6</v>
      </c>
      <c r="S8" s="300" t="str">
        <f>+'6'!A6:A6</f>
        <v xml:space="preserve">Ayan Mart </v>
      </c>
      <c r="T8" s="301">
        <f>+'6'!P35</f>
        <v>7013.8147918442792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91</v>
      </c>
      <c r="I10" s="236">
        <f t="shared" si="0"/>
        <v>6610.24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528.81920000000002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231.35839999999999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5850.0623999999998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1249.3220338983051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35.496922169491526</v>
      </c>
      <c r="P10" s="311">
        <f t="shared" si="2"/>
        <v>7134.8813560677972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6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86</v>
      </c>
      <c r="I11" s="236">
        <f t="shared" si="0"/>
        <v>6247.04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499.76320000000004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218.6464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5528.6304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1180.6779661016951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33.546541830508481</v>
      </c>
      <c r="P11" s="311">
        <f t="shared" si="2"/>
        <v>6742.8549079322038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93</v>
      </c>
      <c r="I12" s="236">
        <f t="shared" si="0"/>
        <v>6755.52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540.44159999999999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236.44320000000002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5978.6352000000006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1276.7796610169494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36.277074305084746</v>
      </c>
      <c r="P12" s="311">
        <f t="shared" si="2"/>
        <v>7291.6919353220355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6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10.725</v>
      </c>
      <c r="H16" s="113">
        <f t="shared" ref="H16:M16" si="3">SUM(H7:H15)</f>
        <v>429</v>
      </c>
      <c r="I16" s="114">
        <f t="shared" si="3"/>
        <v>26366.4375</v>
      </c>
      <c r="J16" s="274">
        <f>SUM(J7:J15)</f>
        <v>1968.087</v>
      </c>
      <c r="K16" s="275">
        <f t="shared" si="3"/>
        <v>922.82531250000011</v>
      </c>
      <c r="L16" s="276">
        <f t="shared" si="3"/>
        <v>240.08760000000001</v>
      </c>
      <c r="M16" s="232">
        <f t="shared" si="3"/>
        <v>23235.437587500001</v>
      </c>
      <c r="N16" s="233">
        <f>SUM(N7:N15)</f>
        <v>5008.7288135593217</v>
      </c>
      <c r="O16" s="101">
        <f>SUM(O7:O15)</f>
        <v>141.22083200529661</v>
      </c>
      <c r="P16" s="113">
        <f>SUM(P7:P15)</f>
        <v>28385.387233064623</v>
      </c>
      <c r="Q16" s="128">
        <f>SUM(Q7:Q15)</f>
        <v>19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26366.4375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1968.087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1162.9129125000002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23235.437587500001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5008.7288135593217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28244.166401059323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141.22083200529661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28385.387233064619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28385.387233064619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30</v>
      </c>
      <c r="I25" s="114">
        <f t="shared" ref="I25:M25" si="10">SUM(I16:I24)</f>
        <v>2179.1999999999998</v>
      </c>
      <c r="J25" s="274">
        <f>SUM(J16:J24)</f>
        <v>174.33600000000001</v>
      </c>
      <c r="K25" s="275">
        <f t="shared" si="10"/>
        <v>76.272000000000006</v>
      </c>
      <c r="L25" s="276">
        <f t="shared" si="10"/>
        <v>0</v>
      </c>
      <c r="M25" s="232">
        <f t="shared" si="10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2179.1999999999998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174.33600000000001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76.272000000000006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1928.5919999999999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2340.4564067796609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5" t="s">
        <v>88</v>
      </c>
      <c r="O35" s="346"/>
      <c r="P35" s="297">
        <f>+P33+P34</f>
        <v>2352.1586888135594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4474.8000000000011</v>
      </c>
      <c r="J25" s="274">
        <f>SUM(J16:J24)</f>
        <v>310.90800000000007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4474.8000000000011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310.90800000000007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236.6472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3927.2448000000009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4781.4820881355936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23.907410440677968</v>
      </c>
    </row>
    <row r="35" spans="2:16" ht="15.75" customHeight="1" thickBot="1" x14ac:dyDescent="0.4">
      <c r="N35" s="345" t="s">
        <v>88</v>
      </c>
      <c r="O35" s="346"/>
      <c r="P35" s="297">
        <f>+P33+P34</f>
        <v>4805.3894985762718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E4" sqref="E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10286</v>
      </c>
      <c r="J25" s="274">
        <f>SUM(J16:J24)</f>
        <v>775.80400000000009</v>
      </c>
      <c r="K25" s="275">
        <f t="shared" si="7"/>
        <v>360.01000000000005</v>
      </c>
      <c r="L25" s="276">
        <f t="shared" si="7"/>
        <v>80.029200000000003</v>
      </c>
      <c r="M25" s="232">
        <f t="shared" si="7"/>
        <v>9070.1568000000007</v>
      </c>
      <c r="N25" s="233">
        <f>SUM(N16:N24)</f>
        <v>1952.542372881356</v>
      </c>
      <c r="O25" s="101">
        <f>SUM(O16:O24)</f>
        <v>55.113495864406786</v>
      </c>
      <c r="P25" s="234">
        <f>SUM(P16:P24)</f>
        <v>11077.812668745762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10286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775.80400000000009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440.03920000000005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9070.1568000000007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1952.542372881356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11022.699172881357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55.113495864406786</v>
      </c>
    </row>
    <row r="35" spans="2:16" ht="15.75" customHeight="1" thickBot="1" x14ac:dyDescent="0.4">
      <c r="N35" s="345" t="s">
        <v>88</v>
      </c>
      <c r="O35" s="346"/>
      <c r="P35" s="297">
        <f>+P33+P34</f>
        <v>11077.812668745764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9</v>
      </c>
      <c r="I17" s="236">
        <f t="shared" ref="I17:I23" si="0">(G17*D17)*F17+H17*F17</f>
        <v>472.16249999999997</v>
      </c>
      <c r="J17" s="272">
        <f t="shared" ref="J17:L24" si="1">$I17*S17</f>
        <v>37.772999999999996</v>
      </c>
      <c r="K17" s="128">
        <f>$I17*T17</f>
        <v>16.5256875</v>
      </c>
      <c r="L17" s="119">
        <f>$I17*U17</f>
        <v>0</v>
      </c>
      <c r="M17" s="230">
        <f t="shared" ref="M17:M24" si="2">I17-SUM(J17:L17)</f>
        <v>417.86381249999999</v>
      </c>
      <c r="N17" s="277">
        <f t="shared" ref="N17:N24" si="3">+(G17*D17+H17)*V17</f>
        <v>89.23728813559319</v>
      </c>
      <c r="O17" s="239">
        <f t="shared" ref="O17:O24" si="4">(N17+M17)*$O$15</f>
        <v>2.5355055031779661</v>
      </c>
      <c r="P17" s="119">
        <f t="shared" ref="P17:P24" si="5">M17+N17+O17</f>
        <v>509.63660613877113</v>
      </c>
      <c r="Q17" s="319">
        <v>1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119</v>
      </c>
      <c r="I25" s="114">
        <f t="shared" si="7"/>
        <v>6520.8374999999996</v>
      </c>
      <c r="J25" s="274">
        <f>SUM(J16:J24)</f>
        <v>474.59100000000007</v>
      </c>
      <c r="K25" s="275">
        <f t="shared" si="7"/>
        <v>228.22931249999999</v>
      </c>
      <c r="L25" s="276">
        <f t="shared" si="7"/>
        <v>80.029200000000003</v>
      </c>
      <c r="M25" s="232">
        <f t="shared" si="7"/>
        <v>5737.9879875000006</v>
      </c>
      <c r="N25" s="233">
        <f>SUM(N16:N24)</f>
        <v>1240.9322033898302</v>
      </c>
      <c r="O25" s="101">
        <f>SUM(O16:O24)</f>
        <v>34.894600954449153</v>
      </c>
      <c r="P25" s="234">
        <f>SUM(P16:P24)</f>
        <v>7013.8147918442792</v>
      </c>
      <c r="Q25" s="239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6520.8374999999996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474.59100000000007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308.25851249999999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5737.9879874999997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1240.9322033898302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6978.9201908898303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34.894600954449153</v>
      </c>
    </row>
    <row r="35" spans="2:16" ht="15.75" customHeight="1" thickBot="1" x14ac:dyDescent="0.4">
      <c r="N35" s="345" t="s">
        <v>88</v>
      </c>
      <c r="O35" s="346"/>
      <c r="P35" s="297">
        <f>+P33+P34</f>
        <v>7013.8147918442792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Jabbar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2026-09-11T10:35:19Z</dcterms:modified>
</cp:coreProperties>
</file>