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3432924-C24F-4114-9DF0-E243341CA29E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1" i="52"/>
  <c r="O21" i="52" s="1"/>
  <c r="P21" i="52" s="1"/>
  <c r="M16" i="44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<sst xmlns="http://schemas.openxmlformats.org/spreadsheetml/2006/main" count="3948" uniqueCount="529">
  <si>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</si>
  <si>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</si>
  <si>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</si>
  <si>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</si>
  <si>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</si>
  <si>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</si>
  <si>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</si>
  <si>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</si>
  <si>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</si>
  <si>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</si>
  <si>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</si>
  <si>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</si>
  <si>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</si>
  <si>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</si>
  <si>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</si>
  <si>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</si>
  <si>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</si>
  <si>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</si>
  <si>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</si>
  <si>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</si>
  <si>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</si>
  <si>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</si>
  <si>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</si>
  <si>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</si>
  <si>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</si>
  <si>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</si>
  <si>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</si>
  <si>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</si>
  <si>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</si>
  <si>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</si>
  <si>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</si>
  <si>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</si>
  <si>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</si>
  <si>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</si>
  <si>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</si>
  <si>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</si>
  <si>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</si>
  <si>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</si>
  <si>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</si>
  <si>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</si>
  <si>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</si>
  <si>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</si>
  <si>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</si>
  <si>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</si>
  <si>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</si>
  <si>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</si>
  <si>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</si>
  <si>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</si>
  <si>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</si>
  <si>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</si>
  <si>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</si>
  <si>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</si>
  <si>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</si>
  <si>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</si>
  <si>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</si>
  <si>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</si>
  <si>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</si>
  <si>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</si>
  <si>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</si>
  <si>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</si>
  <si>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</si>
  <si>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</si>
  <si>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</si>
  <si>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</si>
  <si>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</si>
  <si>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</si>
  <si>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</si>
  <si>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</si>
  <si>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</si>
  <si>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</si>
  <si>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</si>
  <si>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</si>
  <si>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</si>
  <si>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</si>
  <si>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</si>
  <si>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</si>
  <si>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</si>
  <si>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</si>
  <si>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</si>
  <si>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</si>
  <si>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</si>
  <si>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</si>
  <si>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</si>
  <si>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</si>
  <si>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</si>
  <si>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</si>
  <si>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</si>
  <si>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</si>
  <si>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</si>
  <si>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</si>
  <si>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</si>
  <si>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</si>
  <si>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</si>
  <si>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</si>
  <si>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</si>
  <si>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</si>
  <si>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</si>
  <si>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</si>
  <si>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</si>
  <si>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</si>
  <si>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</si>
  <si>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</si>
  <si>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</si>
  <si>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</si>
  <si>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</si>
  <si>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</si>
  <si>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</si>
  <si>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</si>
  <si>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</si>
  <si>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</si>
  <si>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</si>
  <si>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</si>
  <si>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</si>
  <si>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</si>
  <si>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</si>
  <si>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</si>
  <si>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</si>
  <si>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</si>
  <si>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</si>
  <si>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</si>
  <si>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</si>
  <si>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</si>
  <si>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</si>
  <si>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</si>
  <si>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</si>
  <si>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</si>
  <si>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</si>
  <si>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</si>
  <si>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</si>
  <si>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</si>
  <si>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</si>
  <si>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</si>
  <si>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</si>
  <si>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</si>
  <si>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</si>
  <si>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</si>
  <si>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</si>
  <si>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</si>
  <si>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</si>
  <si>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</si>
  <si>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</si>
  <si>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</si>
  <si>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</si>
  <si>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</si>
  <si>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</si>
  <si>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</si>
  <si>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</si>
  <si>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</si>
  <si>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</si>
  <si>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</si>
  <si>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</si>
  <si>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</si>
  <si>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</si>
  <si>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</si>
  <si>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</si>
  <si>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</si>
  <si>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</si>
  <si>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</si>
  <si>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</si>
  <si>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</si>
  <si>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</si>
  <si>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</si>
  <si>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</si>
  <si>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</si>
  <si>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</si>
  <si>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</si>
  <si>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</si>
  <si>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</si>
  <si>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</si>
  <si>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</si>
  <si>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</si>
  <si>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</si>
  <si>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</si>
  <si>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</si>
  <si>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</si>
  <si>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</si>
  <si>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</si>
  <si>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</si>
  <si>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</si>
  <si>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</si>
  <si>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</si>
  <si>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</si>
  <si>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</si>
  <si>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</si>
  <si>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</si>
  <si>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</si>
  <si>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</si>
  <si>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</si>
  <si>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</si>
  <si>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</si>
  <si>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</si>
  <si>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</si>
  <si>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</si>
  <si>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</si>
  <si>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</si>
  <si>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</si>
  <si>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</si>
  <si>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</si>
  <si>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</si>
  <si>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</si>
  <si>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</si>
  <si>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</si>
  <si>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</si>
  <si>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</si>
  <si>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</si>
  <si>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</si>
  <si>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</si>
  <si>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</si>
  <si>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</si>
  <si>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</si>
  <si>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</si>
  <si>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</si>
  <si>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</si>
  <si>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</si>
  <si>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</si>
  <si>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</si>
  <si>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</si>
  <si>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</si>
  <si>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</si>
  <si>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</si>
  <si>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</si>
  <si>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</si>
  <si>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</si>
  <si>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</si>
  <si>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</si>
  <si>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</si>
  <si>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</si>
  <si>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</si>
  <si>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</si>
  <si>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</si>
  <si>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</si>
  <si>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</si>
  <si>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</si>
  <si>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</si>
  <si>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</si>
  <si>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</si>
  <si>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</si>
  <si>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</si>
  <si>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</si>
  <si>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</si>
  <si>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</si>
  <si>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</si>
  <si>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</si>
  <si>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</si>
  <si>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</si>
  <si>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</si>
  <si>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</si>
  <si>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</si>
  <si>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</si>
  <si>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</si>
  <si>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</si>
  <si>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</si>
  <si>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</si>
  <si>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</si>
  <si>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</si>
  <si>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</si>
  <si>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</si>
  <si>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</si>
  <si>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</si>
  <si>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</si>
  <si>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</si>
  <si>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</si>
  <si>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</si>
  <si>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</si>
  <si>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</si>
  <si>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</si>
  <si>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</si>
  <si>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</si>
  <si>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</si>
  <si>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</si>
  <si>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</si>
  <si>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</si>
  <si>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</si>
  <si>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</si>
  <si>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</si>
  <si>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</si>
  <si>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</si>
  <si>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</si>
  <si>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</si>
  <si>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</si>
  <si>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</si>
  <si>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</si>
  <si>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</si>
  <si>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</si>
  <si>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</si>
  <si>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</si>
  <si>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</si>
  <si>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</si>
  <si>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</si>
  <si>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</si>
  <si>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</si>
  <si>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</si>
  <si>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</si>
  <si>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</si>
  <si>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</si>
  <si>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</si>
  <si>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</si>
  <si>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</si>
  <si>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</si>
  <si>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</si>
  <si>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</si>
  <si>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</si>
  <si>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</si>
  <si>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</si>
  <si>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</si>
  <si>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</si>
  <si>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</si>
  <si>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</si>
  <si>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</si>
  <si>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</si>
  <si>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</si>
  <si>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</si>
  <si>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</si>
  <si>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</si>
  <si>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</si>
  <si>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</si>
  <si>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</si>
  <si>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</si>
  <si>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</si>
  <si>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</si>
  <si>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</si>
  <si>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</si>
  <si>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</si>
  <si>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</si>
  <si>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</si>
  <si>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</si>
  <si>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</si>
  <si>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</si>
  <si>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</si>
  <si>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</si>
  <si>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</si>
  <si>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</si>
  <si>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</si>
  <si>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</si>
  <si>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</si>
  <si>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</si>
  <si>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</si>
  <si>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</si>
  <si>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</si>
  <si>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</si>
  <si>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</si>
  <si>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</si>
  <si>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</si>
  <si>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</si>
  <si>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</si>
  <si>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</si>
  <si>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</si>
  <si>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</si>
  <si>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</si>
  <si>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</si>
  <si>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</si>
  <si>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</si>
  <si>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</si>
  <si>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</si>
  <si>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</si>
  <si>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</si>
  <si>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</si>
  <si>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</si>
  <si>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</si>
  <si>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</si>
  <si>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</si>
  <si>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</si>
  <si>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</si>
  <si>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</si>
  <si>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</si>
  <si>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</si>
  <si>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</si>
  <si>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</si>
  <si>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</si>
  <si>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</si>
  <si>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</si>
  <si>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</si>
  <si>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</si>
  <si>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</si>
  <si>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</si>
  <si>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</si>
  <si>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</si>
  <si>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</si>
  <si>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</si>
  <si>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</si>
  <si>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</si>
  <si>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</si>
  <si>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</si>
  <si>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</si>
  <si>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</si>
  <si>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</si>
  <si>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</si>
  <si>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</si>
  <si>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</si>
  <si>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</si>
  <si>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</si>
  <si>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</si>
  <si>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</si>
  <si>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</si>
  <si>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</si>
  <si>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</si>
  <si>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</si>
  <si>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</si>
  <si>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</si>
  <si>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</si>
  <si>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</si>
  <si>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</si>
  <si>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</si>
  <si>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</si>
  <si>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</si>
  <si>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</si>
  <si>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</si>
  <si>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</si>
  <si>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</si>
  <si>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</si>
  <si>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</si>
  <si>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</si>
  <si>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</si>
  <si>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</si>
  <si>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</si>
  <si>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</si>
  <si>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</si>
  <si>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</si>
  <si>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</si>
  <si>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</si>
  <si>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</si>
  <si>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</si>
  <si>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</si>
  <si>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</si>
  <si>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</si>
  <si>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</si>
  <si>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</si>
  <si>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</si>
  <si>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</si>
  <si>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</si>
  <si>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</si>
  <si>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</si>
  <si>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</si>
  <si>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</si>
  <si>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</si>
  <si>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</si>
  <si>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</si>
  <si>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</si>
  <si>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</si>
  <si>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</si>
  <si>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</si>
  <si>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</si>
  <si>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</si>
  <si>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</si>
  <si>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</si>
  <si>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</si>
  <si>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</si>
  <si>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</si>
  <si>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</si>
  <si>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</si>
  <si>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</si>
  <si>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</si>
  <si>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</si>
  <si>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</si>
  <si>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</si>
  <si>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</si>
  <si>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</si>
  <si>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</si>
  <si>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</si>
  <si>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</si>
  <si>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</si>
  <si>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</si>
  <si>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</si>
  <si>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</si>
  <si>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</si>
  <si>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</si>
  <si>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</si>
  <si>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</si>
  <si>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</si>
  <si>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</si>
  <si>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</si>
  <si>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</si>
  <si>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</si>
  <si>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</si>
  <si>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</si>
  <si>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</si>
  <si>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</si>
  <si>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</si>
  <si>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</si>
  <si>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</si>
  <si>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</si>
  <si>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</si>
  <si>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</si>
  <si>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</si>
  <si>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</si>
  <si>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</si>
  <si>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</si>
  <si>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</si>
  <si>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</si>
  <si>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</si>
  <si>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</si>
  <si>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</si>
  <si>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</si>
  <si>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</si>
  <si>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</si>
  <si>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</si>
  <si>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</si>
  <si>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</si>
  <si>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</si>
  <si>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</si>
  <si>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</si>
  <si>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</si>
  <si>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</si>
  <si>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</si>
  <si>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</si>
  <si>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</si>
  <si>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</si>
  <si>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</si>
  <si>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</si>
  <si>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</si>
  <si>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</si>
  <si>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</si>
  <si>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</si>
  <si>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</si>
  <si>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Furqan</t>
  </si>
  <si>
    <t xml:space="preserve">SK Mart </t>
  </si>
  <si>
    <t>Address: Guru Mangat Road</t>
  </si>
  <si>
    <t>DA Store</t>
  </si>
  <si>
    <t xml:space="preserve">Address: Railway Line Basti Allah ho </t>
  </si>
  <si>
    <t>Khan Store</t>
  </si>
  <si>
    <t>Address: Gosiaazam Colony</t>
  </si>
  <si>
    <t>Saleem Store</t>
  </si>
  <si>
    <t>Address: Ghosazam Colony</t>
  </si>
  <si>
    <t>Ahil Store</t>
  </si>
  <si>
    <t>Address: Nasir Colony</t>
  </si>
  <si>
    <t>Malik kareyana Stoer</t>
  </si>
  <si>
    <t>Lasani sweets</t>
  </si>
  <si>
    <t xml:space="preserve">Address: Gosiazam Bazaar </t>
  </si>
  <si>
    <t>Karam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</si>
</sst>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topLeftCell="A4" workbookViewId="0">
      <selection activeCell="U8" sqref="U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46276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SK Mart </v>
      </c>
      <c r="T3" s="301">
        <f>+'1'!P35</f>
        <v>3449.8416378432203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DA Store</v>
      </c>
      <c r="T4" s="301">
        <f>+'2'!P35</f>
        <v>500.75337404745761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Khan Store</v>
      </c>
      <c r="T5" s="301">
        <f>+'3'!P35</f>
        <v>810.18947518855907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Saleem Store</v>
      </c>
      <c r="T6" s="301">
        <f>+'4'!P35</f>
        <v>7070.4410814152552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29</v>
      </c>
      <c r="I7" s="235">
        <f>(G7*D7)*F7+H7*F7</f>
        <v>1521.4124999999999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121.71299999999999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53.249437499999999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1346.4500624999998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287.54237288135579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8.169962176906779</v>
      </c>
      <c r="P7" s="310">
        <f>M7+N7+O7</f>
        <v>1642.1623975582625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Ahil Store</v>
      </c>
      <c r="T7" s="301">
        <f>+'5'!P35</f>
        <v>500.75337404745761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24</v>
      </c>
      <c r="I8" s="236">
        <f t="shared" ref="I8:I14" si="0">(G8*D8)*F8+H8*F8</f>
        <v>1259.0999999999999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100.72799999999999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44.0685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1114.3035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237.96610169491515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6.7613480084745756</v>
      </c>
      <c r="P8" s="311">
        <f t="shared" ref="P8:P15" si="2">M8+N8+O8</f>
        <v>1359.0309497033898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Malik kareyana Stoer</v>
      </c>
      <c r="T8" s="301">
        <f>+'6'!P35</f>
        <v>834.58895674576274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29</v>
      </c>
      <c r="I9" s="236">
        <f t="shared" si="0"/>
        <v>1521.4124999999999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121.71299999999999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53.249437499999999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1346.4500624999998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287.54237288135579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8.169962176906779</v>
      </c>
      <c r="P9" s="311">
        <f t="shared" si="2"/>
        <v>1642.1623975582625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Lasani sweets</v>
      </c>
      <c r="T9" s="301">
        <f>+'7'!P35</f>
        <v>1669.1779134915255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23</v>
      </c>
      <c r="I10" s="236">
        <f t="shared" si="0"/>
        <v>1670.72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133.6576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58.475200000000001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1478.5871999999999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315.76271186440681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8.9717495593220349</v>
      </c>
      <c r="P10" s="311">
        <f t="shared" si="2"/>
        <v>1803.3216614237288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18</v>
      </c>
      <c r="I11" s="236">
        <f t="shared" si="0"/>
        <v>1307.52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104.6016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45.763200000000005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1157.1551999999999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247.11864406779662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7.0213692203389835</v>
      </c>
      <c r="P11" s="311">
        <f t="shared" si="2"/>
        <v>1411.2952132881355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23</v>
      </c>
      <c r="I12" s="236">
        <f t="shared" si="0"/>
        <v>1670.72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133.6576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58.475200000000001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1478.5871999999999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315.76271186440681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8.9717495593220349</v>
      </c>
      <c r="P12" s="311">
        <f t="shared" si="2"/>
        <v>1803.3216614237288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124</v>
      </c>
      <c r="I13" s="236">
        <f t="shared" si="0"/>
        <v>4864.5200000000004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243.22600000000006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170.25820000000004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248.09052</v>
      </c>
      <c r="M13" s="230">
        <f t="shared" si="1"/>
        <v>4202.9452799999999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945.76271186440624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25.743539959322035</v>
      </c>
      <c r="P13" s="311">
        <f t="shared" si="2"/>
        <v>5174.4515318237281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Karam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6.75</v>
      </c>
      <c r="H16" s="113">
        <f t="shared" ref="H16:M16" si="3">SUM(H7:H15)</f>
        <v>270</v>
      </c>
      <c r="I16" s="114">
        <f t="shared" si="3"/>
        <v>13815.404999999999</v>
      </c>
      <c r="J16" s="274">
        <f>SUM(J7:J15)</f>
        <v>959.29680000000008</v>
      </c>
      <c r="K16" s="275">
        <f t="shared" si="3"/>
        <v>483.53917500000006</v>
      </c>
      <c r="L16" s="276">
        <f t="shared" si="3"/>
        <v>248.09052</v>
      </c>
      <c r="M16" s="232">
        <f t="shared" si="3"/>
        <v>12124.478504999999</v>
      </c>
      <c r="N16" s="233">
        <f>SUM(N7:N15)</f>
        <v>2637.4576271186434</v>
      </c>
      <c r="O16" s="101">
        <f>SUM(O7:O15)</f>
        <v>73.809680660593216</v>
      </c>
      <c r="P16" s="113">
        <f>SUM(P7:P15)</f>
        <v>14835.745812779236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13815.404999999999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959.29680000000008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731.62969500000008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12124.478504999999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2637.4576271186434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14761.936132118642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73.809680660593216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14835.745812779236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14835.745812779238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ref="I18:I21" si="7">(G18*D18)*F18+H18*F18</f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7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7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7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54</v>
      </c>
      <c r="I25" s="114">
        <f t="shared" ref="I25:M25" si="10">SUM(I16:I24)</f>
        <v>3196.17</v>
      </c>
      <c r="J25" s="274">
        <f>SUM(J16:J24)</f>
        <v>255.69359999999998</v>
      </c>
      <c r="K25" s="275">
        <f t="shared" si="10"/>
        <v>111.86595000000001</v>
      </c>
      <c r="L25" s="276">
        <f t="shared" si="10"/>
        <v>0</v>
      </c>
      <c r="M25" s="232">
        <f t="shared" si="10"/>
        <v>2828.6104500000006</v>
      </c>
      <c r="N25" s="233">
        <f>SUM(N16:N24)</f>
        <v>604.06779661016947</v>
      </c>
      <c r="O25" s="101">
        <f>SUM(O16:O24)</f>
        <v>17.163391233050849</v>
      </c>
      <c r="P25" s="234">
        <f>SUM(P16:P24)</f>
        <v>3449.8416378432198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3196.17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255.69359999999998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111.86595000000001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2828.6104500000001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604.06779661016947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3432.6782466101695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17.163391233050849</v>
      </c>
    </row>
    <row r="35" spans="2:16" ht="15.75" customHeight="1" thickBot="1" x14ac:dyDescent="0.4">
      <c r="N35" s="374" t="s">
        <v>88</v>
      </c>
      <c r="O35" s="375"/>
      <c r="P35" s="297">
        <f>+P33+P34</f>
        <v>3449.8416378432203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470.76000000000005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23.538000000000004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40.485360000000007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406.73664000000002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498.26206372881353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4" t="s">
        <v>88</v>
      </c>
      <c r="O35" s="375"/>
      <c r="P35" s="297">
        <f>+P33+P34</f>
        <v>500.75337404745761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8.7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520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</v>
      </c>
      <c r="I16" s="235">
        <f>(G16*D16)*F16+H16*F16</f>
        <v>104.925</v>
      </c>
      <c r="J16" s="271">
        <f>$I16*S16</f>
        <v>8.3940000000000001</v>
      </c>
      <c r="K16" s="127">
        <f>$I16*T16</f>
        <v>3.6723750000000002</v>
      </c>
      <c r="L16" s="118">
        <f>$I16*U16</f>
        <v>0</v>
      </c>
      <c r="M16" s="229">
        <f>I16-SUM(J16:L16)</f>
        <v>92.858624999999989</v>
      </c>
      <c r="N16" s="248">
        <f>+(G16*D16+H16)*V16</f>
        <v>19.830508474576263</v>
      </c>
      <c r="O16" s="238">
        <f>(N16+M16)*$O$15</f>
        <v>0.56344566737288126</v>
      </c>
      <c r="P16" s="118">
        <f>M16+N16+O16</f>
        <v>113.25257914194913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</v>
      </c>
      <c r="I17" s="236">
        <f t="shared" ref="I17:I23" si="0">(G17*D17)*F17+H17*F17</f>
        <v>104.925</v>
      </c>
      <c r="J17" s="272">
        <f t="shared" ref="J17:L24" si="1">$I17*S17</f>
        <v>8.3940000000000001</v>
      </c>
      <c r="K17" s="128">
        <f>$I17*T17</f>
        <v>3.6723750000000002</v>
      </c>
      <c r="L17" s="119">
        <f>$I17*U17</f>
        <v>0</v>
      </c>
      <c r="M17" s="230">
        <f t="shared" ref="M17:M24" si="2">I17-SUM(J17:L17)</f>
        <v>92.858624999999989</v>
      </c>
      <c r="N17" s="277">
        <f t="shared" ref="N17:N24" si="3">+(G17*D17+H17)*V17</f>
        <v>19.830508474576263</v>
      </c>
      <c r="O17" s="239">
        <f t="shared" ref="O17:O24" si="4">(N17+M17)*$O$15</f>
        <v>0.56344566737288126</v>
      </c>
      <c r="P17" s="119">
        <f t="shared" ref="P17:P24" si="5">M17+N17+O17</f>
        <v>113.25257914194913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</v>
      </c>
      <c r="I18" s="236">
        <f t="shared" si="0"/>
        <v>104.925</v>
      </c>
      <c r="J18" s="272">
        <f t="shared" si="1"/>
        <v>8.3940000000000001</v>
      </c>
      <c r="K18" s="128">
        <f t="shared" si="1"/>
        <v>3.6723750000000002</v>
      </c>
      <c r="L18" s="119">
        <f t="shared" si="1"/>
        <v>0</v>
      </c>
      <c r="M18" s="230">
        <f t="shared" si="2"/>
        <v>92.858624999999989</v>
      </c>
      <c r="N18" s="277">
        <f t="shared" si="3"/>
        <v>19.830508474576263</v>
      </c>
      <c r="O18" s="239">
        <f t="shared" si="4"/>
        <v>0.56344566737288126</v>
      </c>
      <c r="P18" s="119">
        <f t="shared" si="5"/>
        <v>113.25257914194913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</v>
      </c>
      <c r="I19" s="236">
        <f t="shared" si="0"/>
        <v>145.28</v>
      </c>
      <c r="J19" s="272">
        <f t="shared" si="1"/>
        <v>11.622400000000001</v>
      </c>
      <c r="K19" s="128">
        <f t="shared" si="1"/>
        <v>5.0848000000000004</v>
      </c>
      <c r="L19" s="119">
        <f t="shared" si="1"/>
        <v>0</v>
      </c>
      <c r="M19" s="230">
        <f t="shared" si="2"/>
        <v>128.5728</v>
      </c>
      <c r="N19" s="277">
        <f t="shared" si="3"/>
        <v>27.457627118644069</v>
      </c>
      <c r="O19" s="239">
        <f t="shared" si="4"/>
        <v>0.78015213559322039</v>
      </c>
      <c r="P19" s="119">
        <f t="shared" si="5"/>
        <v>156.8105792542373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</v>
      </c>
      <c r="I20" s="236">
        <f t="shared" si="0"/>
        <v>145.28</v>
      </c>
      <c r="J20" s="272">
        <f t="shared" si="1"/>
        <v>11.622400000000001</v>
      </c>
      <c r="K20" s="128">
        <f t="shared" si="1"/>
        <v>5.0848000000000004</v>
      </c>
      <c r="L20" s="119">
        <f t="shared" si="1"/>
        <v>0</v>
      </c>
      <c r="M20" s="230">
        <f t="shared" si="2"/>
        <v>128.5728</v>
      </c>
      <c r="N20" s="277">
        <f t="shared" si="3"/>
        <v>27.457627118644069</v>
      </c>
      <c r="O20" s="239">
        <f t="shared" si="4"/>
        <v>0.78015213559322039</v>
      </c>
      <c r="P20" s="119">
        <f t="shared" si="5"/>
        <v>156.8105792542373</v>
      </c>
      <c r="Q20" s="319"/>
      <c r="R20">
        <f>P20/21</f>
        <v>7.4671704406779664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</v>
      </c>
      <c r="I21" s="236">
        <f t="shared" si="0"/>
        <v>145.28</v>
      </c>
      <c r="J21" s="272">
        <f t="shared" si="1"/>
        <v>11.622400000000001</v>
      </c>
      <c r="K21" s="128">
        <f t="shared" si="1"/>
        <v>5.0848000000000004</v>
      </c>
      <c r="L21" s="119">
        <f t="shared" si="1"/>
        <v>0</v>
      </c>
      <c r="M21" s="230">
        <f t="shared" si="2"/>
        <v>128.5728</v>
      </c>
      <c r="N21" s="277">
        <f t="shared" si="3"/>
        <v>27.457627118644069</v>
      </c>
      <c r="O21" s="239">
        <f t="shared" si="4"/>
        <v>0.78015213559322039</v>
      </c>
      <c r="P21" s="119">
        <f t="shared" si="5"/>
        <v>156.8105792542373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750.6149999999999</v>
      </c>
      <c r="J25" s="274">
        <f>SUM(J16:J24)</f>
        <v>60.049199999999999</v>
      </c>
      <c r="K25" s="275">
        <f t="shared" si="7"/>
        <v>26.271525000000004</v>
      </c>
      <c r="L25" s="276">
        <f t="shared" si="7"/>
        <v>0</v>
      </c>
      <c r="M25" s="232">
        <f t="shared" si="7"/>
        <v>664.29427500000008</v>
      </c>
      <c r="N25" s="233">
        <f>SUM(N16:N24)</f>
        <v>141.86440677966101</v>
      </c>
      <c r="O25" s="101">
        <f>SUM(O16:O24)</f>
        <v>4.0307934088983046</v>
      </c>
      <c r="P25" s="234">
        <f>SUM(P16:P24)</f>
        <v>810.18947518855919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750.6149999999999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60.049199999999999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26.271525000000004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664.29427499999986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141.86440677966101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806.15868177966081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4.0307934088983037</v>
      </c>
    </row>
    <row r="35" spans="2:16" ht="15.75" customHeight="1" thickBot="1" x14ac:dyDescent="0.4">
      <c r="N35" s="374" t="s">
        <v>88</v>
      </c>
      <c r="O35" s="375"/>
      <c r="P35" s="297">
        <f>+P33+P34</f>
        <v>810.18947518855907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6573.3000000000011</v>
      </c>
      <c r="J25" s="274">
        <f>SUM(J16:J24)</f>
        <v>478.78800000000007</v>
      </c>
      <c r="K25" s="275">
        <f t="shared" si="7"/>
        <v>230.06550000000004</v>
      </c>
      <c r="L25" s="276">
        <f t="shared" si="7"/>
        <v>80.029200000000003</v>
      </c>
      <c r="M25" s="232">
        <f t="shared" si="7"/>
        <v>5784.4173000000001</v>
      </c>
      <c r="N25" s="233">
        <f>SUM(N16:N24)</f>
        <v>1250.8474576271183</v>
      </c>
      <c r="O25" s="101">
        <f>SUM(O16:O24)</f>
        <v>35.176323788135591</v>
      </c>
      <c r="P25" s="234">
        <f>SUM(P16:P24)</f>
        <v>7070.4410814152543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6573.3000000000011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478.78800000000007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310.09470000000005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5784.417300000001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1250.8474576271183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7035.2647576271193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35.176323788135598</v>
      </c>
    </row>
    <row r="35" spans="2:16" ht="15.75" customHeight="1" thickBot="1" x14ac:dyDescent="0.4">
      <c r="N35" s="374" t="s">
        <v>88</v>
      </c>
      <c r="O35" s="375"/>
      <c r="P35" s="297">
        <f>+P33+P34</f>
        <v>7070.4410814152552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470.76000000000005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23.538000000000004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40.485360000000007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406.73664000000002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498.26206372881353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4" t="s">
        <v>88</v>
      </c>
      <c r="O35" s="375"/>
      <c r="P35" s="297">
        <f>+P33+P34</f>
        <v>500.75337404745761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119">
        <f t="shared" si="5"/>
        <v>834.58895674576274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</v>
      </c>
      <c r="I25" s="114">
        <f t="shared" si="7"/>
        <v>784.60000000000014</v>
      </c>
      <c r="J25" s="274">
        <f>SUM(J16:J24)</f>
        <v>39.230000000000011</v>
      </c>
      <c r="K25" s="275">
        <f t="shared" si="7"/>
        <v>27.461000000000006</v>
      </c>
      <c r="L25" s="276">
        <f t="shared" si="7"/>
        <v>40.014600000000002</v>
      </c>
      <c r="M25" s="232">
        <f t="shared" si="7"/>
        <v>677.89440000000013</v>
      </c>
      <c r="N25" s="233">
        <f>SUM(N16:N24)</f>
        <v>152.54237288135585</v>
      </c>
      <c r="O25" s="101">
        <f>SUM(O16:O24)</f>
        <v>4.1521838644067799</v>
      </c>
      <c r="P25" s="234">
        <f>SUM(P16:P24)</f>
        <v>834.58895674576274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784.60000000000014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39.230000000000011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67.475600000000014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677.89440000000013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152.54237288135585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830.43677288135598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4.1521838644067799</v>
      </c>
    </row>
    <row r="35" spans="2:16" ht="15.75" customHeight="1" thickBot="1" x14ac:dyDescent="0.4">
      <c r="N35" s="374" t="s">
        <v>88</v>
      </c>
      <c r="O35" s="375"/>
      <c r="P35" s="297">
        <f>+P33+P34</f>
        <v>834.58895674576274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527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1569.2000000000003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78.460000000000022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134.95120000000003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1355.7888000000003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1660.873545762712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4" t="s">
        <v>88</v>
      </c>
      <c r="O35" s="375"/>
      <c r="P35" s="297">
        <f>+P33+P34</f>
        <v>1669.1779134915255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5" sqref="A5:C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activeCell="H16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46276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46275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2026-09-10T12:11:18Z</dcterms:modified>
</cp:coreProperties>
</file>