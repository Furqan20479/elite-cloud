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0ED350-93CC-46B7-A48E-725E53F8C13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<sst xmlns="http://schemas.openxmlformats.org/spreadsheetml/2006/main" count="3948" uniqueCount="530">
  <si>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</si>
  <si>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</si>
  <si>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</si>
  <si>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</si>
  <si>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</si>
  <si>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</si>
  <si>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</si>
  <si>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</si>
  <si>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</si>
  <si>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</si>
  <si>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</si>
  <si>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</si>
  <si>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</si>
  <si>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</si>
  <si>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</si>
  <si>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</si>
  <si>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</si>
  <si>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</si>
  <si>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</si>
  <si>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</si>
  <si>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</si>
  <si>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</si>
  <si>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</si>
  <si>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</si>
  <si>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</si>
  <si>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</si>
  <si>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</si>
  <si>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</si>
  <si>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</si>
  <si>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</si>
  <si>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</si>
  <si>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</si>
  <si>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</si>
  <si>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</si>
  <si>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</si>
  <si>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</si>
  <si>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</si>
  <si>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</si>
  <si>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</si>
  <si>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</si>
  <si>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</si>
  <si>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</si>
  <si>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</si>
  <si>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</si>
  <si>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</si>
  <si>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</si>
  <si>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</si>
  <si>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</si>
  <si>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</si>
  <si>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</si>
  <si>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</si>
  <si>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</si>
  <si>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</si>
  <si>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</si>
  <si>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</si>
  <si>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</si>
  <si>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</si>
  <si>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</si>
  <si>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</si>
  <si>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</si>
  <si>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</si>
  <si>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</si>
  <si>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</si>
  <si>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</si>
  <si>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</si>
  <si>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</si>
  <si>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</si>
  <si>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</si>
  <si>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</si>
  <si>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</si>
  <si>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</si>
  <si>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</si>
  <si>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</si>
  <si>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</si>
  <si>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</si>
  <si>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</si>
  <si>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</si>
  <si>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</si>
  <si>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</si>
  <si>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</si>
  <si>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</si>
  <si>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</si>
  <si>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</si>
  <si>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</si>
  <si>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</si>
  <si>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</si>
  <si>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</si>
  <si>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</si>
  <si>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</si>
  <si>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</si>
  <si>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</si>
  <si>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</si>
  <si>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</si>
  <si>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</si>
  <si>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</si>
  <si>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</si>
  <si>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</si>
  <si>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</si>
  <si>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</si>
  <si>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</si>
  <si>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</si>
  <si>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</si>
  <si>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</si>
  <si>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</si>
  <si>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</si>
  <si>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</si>
  <si>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</si>
  <si>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</si>
  <si>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</si>
  <si>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</si>
  <si>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</si>
  <si>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</si>
  <si>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</si>
  <si>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</si>
  <si>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</si>
  <si>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</si>
  <si>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</si>
  <si>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</si>
  <si>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</si>
  <si>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</si>
  <si>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</si>
  <si>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</si>
  <si>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</si>
  <si>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</si>
  <si>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</si>
  <si>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</si>
  <si>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</si>
  <si>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</si>
  <si>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</si>
  <si>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</si>
  <si>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</si>
  <si>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</si>
  <si>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</si>
  <si>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</si>
  <si>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</si>
  <si>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</si>
  <si>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</si>
  <si>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</si>
  <si>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</si>
  <si>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</si>
  <si>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</si>
  <si>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</si>
  <si>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</si>
  <si>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</si>
  <si>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</si>
  <si>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</si>
  <si>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</si>
  <si>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</si>
  <si>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</si>
  <si>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</si>
  <si>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</si>
  <si>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</si>
  <si>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</si>
  <si>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</si>
  <si>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</si>
  <si>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</si>
  <si>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</si>
  <si>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</si>
  <si>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</si>
  <si>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</si>
  <si>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</si>
  <si>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</si>
  <si>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</si>
  <si>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</si>
  <si>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</si>
  <si>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</si>
  <si>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</si>
  <si>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</si>
  <si>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</si>
  <si>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</si>
  <si>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</si>
  <si>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</si>
  <si>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</si>
  <si>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</si>
  <si>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</si>
  <si>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</si>
  <si>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</si>
  <si>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</si>
  <si>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</si>
  <si>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</si>
  <si>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</si>
  <si>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</si>
  <si>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</si>
  <si>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</si>
  <si>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</si>
  <si>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</si>
  <si>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</si>
  <si>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</si>
  <si>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</si>
  <si>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</si>
  <si>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</si>
  <si>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</si>
  <si>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</si>
  <si>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</si>
  <si>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</si>
  <si>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</si>
  <si>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</si>
  <si>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</si>
  <si>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</si>
  <si>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</si>
  <si>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</si>
  <si>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</si>
  <si>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</si>
  <si>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</si>
  <si>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</si>
  <si>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</si>
  <si>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</si>
  <si>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</si>
  <si>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</si>
  <si>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</si>
  <si>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</si>
  <si>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</si>
  <si>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</si>
  <si>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</si>
  <si>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</si>
  <si>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</si>
  <si>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</si>
  <si>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</si>
  <si>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</si>
  <si>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</si>
  <si>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</si>
  <si>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</si>
  <si>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</si>
  <si>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</si>
  <si>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</si>
  <si>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</si>
  <si>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</si>
  <si>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</si>
  <si>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</si>
  <si>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</si>
  <si>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</si>
  <si>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</si>
  <si>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</si>
  <si>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</si>
  <si>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</si>
  <si>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</si>
  <si>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</si>
  <si>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</si>
  <si>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</si>
  <si>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</si>
  <si>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</si>
  <si>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</si>
  <si>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</si>
  <si>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</si>
  <si>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</si>
  <si>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</si>
  <si>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</si>
  <si>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</si>
  <si>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</si>
  <si>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</si>
  <si>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</si>
  <si>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</si>
  <si>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</si>
  <si>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</si>
  <si>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</si>
  <si>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</si>
  <si>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</si>
  <si>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</si>
  <si>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</si>
  <si>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</si>
  <si>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</si>
  <si>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</si>
  <si>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</si>
  <si>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</si>
  <si>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</si>
  <si>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</si>
  <si>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</si>
  <si>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</si>
  <si>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</si>
  <si>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</si>
  <si>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</si>
  <si>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</si>
  <si>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</si>
  <si>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</si>
  <si>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</si>
  <si>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</si>
  <si>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</si>
  <si>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</si>
  <si>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</si>
  <si>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</si>
  <si>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</si>
  <si>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</si>
  <si>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</si>
  <si>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</si>
  <si>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</si>
  <si>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</si>
  <si>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</si>
  <si>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</si>
  <si>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</si>
  <si>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</si>
  <si>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</si>
  <si>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</si>
  <si>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</si>
  <si>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</si>
  <si>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</si>
  <si>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</si>
  <si>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</si>
  <si>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</si>
  <si>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</si>
  <si>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</si>
  <si>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</si>
  <si>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</si>
  <si>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</si>
  <si>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</si>
  <si>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</si>
  <si>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</si>
  <si>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</si>
  <si>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</si>
  <si>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</si>
  <si>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</si>
  <si>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</si>
  <si>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</si>
  <si>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</si>
  <si>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</si>
  <si>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</si>
  <si>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</si>
  <si>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</si>
  <si>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</si>
  <si>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</si>
  <si>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</si>
  <si>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</si>
  <si>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</si>
  <si>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</si>
  <si>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</si>
  <si>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</si>
  <si>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</si>
  <si>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</si>
  <si>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</si>
  <si>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</si>
  <si>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</si>
  <si>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</si>
  <si>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</si>
  <si>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</si>
  <si>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</si>
  <si>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</si>
  <si>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</si>
  <si>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</si>
  <si>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</si>
  <si>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</si>
  <si>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</si>
  <si>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</si>
  <si>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</si>
  <si>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</si>
  <si>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</si>
  <si>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</si>
  <si>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</si>
  <si>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</si>
  <si>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</si>
  <si>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</si>
  <si>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</si>
  <si>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</si>
  <si>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</si>
  <si>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</si>
  <si>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</si>
  <si>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</si>
  <si>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</si>
  <si>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</si>
  <si>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</si>
  <si>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</si>
  <si>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</si>
  <si>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</si>
  <si>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</si>
  <si>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</si>
  <si>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</si>
  <si>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</si>
  <si>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</si>
  <si>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</si>
  <si>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</si>
  <si>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</si>
  <si>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</si>
  <si>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</si>
  <si>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</si>
  <si>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</si>
  <si>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</si>
  <si>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</si>
  <si>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</si>
  <si>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</si>
  <si>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</si>
  <si>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</si>
  <si>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</si>
  <si>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</si>
  <si>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</si>
  <si>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</si>
  <si>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</si>
  <si>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</si>
  <si>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</si>
  <si>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</si>
  <si>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</si>
  <si>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</si>
  <si>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</si>
  <si>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</si>
  <si>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</si>
  <si>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</si>
  <si>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</si>
  <si>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</si>
  <si>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</si>
  <si>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</si>
  <si>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</si>
  <si>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</si>
  <si>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</si>
  <si>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</si>
  <si>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</si>
  <si>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</si>
  <si>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</si>
  <si>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</si>
  <si>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</si>
  <si>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</si>
  <si>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</si>
  <si>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</si>
  <si>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</si>
  <si>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</si>
  <si>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</si>
  <si>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</si>
  <si>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</si>
  <si>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</si>
  <si>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</si>
  <si>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</si>
  <si>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</si>
  <si>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</si>
  <si>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</si>
  <si>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</si>
  <si>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</si>
  <si>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</si>
  <si>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</si>
  <si>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</si>
  <si>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</si>
  <si>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</si>
  <si>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</si>
  <si>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</si>
  <si>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</si>
  <si>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</si>
  <si>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</si>
  <si>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</si>
  <si>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</si>
  <si>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</si>
  <si>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</si>
  <si>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</si>
  <si>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</si>
  <si>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</si>
  <si>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</si>
  <si>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</si>
  <si>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</si>
  <si>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</si>
  <si>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</si>
  <si>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</si>
  <si>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</si>
  <si>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</si>
  <si>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</si>
  <si>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</si>
  <si>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</si>
  <si>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</si>
  <si>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</si>
  <si>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</si>
  <si>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</si>
  <si>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</si>
  <si>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</si>
  <si>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</si>
  <si>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</si>
  <si>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</si>
  <si>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</si>
  <si>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</si>
  <si>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</si>
  <si>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</si>
  <si>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</si>
  <si>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</si>
  <si>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</si>
  <si>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</si>
  <si>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</si>
  <si>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</si>
  <si>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</si>
  <si>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</si>
  <si>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</si>
  <si>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</si>
  <si>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</si>
  <si>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</si>
  <si>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</si>
  <si>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</si>
  <si>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</si>
  <si>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</si>
  <si>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</si>
  <si>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</si>
  <si>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</si>
  <si>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</si>
  <si>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</si>
  <si>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</si>
  <si>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</si>
  <si>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</si>
  <si>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</si>
  <si>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</si>
  <si>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</si>
  <si>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</si>
  <si>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</si>
  <si>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</si>
  <si>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</si>
  <si>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</si>
  <si>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</si>
  <si>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</si>
  <si>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</si>
  <si>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</si>
  <si>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</si>
  <si>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</si>
  <si>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</si>
  <si>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</si>
  <si>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</si>
  <si>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</si>
  <si>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</si>
  <si>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</si>
  <si>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</si>
  <si>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</si>
  <si>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</si>
  <si>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</si>
  <si>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</si>
  <si>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</si>
  <si>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</si>
  <si>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Bismillah Mart </t>
  </si>
  <si>
    <t xml:space="preserve">Address: Tajbagh Scheme </t>
  </si>
  <si>
    <t>Jafri Store</t>
  </si>
  <si>
    <t>Hanan Store</t>
  </si>
  <si>
    <t>Yasir Store</t>
  </si>
  <si>
    <t xml:space="preserve">Saad Mart </t>
  </si>
  <si>
    <t>Abuzar Store</t>
  </si>
  <si>
    <t xml:space="preserve">Haris Kareyan </t>
  </si>
  <si>
    <t>Mughal Store</t>
  </si>
  <si>
    <t>Falak Store</t>
  </si>
  <si>
    <t>Madina Store</t>
  </si>
  <si>
    <t>Al Raya Stpore</t>
  </si>
  <si>
    <t>Awan Store</t>
  </si>
  <si>
    <t>Faisal Store</t>
  </si>
  <si>
    <t>Marwa Mart 1</t>
  </si>
  <si>
    <t>Al 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</si>
</sst>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3" sqref="D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Bismillah Mart </v>
      </c>
      <c r="T3" s="301">
        <f>+'1'!P35</f>
        <v>470.43173776271186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Jafri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Hanan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Yasir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Saad Mart 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Abuzar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Haris Kareyan </v>
      </c>
      <c r="T9" s="301">
        <f>+'7'!P35</f>
        <v>627.24231701694919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94</v>
      </c>
      <c r="I10" s="236">
        <f t="shared" si="0"/>
        <v>6828.16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546.25279999999998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238.98560000000003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6042.9215999999997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1290.5084745762713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36.667150372881359</v>
      </c>
      <c r="P10" s="311">
        <f t="shared" si="2"/>
        <v>7370.0972249491524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Mughal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Falak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186</v>
      </c>
      <c r="I12" s="236">
        <f t="shared" si="0"/>
        <v>13511.04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1080.8832000000002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472.88640000000009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11957.270400000001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2553.5593220338988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72.554148610169506</v>
      </c>
      <c r="P12" s="311">
        <f t="shared" si="2"/>
        <v>14583.383870644071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Madina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Raya Stpore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Awan Store</v>
      </c>
      <c r="T14" s="301">
        <f>+'12'!P35</f>
        <v>470.43173776271186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Faisal Store</v>
      </c>
      <c r="T15" s="301">
        <f>+'13'!P35</f>
        <v>470.43173776271186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</v>
      </c>
      <c r="H16" s="113">
        <f t="shared" ref="H16:M16" si="3">SUM(H7:H15)</f>
        <v>320</v>
      </c>
      <c r="I16" s="114">
        <f t="shared" si="3"/>
        <v>23244.800000000003</v>
      </c>
      <c r="J16" s="274">
        <f>SUM(J7:J15)</f>
        <v>1859.5840000000003</v>
      </c>
      <c r="K16" s="275">
        <f t="shared" si="3"/>
        <v>813.56800000000021</v>
      </c>
      <c r="L16" s="276">
        <f t="shared" si="3"/>
        <v>0</v>
      </c>
      <c r="M16" s="232">
        <f t="shared" si="3"/>
        <v>20571.648000000001</v>
      </c>
      <c r="N16" s="233">
        <f>SUM(N7:N15)</f>
        <v>4393.220338983052</v>
      </c>
      <c r="O16" s="101">
        <f>SUM(O7:O15)</f>
        <v>124.82434169491528</v>
      </c>
      <c r="P16" s="113">
        <f>SUM(P7:P15)</f>
        <v>25089.692680677967</v>
      </c>
      <c r="Q16" s="128">
        <f>SUM(Q7:Q15)</f>
        <v>0</v>
      </c>
      <c r="R16" s="313">
        <v>14</v>
      </c>
      <c r="S16" s="315" t="str">
        <f>+'14'!A6:A6</f>
        <v>Marwa Mart 1</v>
      </c>
      <c r="T16" s="301">
        <f>+'14'!P35</f>
        <v>12544.846340338983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Rehman Store</v>
      </c>
      <c r="T17" s="301">
        <f>+'15'!P35</f>
        <v>6272.4231701694916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23244.800000000003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1859.5840000000003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813.56800000000021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20571.648000000005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4393.220338983052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24964.868338983055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124.82434169491528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25089.69268067797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25089.692680677967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435.84000000000003</v>
      </c>
      <c r="J25" s="274">
        <f>SUM(J16:J24)</f>
        <v>34.867200000000004</v>
      </c>
      <c r="K25" s="275">
        <f t="shared" si="10"/>
        <v>15.254400000000002</v>
      </c>
      <c r="L25" s="276">
        <f t="shared" si="10"/>
        <v>0</v>
      </c>
      <c r="M25" s="232">
        <f t="shared" si="10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11622.4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929.79200000000003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406.78400000000005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10285.824000000001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12482.434169491526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5" t="s">
        <v>88</v>
      </c>
      <c r="O35" s="346"/>
      <c r="P35" s="297">
        <f>+P33+P34</f>
        <v>12544.846340338983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2026-09-11T04:31:53Z</dcterms:modified>
</cp:coreProperties>
</file>