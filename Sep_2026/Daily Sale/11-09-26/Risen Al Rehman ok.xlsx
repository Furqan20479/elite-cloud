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A555A1-5099-4110-896C-5790C2A5A6F8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<sst xmlns="http://schemas.openxmlformats.org/spreadsheetml/2006/main" count="3947" uniqueCount="518">
  <si>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</si>
  <si>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</si>
  <si>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</si>
  <si>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</si>
  <si>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</si>
  <si>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</si>
  <si>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</si>
  <si>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</si>
  <si>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</si>
  <si>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</si>
  <si>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</si>
  <si>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</si>
  <si>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</si>
  <si>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</si>
  <si>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</si>
  <si>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</si>
  <si>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</si>
  <si>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</si>
  <si>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</si>
  <si>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</si>
  <si>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</si>
  <si>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</si>
  <si>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</si>
  <si>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</si>
  <si>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</si>
  <si>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</si>
  <si>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</si>
  <si>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</si>
  <si>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</si>
  <si>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</si>
  <si>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</si>
  <si>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</si>
  <si>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</si>
  <si>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</si>
  <si>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</si>
  <si>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</si>
  <si>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</si>
  <si>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</si>
  <si>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</si>
  <si>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</si>
  <si>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</si>
  <si>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</si>
  <si>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</si>
  <si>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</si>
  <si>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</si>
  <si>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</si>
  <si>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</si>
  <si>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</si>
  <si>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</si>
  <si>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</si>
  <si>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</si>
  <si>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</si>
  <si>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</si>
  <si>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</si>
  <si>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</si>
  <si>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</si>
  <si>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</si>
  <si>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</si>
  <si>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</si>
  <si>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</si>
  <si>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</si>
  <si>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</si>
  <si>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</si>
  <si>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</si>
  <si>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</si>
  <si>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</si>
  <si>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</si>
  <si>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</si>
  <si>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</si>
  <si>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</si>
  <si>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</si>
  <si>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</si>
  <si>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</si>
  <si>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</si>
  <si>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</si>
  <si>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</si>
  <si>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</si>
  <si>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</si>
  <si>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</si>
  <si>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</si>
  <si>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</si>
  <si>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</si>
  <si>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</si>
  <si>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</si>
  <si>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</si>
  <si>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</si>
  <si>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</si>
  <si>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</si>
  <si>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</si>
  <si>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</si>
  <si>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</si>
  <si>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</si>
  <si>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</si>
  <si>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</si>
  <si>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</si>
  <si>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</si>
  <si>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</si>
  <si>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</si>
  <si>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</si>
  <si>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</si>
  <si>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</si>
  <si>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</si>
  <si>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</si>
  <si>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</si>
  <si>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</si>
  <si>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</si>
  <si>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</si>
  <si>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</si>
  <si>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</si>
  <si>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</si>
  <si>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</si>
  <si>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</si>
  <si>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</si>
  <si>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</si>
  <si>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</si>
  <si>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</si>
  <si>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</si>
  <si>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</si>
  <si>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</si>
  <si>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</si>
  <si>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</si>
  <si>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</si>
  <si>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</si>
  <si>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</si>
  <si>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</si>
  <si>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</si>
  <si>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</si>
  <si>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</si>
  <si>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</si>
  <si>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</si>
  <si>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</si>
  <si>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</si>
  <si>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</si>
  <si>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</si>
  <si>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</si>
  <si>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</si>
  <si>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</si>
  <si>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</si>
  <si>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</si>
  <si>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</si>
  <si>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</si>
  <si>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</si>
  <si>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</si>
  <si>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</si>
  <si>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</si>
  <si>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</si>
  <si>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</si>
  <si>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</si>
  <si>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</si>
  <si>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</si>
  <si>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</si>
  <si>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</si>
  <si>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</si>
  <si>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</si>
  <si>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</si>
  <si>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</si>
  <si>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</si>
  <si>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</si>
  <si>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</si>
  <si>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</si>
  <si>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</si>
  <si>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</si>
  <si>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</si>
  <si>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</si>
  <si>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</si>
  <si>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</si>
  <si>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</si>
  <si>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</si>
  <si>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</si>
  <si>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</si>
  <si>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</si>
  <si>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</si>
  <si>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</si>
  <si>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</si>
  <si>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</si>
  <si>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</si>
  <si>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</si>
  <si>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</si>
  <si>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</si>
  <si>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</si>
  <si>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</si>
  <si>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</si>
  <si>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</si>
  <si>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</si>
  <si>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</si>
  <si>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</si>
  <si>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</si>
  <si>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</si>
  <si>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</si>
  <si>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</si>
  <si>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</si>
  <si>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</si>
  <si>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</si>
  <si>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</si>
  <si>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</si>
  <si>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</si>
  <si>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</si>
  <si>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</si>
  <si>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</si>
  <si>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</si>
  <si>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</si>
  <si>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</si>
  <si>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</si>
  <si>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</si>
  <si>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</si>
  <si>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</si>
  <si>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</si>
  <si>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</si>
  <si>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</si>
  <si>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</si>
  <si>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</si>
  <si>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</si>
  <si>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</si>
  <si>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</si>
  <si>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</si>
  <si>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</si>
  <si>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</si>
  <si>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</si>
  <si>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</si>
  <si>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</si>
  <si>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</si>
  <si>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</si>
  <si>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</si>
  <si>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</si>
  <si>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</si>
  <si>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</si>
  <si>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</si>
  <si>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</si>
  <si>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</si>
  <si>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</si>
  <si>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</si>
  <si>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</si>
  <si>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</si>
  <si>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</si>
  <si>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</si>
  <si>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</si>
  <si>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</si>
  <si>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</si>
  <si>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</si>
  <si>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</si>
  <si>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</si>
  <si>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</si>
  <si>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</si>
  <si>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</si>
  <si>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</si>
  <si>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</si>
  <si>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</si>
  <si>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</si>
  <si>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</si>
  <si>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</si>
  <si>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</si>
  <si>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</si>
  <si>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</si>
  <si>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</si>
  <si>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</si>
  <si>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</si>
  <si>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</si>
  <si>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</si>
  <si>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</si>
  <si>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</si>
  <si>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</si>
  <si>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</si>
  <si>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</si>
  <si>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</si>
  <si>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</si>
  <si>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</si>
  <si>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</si>
  <si>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</si>
  <si>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</si>
  <si>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</si>
  <si>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</si>
  <si>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</si>
  <si>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</si>
  <si>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</si>
  <si>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</si>
  <si>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</si>
  <si>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</si>
  <si>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</si>
  <si>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</si>
  <si>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</si>
  <si>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</si>
  <si>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</si>
  <si>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</si>
  <si>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</si>
  <si>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</si>
  <si>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</si>
  <si>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</si>
  <si>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</si>
  <si>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</si>
  <si>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</si>
  <si>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</si>
  <si>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</si>
  <si>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</si>
  <si>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</si>
  <si>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</si>
  <si>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</si>
  <si>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</si>
  <si>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</si>
  <si>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</si>
  <si>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</si>
  <si>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</si>
  <si>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</si>
  <si>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</si>
  <si>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</si>
  <si>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</si>
  <si>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</si>
  <si>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</si>
  <si>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</si>
  <si>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</si>
  <si>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</si>
  <si>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</si>
  <si>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</si>
  <si>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</si>
  <si>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</si>
  <si>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</si>
  <si>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</si>
  <si>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</si>
  <si>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</si>
  <si>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</si>
  <si>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</si>
  <si>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</si>
  <si>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</si>
  <si>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</si>
  <si>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</si>
  <si>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</si>
  <si>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</si>
  <si>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</si>
  <si>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</si>
  <si>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</si>
  <si>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</si>
  <si>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</si>
  <si>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</si>
  <si>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</si>
  <si>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</si>
  <si>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</si>
  <si>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</si>
  <si>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</si>
  <si>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</si>
  <si>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</si>
  <si>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</si>
  <si>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</si>
  <si>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</si>
  <si>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</si>
  <si>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</si>
  <si>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</si>
  <si>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</si>
  <si>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</si>
  <si>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</si>
  <si>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</si>
  <si>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</si>
  <si>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</si>
  <si>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</si>
  <si>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</si>
  <si>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</si>
  <si>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</si>
  <si>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</si>
  <si>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</si>
  <si>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</si>
  <si>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</si>
  <si>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</si>
  <si>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</si>
  <si>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</si>
  <si>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</si>
  <si>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</si>
  <si>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</si>
  <si>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</si>
  <si>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</si>
  <si>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</si>
  <si>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</si>
  <si>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</si>
  <si>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</si>
  <si>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</si>
  <si>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</si>
  <si>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</si>
  <si>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</si>
  <si>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</si>
  <si>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</si>
  <si>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</si>
  <si>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</si>
  <si>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</si>
  <si>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</si>
  <si>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</si>
  <si>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</si>
  <si>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</si>
  <si>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</si>
  <si>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</si>
  <si>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</si>
  <si>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</si>
  <si>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</si>
  <si>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</si>
  <si>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</si>
  <si>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</si>
  <si>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</si>
  <si>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</si>
  <si>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</si>
  <si>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</si>
  <si>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</si>
  <si>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</si>
  <si>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</si>
  <si>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</si>
  <si>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</si>
  <si>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</si>
  <si>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</si>
  <si>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</si>
  <si>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</si>
  <si>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</si>
  <si>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</si>
  <si>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</si>
  <si>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</si>
  <si>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</si>
  <si>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</si>
  <si>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</si>
  <si>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</si>
  <si>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</si>
  <si>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</si>
  <si>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</si>
  <si>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</si>
  <si>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</si>
  <si>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</si>
  <si>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</si>
  <si>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</si>
  <si>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</si>
  <si>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</si>
  <si>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</si>
  <si>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</si>
  <si>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</si>
  <si>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</si>
  <si>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</si>
  <si>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</si>
  <si>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</si>
  <si>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</si>
  <si>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</si>
  <si>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</si>
  <si>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</si>
  <si>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</si>
  <si>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</si>
  <si>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</si>
  <si>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</si>
  <si>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</si>
  <si>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</si>
  <si>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</si>
  <si>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</si>
  <si>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</si>
  <si>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</si>
  <si>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</si>
  <si>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</si>
  <si>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</si>
  <si>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</si>
  <si>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</si>
  <si>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</si>
  <si>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</si>
  <si>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</si>
  <si>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</si>
  <si>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</si>
  <si>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</si>
  <si>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</si>
  <si>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</si>
  <si>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</si>
  <si>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</si>
  <si>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</si>
  <si>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</si>
  <si>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</si>
  <si>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</si>
  <si>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</si>
  <si>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</si>
  <si>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</si>
  <si>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</si>
  <si>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</si>
  <si>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</si>
  <si>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</si>
  <si>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</si>
  <si>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</si>
  <si>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</si>
  <si>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</si>
  <si>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</si>
  <si>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</si>
  <si>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</si>
  <si>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</si>
  <si>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</si>
  <si>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</si>
  <si>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</si>
  <si>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</si>
  <si>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</si>
  <si>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</si>
  <si>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</si>
  <si>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</si>
  <si>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</si>
  <si>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</si>
  <si>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</si>
  <si>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</si>
  <si>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</si>
  <si>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</si>
  <si>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</si>
  <si>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</si>
  <si>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</si>
  <si>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</si>
  <si>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</si>
  <si>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</si>
  <si>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</si>
  <si>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</si>
  <si>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</si>
  <si>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</si>
  <si>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</si>
  <si>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</si>
  <si>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</si>
  <si>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</si>
  <si>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</si>
  <si>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</si>
  <si>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</si>
  <si>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</si>
  <si>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</si>
  <si>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</si>
  <si>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</si>
  <si>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</si>
  <si>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</si>
  <si>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 xml:space="preserve">Address: Al Rehman Garden </t>
  </si>
  <si>
    <t>NTN #: 8822959-7</t>
  </si>
  <si>
    <t>M &amp; M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</si>
</sst>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46276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M &amp; M Traders</v>
      </c>
      <c r="T3" s="301">
        <f>+'1'!P35</f>
        <v>53133.67141207627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 &amp; M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21</v>
      </c>
      <c r="H16" s="113">
        <f t="shared" ref="H16:M16" si="3">SUM(H7:H15)</f>
        <v>840</v>
      </c>
      <c r="I16" s="114">
        <f t="shared" si="3"/>
        <v>52139.5</v>
      </c>
      <c r="J16" s="274">
        <f>SUM(J7:J15)</f>
        <v>7299.5300000000007</v>
      </c>
      <c r="K16" s="275">
        <f t="shared" si="3"/>
        <v>1824.8825000000002</v>
      </c>
      <c r="L16" s="276">
        <f t="shared" si="3"/>
        <v>0</v>
      </c>
      <c r="M16" s="232">
        <f t="shared" si="3"/>
        <v>43015.087499999994</v>
      </c>
      <c r="N16" s="233">
        <f>SUM(N7:N15)</f>
        <v>9854.2372881355914</v>
      </c>
      <c r="O16" s="101">
        <f>SUM(O7:O15)</f>
        <v>264.34662394067794</v>
      </c>
      <c r="P16" s="113">
        <f>SUM(P7:P15)</f>
        <v>53133.671412076263</v>
      </c>
      <c r="Q16" s="128">
        <f>SUM(Q7:Q15)</f>
        <v>0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52139.5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7299.5300000000007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1824.8825000000002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43015.087500000001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9854.2372881355914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52869.324788135593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264.34662394067794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53133.67141207627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53133.67141207627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L26" sqref="L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46275</v>
      </c>
      <c r="O5" s="393"/>
      <c r="P5" s="393"/>
      <c r="R5" s="85"/>
      <c r="S5" s="266"/>
    </row>
    <row r="6" spans="1:22 16383:16384" ht="17.2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840</v>
      </c>
      <c r="I25" s="114">
        <f t="shared" ref="I25:M25" si="10">SUM(I16:I24)</f>
        <v>52139.5</v>
      </c>
      <c r="J25" s="274">
        <f>SUM(J16:J24)</f>
        <v>7299.5300000000007</v>
      </c>
      <c r="K25" s="275">
        <f t="shared" si="10"/>
        <v>1824.8825000000002</v>
      </c>
      <c r="L25" s="276">
        <f t="shared" si="10"/>
        <v>0</v>
      </c>
      <c r="M25" s="232">
        <f t="shared" si="10"/>
        <v>43015.087499999994</v>
      </c>
      <c r="N25" s="233">
        <f>SUM(N16:N24)</f>
        <v>9854.2372881355914</v>
      </c>
      <c r="O25" s="101">
        <f>SUM(O16:O24)</f>
        <v>264.34662394067794</v>
      </c>
      <c r="P25" s="113">
        <f>SUM(P16:P24)</f>
        <v>53133.671412076263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52139.5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7299.5300000000007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1824.8825000000002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43015.087500000001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9854.2372881355914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52869.324788135593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264.34662394067794</v>
      </c>
    </row>
    <row r="35" spans="2:16" ht="15.75" customHeight="1" thickBot="1" x14ac:dyDescent="0.4">
      <c r="N35" s="373" t="s">
        <v>88</v>
      </c>
      <c r="O35" s="374"/>
      <c r="P35" s="297">
        <f>+P33+P34</f>
        <v>53133.67141207627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2026-09-11T05:18:19Z</dcterms:modified>
</cp:coreProperties>
</file>