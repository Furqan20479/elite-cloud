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3282DDD-0281-4E43-B66E-69A9ED5CC7B5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<sst xmlns="http://schemas.openxmlformats.org/spreadsheetml/2006/main" count="3948" uniqueCount="523">
  <si>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</si>
  <si>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</si>
  <si>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</si>
  <si>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</si>
  <si>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</si>
  <si>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</si>
  <si>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</si>
  <si>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</si>
  <si>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</si>
  <si>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</si>
  <si>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</si>
  <si>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</si>
  <si>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</si>
  <si>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</si>
  <si>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</si>
  <si>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</si>
  <si>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</si>
  <si>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</si>
  <si>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</si>
  <si>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</si>
  <si>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</si>
  <si>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</si>
  <si>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</si>
  <si>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</si>
  <si>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</si>
  <si>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</si>
  <si>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</si>
  <si>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</si>
  <si>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</si>
  <si>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</si>
  <si>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</si>
  <si>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</si>
  <si>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</si>
  <si>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</si>
  <si>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</si>
  <si>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</si>
  <si>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</si>
  <si>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</si>
  <si>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</si>
  <si>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</si>
  <si>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</si>
  <si>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</si>
  <si>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</si>
  <si>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</si>
  <si>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</si>
  <si>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</si>
  <si>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</si>
  <si>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</si>
  <si>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</si>
  <si>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</si>
  <si>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</si>
  <si>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</si>
  <si>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</si>
  <si>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</si>
  <si>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</si>
  <si>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</si>
  <si>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</si>
  <si>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</si>
  <si>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</si>
  <si>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</si>
  <si>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</si>
  <si>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</si>
  <si>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</si>
  <si>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</si>
  <si>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</si>
  <si>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</si>
  <si>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</si>
  <si>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</si>
  <si>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</si>
  <si>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</si>
  <si>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</si>
  <si>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</si>
  <si>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</si>
  <si>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</si>
  <si>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</si>
  <si>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</si>
  <si>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</si>
  <si>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</si>
  <si>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</si>
  <si>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</si>
  <si>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</si>
  <si>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</si>
  <si>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</si>
  <si>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</si>
  <si>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</si>
  <si>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</si>
  <si>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</si>
  <si>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</si>
  <si>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</si>
  <si>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</si>
  <si>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</si>
  <si>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</si>
  <si>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</si>
  <si>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</si>
  <si>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</si>
  <si>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</si>
  <si>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</si>
  <si>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</si>
  <si>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</si>
  <si>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</si>
  <si>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</si>
  <si>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</si>
  <si>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</si>
  <si>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</si>
  <si>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</si>
  <si>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</si>
  <si>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</si>
  <si>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</si>
  <si>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</si>
  <si>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</si>
  <si>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</si>
  <si>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</si>
  <si>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</si>
  <si>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</si>
  <si>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</si>
  <si>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</si>
  <si>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</si>
  <si>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</si>
  <si>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</si>
  <si>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</si>
  <si>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</si>
  <si>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</si>
  <si>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</si>
  <si>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</si>
  <si>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</si>
  <si>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</si>
  <si>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</si>
  <si>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</si>
  <si>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</si>
  <si>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</si>
  <si>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</si>
  <si>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</si>
  <si>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</si>
  <si>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</si>
  <si>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</si>
  <si>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</si>
  <si>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</si>
  <si>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</si>
  <si>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</si>
  <si>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</si>
  <si>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</si>
  <si>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</si>
  <si>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</si>
  <si>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</si>
  <si>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</si>
  <si>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</si>
  <si>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</si>
  <si>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</si>
  <si>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</si>
  <si>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</si>
  <si>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</si>
  <si>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</si>
  <si>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</si>
  <si>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</si>
  <si>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</si>
  <si>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</si>
  <si>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</si>
  <si>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</si>
  <si>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</si>
  <si>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</si>
  <si>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</si>
  <si>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</si>
  <si>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</si>
  <si>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</si>
  <si>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</si>
  <si>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</si>
  <si>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</si>
  <si>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</si>
  <si>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</si>
  <si>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</si>
  <si>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</si>
  <si>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</si>
  <si>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</si>
  <si>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</si>
  <si>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</si>
  <si>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</si>
  <si>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</si>
  <si>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</si>
  <si>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</si>
  <si>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</si>
  <si>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</si>
  <si>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</si>
  <si>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</si>
  <si>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</si>
  <si>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</si>
  <si>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</si>
  <si>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</si>
  <si>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</si>
  <si>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</si>
  <si>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</si>
  <si>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</si>
  <si>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</si>
  <si>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</si>
  <si>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</si>
  <si>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</si>
  <si>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</si>
  <si>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</si>
  <si>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</si>
  <si>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</si>
  <si>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</si>
  <si>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</si>
  <si>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</si>
  <si>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</si>
  <si>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</si>
  <si>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</si>
  <si>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</si>
  <si>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</si>
  <si>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</si>
  <si>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</si>
  <si>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</si>
  <si>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</si>
  <si>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</si>
  <si>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</si>
  <si>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</si>
  <si>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</si>
  <si>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</si>
  <si>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</si>
  <si>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</si>
  <si>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</si>
  <si>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</si>
  <si>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</si>
  <si>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</si>
  <si>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</si>
  <si>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</si>
  <si>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</si>
  <si>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</si>
  <si>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</si>
  <si>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</si>
  <si>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</si>
  <si>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</si>
  <si>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</si>
  <si>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</si>
  <si>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</si>
  <si>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</si>
  <si>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</si>
  <si>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</si>
  <si>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</si>
  <si>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</si>
  <si>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</si>
  <si>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</si>
  <si>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</si>
  <si>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</si>
  <si>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</si>
  <si>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</si>
  <si>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</si>
  <si>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</si>
  <si>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</si>
  <si>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</si>
  <si>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</si>
  <si>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</si>
  <si>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</si>
  <si>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</si>
  <si>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</si>
  <si>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</si>
  <si>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</si>
  <si>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</si>
  <si>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</si>
  <si>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</si>
  <si>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</si>
  <si>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</si>
  <si>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</si>
  <si>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</si>
  <si>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</si>
  <si>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</si>
  <si>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</si>
  <si>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</si>
  <si>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</si>
  <si>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</si>
  <si>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</si>
  <si>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</si>
  <si>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</si>
  <si>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</si>
  <si>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</si>
  <si>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</si>
  <si>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</si>
  <si>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</si>
  <si>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</si>
  <si>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</si>
  <si>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</si>
  <si>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</si>
  <si>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</si>
  <si>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</si>
  <si>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</si>
  <si>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</si>
  <si>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</si>
  <si>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</si>
  <si>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</si>
  <si>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</si>
  <si>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</si>
  <si>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</si>
  <si>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</si>
  <si>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</si>
  <si>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</si>
  <si>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</si>
  <si>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</si>
  <si>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</si>
  <si>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</si>
  <si>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</si>
  <si>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</si>
  <si>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</si>
  <si>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</si>
  <si>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</si>
  <si>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</si>
  <si>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</si>
  <si>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</si>
  <si>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</si>
  <si>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</si>
  <si>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</si>
  <si>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</si>
  <si>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</si>
  <si>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</si>
  <si>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</si>
  <si>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</si>
  <si>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</si>
  <si>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</si>
  <si>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</si>
  <si>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</si>
  <si>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</si>
  <si>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</si>
  <si>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</si>
  <si>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</si>
  <si>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</si>
  <si>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</si>
  <si>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</si>
  <si>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</si>
  <si>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</si>
  <si>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</si>
  <si>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</si>
  <si>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</si>
  <si>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</si>
  <si>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</si>
  <si>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</si>
  <si>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</si>
  <si>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</si>
  <si>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</si>
  <si>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</si>
  <si>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</si>
  <si>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</si>
  <si>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</si>
  <si>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</si>
  <si>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</si>
  <si>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</si>
  <si>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</si>
  <si>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</si>
  <si>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</si>
  <si>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</si>
  <si>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</si>
  <si>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</si>
  <si>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</si>
  <si>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</si>
  <si>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</si>
  <si>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</si>
  <si>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</si>
  <si>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</si>
  <si>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</si>
  <si>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</si>
  <si>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</si>
  <si>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</si>
  <si>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</si>
  <si>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</si>
  <si>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</si>
  <si>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</si>
  <si>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</si>
  <si>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</si>
  <si>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</si>
  <si>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</si>
  <si>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</si>
  <si>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</si>
  <si>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</si>
  <si>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</si>
  <si>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</si>
  <si>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</si>
  <si>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</si>
  <si>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</si>
  <si>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</si>
  <si>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</si>
  <si>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</si>
  <si>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</si>
  <si>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</si>
  <si>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</si>
  <si>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</si>
  <si>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</si>
  <si>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</si>
  <si>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</si>
  <si>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</si>
  <si>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</si>
  <si>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</si>
  <si>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</si>
  <si>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</si>
  <si>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</si>
  <si>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</si>
  <si>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</si>
  <si>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</si>
  <si>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</si>
  <si>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</si>
  <si>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</si>
  <si>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</si>
  <si>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</si>
  <si>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</si>
  <si>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</si>
  <si>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</si>
  <si>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</si>
  <si>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</si>
  <si>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</si>
  <si>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</si>
  <si>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</si>
  <si>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</si>
  <si>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</si>
  <si>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</si>
  <si>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</si>
  <si>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</si>
  <si>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</si>
  <si>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</si>
  <si>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</si>
  <si>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</si>
  <si>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</si>
  <si>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</si>
  <si>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</si>
  <si>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</si>
  <si>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</si>
  <si>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</si>
  <si>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</si>
  <si>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</si>
  <si>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</si>
  <si>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</si>
  <si>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</si>
  <si>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</si>
  <si>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</si>
  <si>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</si>
  <si>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</si>
  <si>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</si>
  <si>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</si>
  <si>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</si>
  <si>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</si>
  <si>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</si>
  <si>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</si>
  <si>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</si>
  <si>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</si>
  <si>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</si>
  <si>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</si>
  <si>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</si>
  <si>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</si>
  <si>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</si>
  <si>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</si>
  <si>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</si>
  <si>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</si>
  <si>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</si>
  <si>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</si>
  <si>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</si>
  <si>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</si>
  <si>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</si>
  <si>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</si>
  <si>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</si>
  <si>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</si>
  <si>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</si>
  <si>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</si>
  <si>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</si>
  <si>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</si>
  <si>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</si>
  <si>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</si>
  <si>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</si>
  <si>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</si>
  <si>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</si>
  <si>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</si>
  <si>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</si>
  <si>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</si>
  <si>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</si>
  <si>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</si>
  <si>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</si>
  <si>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</si>
  <si>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</si>
  <si>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</si>
  <si>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</si>
  <si>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</si>
  <si>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</si>
  <si>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</si>
  <si>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</si>
  <si>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</si>
  <si>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</si>
  <si>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</si>
  <si>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</si>
  <si>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</si>
  <si>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</si>
  <si>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</si>
  <si>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</si>
  <si>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</si>
  <si>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</si>
  <si>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</si>
  <si>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</si>
  <si>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</si>
  <si>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</si>
  <si>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</si>
  <si>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</si>
  <si>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</si>
  <si>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</si>
  <si>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</si>
  <si>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</si>
  <si>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</si>
  <si>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</si>
  <si>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</si>
  <si>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</si>
  <si>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</si>
  <si>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</si>
  <si>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</si>
  <si>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</si>
  <si>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</si>
  <si>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</si>
  <si>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</si>
  <si>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</si>
  <si>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</si>
  <si>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</si>
  <si>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</si>
  <si>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</si>
  <si>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Zeshan</t>
  </si>
  <si>
    <t>Address: DHA</t>
  </si>
  <si>
    <t xml:space="preserve">Groccer express </t>
  </si>
  <si>
    <t xml:space="preserve">HR Mart </t>
  </si>
  <si>
    <t xml:space="preserve">Mian Bakers </t>
  </si>
  <si>
    <t>Aslam Store</t>
  </si>
  <si>
    <t>Bilal Store</t>
  </si>
  <si>
    <t xml:space="preserve">Shery Mart </t>
  </si>
  <si>
    <t>Baber Store</t>
  </si>
  <si>
    <t>Raza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</si>
</sst>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abSelected="1" workbookViewId="0">
      <selection activeCell="I17" sqref="I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513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46276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Groccer express </v>
      </c>
      <c r="T3" s="301">
        <f>+'1'!P35</f>
        <v>5401.2631679237284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HR Mart </v>
      </c>
      <c r="T4" s="301">
        <f>+'2'!P35</f>
        <v>566.26289570974575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Mian Bakers </v>
      </c>
      <c r="T5" s="301">
        <f>+'3'!P35</f>
        <v>566.26289570974575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Aslam Store</v>
      </c>
      <c r="T6" s="301">
        <f>+'4'!P35</f>
        <v>283.13144785487287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30</v>
      </c>
      <c r="I7" s="235">
        <f>(G7*D7)*F7+H7*F7</f>
        <v>1573.875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125.91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55.085625000000007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1392.879375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297.45762711864393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8.45168501059322</v>
      </c>
      <c r="P7" s="310">
        <f>M7+N7+O7</f>
        <v>1698.7886871292369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Bilal Store</v>
      </c>
      <c r="T7" s="301">
        <f>+'5'!P35</f>
        <v>283.13144785487287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30</v>
      </c>
      <c r="I8" s="236">
        <f t="shared" ref="I8:I14" si="0">(G8*D8)*F8+H8*F8</f>
        <v>1573.875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125.91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55.085625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1392.879375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297.45762711864393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8.45168501059322</v>
      </c>
      <c r="P8" s="311">
        <f t="shared" ref="P8:P15" si="2">M8+N8+O8</f>
        <v>1698.7886871292369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Shery Mart </v>
      </c>
      <c r="T8" s="301">
        <f>+'6'!P35</f>
        <v>283.13144785487287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</v>
      </c>
      <c r="I9" s="236">
        <f t="shared" si="0"/>
        <v>1049.25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83.94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36.723750000000003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928.58625000000006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198.30508474576263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5.6344566737288133</v>
      </c>
      <c r="P9" s="311">
        <f t="shared" si="2"/>
        <v>1132.5257914194915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Baber Store</v>
      </c>
      <c r="T9" s="301">
        <f>+'7'!P35</f>
        <v>283.13144785487287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15</v>
      </c>
      <c r="I10" s="236">
        <f t="shared" si="0"/>
        <v>1089.5999999999999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87.167999999999992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38.136000000000003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964.29599999999994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205.93220338983053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5.8511410169491525</v>
      </c>
      <c r="P10" s="311">
        <f t="shared" si="2"/>
        <v>1176.0793444067797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Raza Store</v>
      </c>
      <c r="T10" s="301">
        <f>+'8'!P35</f>
        <v>3338.355826983051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</v>
      </c>
      <c r="I11" s="236">
        <f t="shared" si="0"/>
        <v>726.4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58.112000000000002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25.424000000000003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642.86400000000003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137.28813559322035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3.9007606779661019</v>
      </c>
      <c r="P11" s="311">
        <f t="shared" si="2"/>
        <v>784.05289627118646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15</v>
      </c>
      <c r="I12" s="236">
        <f t="shared" si="0"/>
        <v>1089.5999999999999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87.167999999999992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38.136000000000003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964.29599999999994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205.93220338983053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5.8511410169491525</v>
      </c>
      <c r="P12" s="311">
        <f t="shared" si="2"/>
        <v>1176.0793444067797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80</v>
      </c>
      <c r="I13" s="236">
        <f t="shared" si="0"/>
        <v>3138.4000000000005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156.92000000000004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109.84400000000002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160.05840000000001</v>
      </c>
      <c r="M13" s="230">
        <f t="shared" si="1"/>
        <v>2711.5776000000005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610.16949152542338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16.60873545762712</v>
      </c>
      <c r="P13" s="311">
        <f t="shared" si="2"/>
        <v>3338.355826983051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5</v>
      </c>
      <c r="H16" s="113">
        <f t="shared" ref="H16:M16" si="3">SUM(H7:H15)</f>
        <v>200</v>
      </c>
      <c r="I16" s="114">
        <f t="shared" si="3"/>
        <v>10241</v>
      </c>
      <c r="J16" s="274">
        <f>SUM(J7:J15)</f>
        <v>725.12800000000004</v>
      </c>
      <c r="K16" s="275">
        <f t="shared" si="3"/>
        <v>358.43500000000006</v>
      </c>
      <c r="L16" s="276">
        <f t="shared" si="3"/>
        <v>160.05840000000001</v>
      </c>
      <c r="M16" s="232">
        <f t="shared" si="3"/>
        <v>8997.3786000000018</v>
      </c>
      <c r="N16" s="233">
        <f>SUM(N7:N15)</f>
        <v>1952.5423728813553</v>
      </c>
      <c r="O16" s="101">
        <f>SUM(O7:O15)</f>
        <v>54.749604864406777</v>
      </c>
      <c r="P16" s="113">
        <f>SUM(P7:P15)</f>
        <v>11004.670577745761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10241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725.12800000000004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518.49340000000007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8997.3786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1952.5423728813553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10949.920972881355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54.749604864406777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11004.670577745761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11004.670577745763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ref="I18:I21" si="7">(G18*D18)*F18+H18*F18</f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7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7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80</v>
      </c>
      <c r="I25" s="114">
        <f t="shared" ref="I25:M25" si="10">SUM(I16:I24)</f>
        <v>5004.1000000000004</v>
      </c>
      <c r="J25" s="274">
        <f>SUM(J16:J24)</f>
        <v>400.32800000000003</v>
      </c>
      <c r="K25" s="275">
        <f t="shared" si="10"/>
        <v>175.14350000000002</v>
      </c>
      <c r="L25" s="276">
        <f t="shared" si="10"/>
        <v>0</v>
      </c>
      <c r="M25" s="232">
        <f t="shared" si="10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400.32800000000003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5374.3912118644066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5401.2631679237284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524.625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41.97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18.361875000000001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464.29312499999997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563.4456673728813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74" t="s">
        <v>88</v>
      </c>
      <c r="O35" s="375"/>
      <c r="P35" s="297">
        <f>+P33+P34</f>
        <v>566.26289570974575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5</v>
      </c>
      <c r="I17" s="236">
        <f t="shared" ref="I17:I23" si="0">(G17*D17)*F17+H17*F17</f>
        <v>262.3125</v>
      </c>
      <c r="J17" s="272">
        <f t="shared" ref="J17:L24" si="1">$I17*S17</f>
        <v>20.984999999999999</v>
      </c>
      <c r="K17" s="128">
        <f>$I17*T17</f>
        <v>9.1809375000000006</v>
      </c>
      <c r="L17" s="119">
        <f>$I17*U17</f>
        <v>0</v>
      </c>
      <c r="M17" s="230">
        <f t="shared" ref="M17:M24" si="2">I17-SUM(J17:L17)</f>
        <v>232.14656250000002</v>
      </c>
      <c r="N17" s="277">
        <f t="shared" ref="N17:N24" si="3">+(G17*D17+H17)*V17</f>
        <v>49.576271186440657</v>
      </c>
      <c r="O17" s="239">
        <f t="shared" ref="O17:O24" si="4">(N17+M17)*$O$15</f>
        <v>1.4086141684322033</v>
      </c>
      <c r="P17" s="119">
        <f t="shared" ref="P17:P24" si="5">M17+N17+O17</f>
        <v>283.13144785487287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5</v>
      </c>
      <c r="I25" s="114">
        <f t="shared" si="7"/>
        <v>262.3125</v>
      </c>
      <c r="J25" s="274">
        <f>SUM(J16:J24)</f>
        <v>20.984999999999999</v>
      </c>
      <c r="K25" s="275">
        <f t="shared" si="7"/>
        <v>9.1809375000000006</v>
      </c>
      <c r="L25" s="276">
        <f t="shared" si="7"/>
        <v>0</v>
      </c>
      <c r="M25" s="232">
        <f t="shared" si="7"/>
        <v>232.14656250000002</v>
      </c>
      <c r="N25" s="233">
        <f>SUM(N16:N24)</f>
        <v>49.576271186440657</v>
      </c>
      <c r="O25" s="101">
        <f>SUM(O16:O24)</f>
        <v>1.4086141684322033</v>
      </c>
      <c r="P25" s="234">
        <f>SUM(P16:P24)</f>
        <v>283.13144785487287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262.3125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20.984999999999999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9.1809375000000006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232.14656249999999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49.576271186440657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281.72283368644065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1.4086141684322033</v>
      </c>
    </row>
    <row r="35" spans="2:16" ht="15.75" customHeight="1" thickBot="1" x14ac:dyDescent="0.4">
      <c r="N35" s="374" t="s">
        <v>88</v>
      </c>
      <c r="O35" s="375"/>
      <c r="P35" s="297">
        <f>+P33+P34</f>
        <v>283.13144785487287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119">
        <f t="shared" si="5"/>
        <v>3338.355826983051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3138.4000000000005</v>
      </c>
      <c r="J25" s="274">
        <f>SUM(J16:J24)</f>
        <v>156.92000000000004</v>
      </c>
      <c r="K25" s="275">
        <f t="shared" si="7"/>
        <v>109.84400000000002</v>
      </c>
      <c r="L25" s="276">
        <f t="shared" si="7"/>
        <v>160.05840000000001</v>
      </c>
      <c r="M25" s="232">
        <f t="shared" si="7"/>
        <v>2711.5776000000005</v>
      </c>
      <c r="N25" s="233">
        <f>SUM(N16:N24)</f>
        <v>610.16949152542338</v>
      </c>
      <c r="O25" s="101">
        <f>SUM(O16:O24)</f>
        <v>16.60873545762712</v>
      </c>
      <c r="P25" s="234">
        <f>SUM(P16:P24)</f>
        <v>3338.355826983051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3138.4000000000005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156.92000000000004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269.90240000000006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2711.5776000000005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610.16949152542338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3321.7470915254239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16.60873545762712</v>
      </c>
    </row>
    <row r="35" spans="2:16" ht="15.75" customHeight="1" thickBot="1" x14ac:dyDescent="0.4">
      <c r="N35" s="374" t="s">
        <v>88</v>
      </c>
      <c r="O35" s="375"/>
      <c r="P35" s="297">
        <f>+P33+P34</f>
        <v>3338.355826983051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46276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46275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Zeshan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46276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46275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2026-09-10T11:51:24Z</dcterms:modified>
</cp:coreProperties>
</file>