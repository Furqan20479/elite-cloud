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E02B95B-15C0-4E93-9C83-70033AE9FC51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64" l="1"/>
  <c r="O22" i="64" s="1"/>
  <c r="P22" i="64" s="1"/>
  <c r="M17" i="60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<sst xmlns="http://schemas.openxmlformats.org/spreadsheetml/2006/main" count="3977" uniqueCount="525">
  <si>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</si>
  <si>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</si>
  <si>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</si>
  <si>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</si>
  <si>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</si>
  <si>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</si>
  <si>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</si>
  <si>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</si>
  <si>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</si>
  <si>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</si>
  <si>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</si>
  <si>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</si>
  <si>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</si>
  <si>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</si>
  <si>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</si>
  <si>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</si>
  <si>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</si>
  <si>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</si>
  <si>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</si>
  <si>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</si>
  <si>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</si>
  <si>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</si>
  <si>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</si>
  <si>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</si>
  <si>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</si>
  <si>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</si>
  <si>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</si>
  <si>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</si>
  <si>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</si>
  <si>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</si>
  <si>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</si>
  <si>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</si>
  <si>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</si>
  <si>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</si>
  <si>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</si>
  <si>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</si>
  <si>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</si>
  <si>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</si>
  <si>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</si>
  <si>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</si>
  <si>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</si>
  <si>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</si>
  <si>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</si>
  <si>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</si>
  <si>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</si>
  <si>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</si>
  <si>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</si>
  <si>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</si>
  <si>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</si>
  <si>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</si>
  <si>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</si>
  <si>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</si>
  <si>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</si>
  <si>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</si>
  <si>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</si>
  <si>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</si>
  <si>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</si>
  <si>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</si>
  <si>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</si>
  <si>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</si>
  <si>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</si>
  <si>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</si>
  <si>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</si>
  <si>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</si>
  <si>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</si>
  <si>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</si>
  <si>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</si>
  <si>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</si>
  <si>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</si>
  <si>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</si>
  <si>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</si>
  <si>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</si>
  <si>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</si>
  <si>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</si>
  <si>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</si>
  <si>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</si>
  <si>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</si>
  <si>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</si>
  <si>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</si>
  <si>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</si>
  <si>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</si>
  <si>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</si>
  <si>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</si>
  <si>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</si>
  <si>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</si>
  <si>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</si>
  <si>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</si>
  <si>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</si>
  <si>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</si>
  <si>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</si>
  <si>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</si>
  <si>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</si>
  <si>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</si>
  <si>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</si>
  <si>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</si>
  <si>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</si>
  <si>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</si>
  <si>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</si>
  <si>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</si>
  <si>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</si>
  <si>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</si>
  <si>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</si>
  <si>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</si>
  <si>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</si>
  <si>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</si>
  <si>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</si>
  <si>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</si>
  <si>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</si>
  <si>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</si>
  <si>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</si>
  <si>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</si>
  <si>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</si>
  <si>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</si>
  <si>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</si>
  <si>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</si>
  <si>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</si>
  <si>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</si>
  <si>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</si>
  <si>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</si>
  <si>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</si>
  <si>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</si>
  <si>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</si>
  <si>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</si>
  <si>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</si>
  <si>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</si>
  <si>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</si>
  <si>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</si>
  <si>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</si>
  <si>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</si>
  <si>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</si>
  <si>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</si>
  <si>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</si>
  <si>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</si>
  <si>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</si>
  <si>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</si>
  <si>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</si>
  <si>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</si>
  <si>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</si>
  <si>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</si>
  <si>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</si>
  <si>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</si>
  <si>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</si>
  <si>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</si>
  <si>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</si>
  <si>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</si>
  <si>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</si>
  <si>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</si>
  <si>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</si>
  <si>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</si>
  <si>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</si>
  <si>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</si>
  <si>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</si>
  <si>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</si>
  <si>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</si>
  <si>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</si>
  <si>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</si>
  <si>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</si>
  <si>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</si>
  <si>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</si>
  <si>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</si>
  <si>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</si>
  <si>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</si>
  <si>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</si>
  <si>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</si>
  <si>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</si>
  <si>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</si>
  <si>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</si>
  <si>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</si>
  <si>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</si>
  <si>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</si>
  <si>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</si>
  <si>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</si>
  <si>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</si>
  <si>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</si>
  <si>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</si>
  <si>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</si>
  <si>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</si>
  <si>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</si>
  <si>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</si>
  <si>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</si>
  <si>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</si>
  <si>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</si>
  <si>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</si>
  <si>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</si>
  <si>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</si>
  <si>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</si>
  <si>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</si>
  <si>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</si>
  <si>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</si>
  <si>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</si>
  <si>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</si>
  <si>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</si>
  <si>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</si>
  <si>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</si>
  <si>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</si>
  <si>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</si>
  <si>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</si>
  <si>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</si>
  <si>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</si>
  <si>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</si>
  <si>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</si>
  <si>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</si>
  <si>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</si>
  <si>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</si>
  <si>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</si>
  <si>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</si>
  <si>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</si>
  <si>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</si>
  <si>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</si>
  <si>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</si>
  <si>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</si>
  <si>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</si>
  <si>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</si>
  <si>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</si>
  <si>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</si>
  <si>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</si>
  <si>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</si>
  <si>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</si>
  <si>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</si>
  <si>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</si>
  <si>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</si>
  <si>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</si>
  <si>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</si>
  <si>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</si>
  <si>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</si>
  <si>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</si>
  <si>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</si>
  <si>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</si>
  <si>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</si>
  <si>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</si>
  <si>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</si>
  <si>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</si>
  <si>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</si>
  <si>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</si>
  <si>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</si>
  <si>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</si>
  <si>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</si>
  <si>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</si>
  <si>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</si>
  <si>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</si>
  <si>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</si>
  <si>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</si>
  <si>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</si>
  <si>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</si>
  <si>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</si>
  <si>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</si>
  <si>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</si>
  <si>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</si>
  <si>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</si>
  <si>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</si>
  <si>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</si>
  <si>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</si>
  <si>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</si>
  <si>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</si>
  <si>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</si>
  <si>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</si>
  <si>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</si>
  <si>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</si>
  <si>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</si>
  <si>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</si>
  <si>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</si>
  <si>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</si>
  <si>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</si>
  <si>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</si>
  <si>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</si>
  <si>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</si>
  <si>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</si>
  <si>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</si>
  <si>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</si>
  <si>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</si>
  <si>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</si>
  <si>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</si>
  <si>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</si>
  <si>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</si>
  <si>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</si>
  <si>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</si>
  <si>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</si>
  <si>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</si>
  <si>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</si>
  <si>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</si>
  <si>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</si>
  <si>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</si>
  <si>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</si>
  <si>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</si>
  <si>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</si>
  <si>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</si>
  <si>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</si>
  <si>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</si>
  <si>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</si>
  <si>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</si>
  <si>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</si>
  <si>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</si>
  <si>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</si>
  <si>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</si>
  <si>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</si>
  <si>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</si>
  <si>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</si>
  <si>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</si>
  <si>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</si>
  <si>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</si>
  <si>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</si>
  <si>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</si>
  <si>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</si>
  <si>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</si>
  <si>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</si>
  <si>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</si>
  <si>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</si>
  <si>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</si>
  <si>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</si>
  <si>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</si>
  <si>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</si>
  <si>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</si>
  <si>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</si>
  <si>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</si>
  <si>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</si>
  <si>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</si>
  <si>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</si>
  <si>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</si>
  <si>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</si>
  <si>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</si>
  <si>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</si>
  <si>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</si>
  <si>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</si>
  <si>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</si>
  <si>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</si>
  <si>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</si>
  <si>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</si>
  <si>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</si>
  <si>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</si>
  <si>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</si>
  <si>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</si>
  <si>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</si>
  <si>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</si>
  <si>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</si>
  <si>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</si>
  <si>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</si>
  <si>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</si>
  <si>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</si>
  <si>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</si>
  <si>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</si>
  <si>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</si>
  <si>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</si>
  <si>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</si>
  <si>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</si>
  <si>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</si>
  <si>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</si>
  <si>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</si>
  <si>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</si>
  <si>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</si>
  <si>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</si>
  <si>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</si>
  <si>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</si>
  <si>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</si>
  <si>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</si>
  <si>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</si>
  <si>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</si>
  <si>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</si>
  <si>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</si>
  <si>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</si>
  <si>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</si>
  <si>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</si>
  <si>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</si>
  <si>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</si>
  <si>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</si>
  <si>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</si>
  <si>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</si>
  <si>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</si>
  <si>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</si>
  <si>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</si>
  <si>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</si>
  <si>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</si>
  <si>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</si>
  <si>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</si>
  <si>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</si>
  <si>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</si>
  <si>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</si>
  <si>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</si>
  <si>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</si>
  <si>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</si>
  <si>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</si>
  <si>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</si>
  <si>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</si>
  <si>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</si>
  <si>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</si>
  <si>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</si>
  <si>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</si>
  <si>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</si>
  <si>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</si>
  <si>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</si>
  <si>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</si>
  <si>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</si>
  <si>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</si>
  <si>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</si>
  <si>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</si>
  <si>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</si>
  <si>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</si>
  <si>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</si>
  <si>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</si>
  <si>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</si>
  <si>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</si>
  <si>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</si>
  <si>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</si>
  <si>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</si>
  <si>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</si>
  <si>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</si>
  <si>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</si>
  <si>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</si>
  <si>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</si>
  <si>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</si>
  <si>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</si>
  <si>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</si>
  <si>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</si>
  <si>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</si>
  <si>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</si>
  <si>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</si>
  <si>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</si>
  <si>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</si>
  <si>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</si>
  <si>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</si>
  <si>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</si>
  <si>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</si>
  <si>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</si>
  <si>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</si>
  <si>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</si>
  <si>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</si>
  <si>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</si>
  <si>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</si>
  <si>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</si>
  <si>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</si>
  <si>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</si>
  <si>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</si>
  <si>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</si>
  <si>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</si>
  <si>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</si>
  <si>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</si>
  <si>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</si>
  <si>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</si>
  <si>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</si>
  <si>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</si>
  <si>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</si>
  <si>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</si>
  <si>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</si>
  <si>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</si>
  <si>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</si>
  <si>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</si>
  <si>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</si>
  <si>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</si>
  <si>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</si>
  <si>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</si>
  <si>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</si>
  <si>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</si>
  <si>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</si>
  <si>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</si>
  <si>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</si>
  <si>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</si>
  <si>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</si>
  <si>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</si>
  <si>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</si>
  <si>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</si>
  <si>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</si>
  <si>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</si>
  <si>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</si>
  <si>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</si>
  <si>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</si>
  <si>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</si>
  <si>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</si>
  <si>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</si>
  <si>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</si>
  <si>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</si>
  <si>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</si>
  <si>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</si>
  <si>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</si>
  <si>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</si>
  <si>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</si>
  <si>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</si>
  <si>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</si>
  <si>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</si>
  <si>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</si>
  <si>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</si>
  <si>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</si>
  <si>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</si>
  <si>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</si>
  <si>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</si>
  <si>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</si>
  <si>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</si>
  <si>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</si>
  <si>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</si>
  <si>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</si>
  <si>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</si>
  <si>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</si>
  <si>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</si>
  <si>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</si>
  <si>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</si>
  <si>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</si>
  <si>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</si>
  <si>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</si>
  <si>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</si>
  <si>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</si>
  <si>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</si>
  <si>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</si>
  <si>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</si>
  <si>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</si>
  <si>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</si>
  <si>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</si>
  <si>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</si>
  <si>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</si>
  <si>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</si>
  <si>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</si>
  <si>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</si>
  <si>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</si>
  <si>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</si>
  <si>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</si>
  <si>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</si>
  <si>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</si>
  <si>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</si>
  <si>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</si>
  <si>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</si>
  <si>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</si>
  <si>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Pak Madina </t>
  </si>
  <si>
    <t>NTN:  C857167-7</t>
  </si>
  <si>
    <t>Shakoor</t>
  </si>
  <si>
    <t>Invoice No # :1056</t>
  </si>
  <si>
    <t xml:space="preserve">Address:  Shokhu </t>
  </si>
  <si>
    <t>Address:  Sharakpur Road</t>
  </si>
  <si>
    <t>Invoice No # :105615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</si>
</sst>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S16" sqref="S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499</v>
      </c>
      <c r="F2" s="356"/>
      <c r="G2" s="356"/>
      <c r="H2" s="353"/>
      <c r="I2" s="353"/>
      <c r="J2" s="354"/>
      <c r="R2" s="350" t="s">
        <v>498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514</v>
      </c>
      <c r="F3" s="360"/>
      <c r="G3" s="360"/>
      <c r="H3" s="357">
        <f ca="1">TODAY()</f>
        <v>46277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 xml:space="preserve">Pak Madina </v>
      </c>
      <c r="T3" s="301">
        <f>+'1'!P35</f>
        <v>29019.89820470339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251.82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1773.2325000000001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10.849213347457626</v>
      </c>
      <c r="P7" s="310">
        <f>M7+N7+O7</f>
        <v>2180.6918828389826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1007.28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293.79000000000002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7092.93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43.396853389830504</v>
      </c>
      <c r="P9" s="311">
        <f t="shared" si="2"/>
        <v>8722.7675313559303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160</v>
      </c>
      <c r="I11" s="236">
        <f t="shared" si="0"/>
        <v>11622.4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1394.6879999999999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406.78400000000005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9820.9279999999999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2196.6101694915255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60.087690847457623</v>
      </c>
      <c r="P11" s="311">
        <f t="shared" si="2"/>
        <v>12077.625860338983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697.34399999999994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4910.4639999999999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30.043845423728811</v>
      </c>
      <c r="P12" s="311">
        <f t="shared" si="2"/>
        <v>6038.8129301694917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11</v>
      </c>
      <c r="H16" s="113">
        <f t="shared" ref="H16:M16" si="3">SUM(H7:H15)</f>
        <v>440</v>
      </c>
      <c r="I16" s="114">
        <f t="shared" si="3"/>
        <v>27926.100000000002</v>
      </c>
      <c r="J16" s="274">
        <f>SUM(J7:J15)</f>
        <v>3351.1319999999996</v>
      </c>
      <c r="K16" s="275">
        <f t="shared" si="3"/>
        <v>977.41350000000011</v>
      </c>
      <c r="L16" s="276">
        <f t="shared" si="3"/>
        <v>0</v>
      </c>
      <c r="M16" s="232">
        <f t="shared" si="3"/>
        <v>23597.554499999998</v>
      </c>
      <c r="N16" s="233">
        <f>SUM(N7:N15)</f>
        <v>5277.9661016949149</v>
      </c>
      <c r="O16" s="101">
        <f>SUM(O7:O15)</f>
        <v>144.37760300847458</v>
      </c>
      <c r="P16" s="113">
        <f>SUM(P7:P15)</f>
        <v>29019.898204703386</v>
      </c>
      <c r="Q16" s="128">
        <f>SUM(Q7:Q15)</f>
        <v>0</v>
      </c>
      <c r="R16" s="314">
        <v>14</v>
      </c>
      <c r="S16" s="318">
        <v>0.08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27926.100000000002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3351.1319999999996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977.41350000000011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23597.554500000002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5277.9661016949149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28875.520601694916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144.37760300847458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29019.89820470339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29019.89820470339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46276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46275</v>
      </c>
      <c r="O5" s="369"/>
      <c r="P5" s="369"/>
      <c r="R5" s="85"/>
      <c r="S5" s="266"/>
    </row>
    <row r="6" spans="1:22 16383:16384" ht="17.2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523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251.82</v>
      </c>
      <c r="K16" s="127">
        <f>$I16*T16</f>
        <v>73.447500000000005</v>
      </c>
      <c r="L16" s="118">
        <f>$I16*U16</f>
        <v>0</v>
      </c>
      <c r="M16" s="229">
        <f>I16-SUM(J16:L16)</f>
        <v>1773.2325000000001</v>
      </c>
      <c r="N16" s="248">
        <f>+(G16*D16+H16)*V16</f>
        <v>396.61016949152526</v>
      </c>
      <c r="O16" s="238">
        <f>(N16+M16)*$O$15</f>
        <v>10.849213347457626</v>
      </c>
      <c r="P16" s="310">
        <f>M16+N16+O16</f>
        <v>2180.6918828389826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160</v>
      </c>
      <c r="I18" s="236">
        <f t="shared" ref="I18:I21" si="7">(G18*D18)*F18+H18*F18</f>
        <v>8394</v>
      </c>
      <c r="J18" s="272">
        <f t="shared" si="1"/>
        <v>1007.28</v>
      </c>
      <c r="K18" s="128">
        <f t="shared" si="1"/>
        <v>293.79000000000002</v>
      </c>
      <c r="L18" s="119">
        <f t="shared" si="1"/>
        <v>0</v>
      </c>
      <c r="M18" s="230">
        <f t="shared" si="2"/>
        <v>7092.93</v>
      </c>
      <c r="N18" s="277">
        <f t="shared" si="3"/>
        <v>1586.440677966101</v>
      </c>
      <c r="O18" s="239">
        <f t="shared" si="4"/>
        <v>43.396853389830504</v>
      </c>
      <c r="P18" s="311">
        <f t="shared" si="5"/>
        <v>8722.7675313559303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160</v>
      </c>
      <c r="I20" s="236">
        <f t="shared" si="7"/>
        <v>11622.4</v>
      </c>
      <c r="J20" s="272">
        <f t="shared" si="1"/>
        <v>1394.6879999999999</v>
      </c>
      <c r="K20" s="128">
        <f t="shared" si="1"/>
        <v>406.78400000000005</v>
      </c>
      <c r="L20" s="119">
        <f t="shared" si="1"/>
        <v>0</v>
      </c>
      <c r="M20" s="230">
        <f t="shared" si="2"/>
        <v>9820.9279999999999</v>
      </c>
      <c r="N20" s="277">
        <f t="shared" si="3"/>
        <v>2196.6101694915255</v>
      </c>
      <c r="O20" s="239">
        <f t="shared" si="4"/>
        <v>60.087690847457623</v>
      </c>
      <c r="P20" s="311">
        <f t="shared" si="5"/>
        <v>12077.625860338983</v>
      </c>
      <c r="Q20" s="156"/>
      <c r="R20">
        <f>P20/21</f>
        <v>575.12504096852297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697.34399999999994</v>
      </c>
      <c r="K21" s="128">
        <f t="shared" si="1"/>
        <v>203.39200000000002</v>
      </c>
      <c r="L21" s="119">
        <f t="shared" si="1"/>
        <v>0</v>
      </c>
      <c r="M21" s="230">
        <f t="shared" si="2"/>
        <v>4910.4639999999999</v>
      </c>
      <c r="N21" s="277">
        <f t="shared" si="3"/>
        <v>1098.3050847457628</v>
      </c>
      <c r="O21" s="239">
        <f t="shared" si="4"/>
        <v>30.043845423728811</v>
      </c>
      <c r="P21" s="311">
        <f t="shared" si="5"/>
        <v>6038.8129301694917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0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0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440</v>
      </c>
      <c r="I25" s="114">
        <f t="shared" ref="I25:M25" si="10">SUM(I16:I24)</f>
        <v>27926.100000000002</v>
      </c>
      <c r="J25" s="274">
        <f>SUM(J16:J24)</f>
        <v>3351.1319999999996</v>
      </c>
      <c r="K25" s="275">
        <f t="shared" si="10"/>
        <v>977.41350000000011</v>
      </c>
      <c r="L25" s="276">
        <f t="shared" si="10"/>
        <v>0</v>
      </c>
      <c r="M25" s="232">
        <f t="shared" si="10"/>
        <v>23597.554499999998</v>
      </c>
      <c r="N25" s="233">
        <f>SUM(N16:N24)</f>
        <v>5277.9661016949149</v>
      </c>
      <c r="O25" s="101">
        <f>SUM(O16:O24)</f>
        <v>144.37760300847458</v>
      </c>
      <c r="P25" s="113">
        <f>SUM(P16:P24)</f>
        <v>29019.898204703386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27926.100000000002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3351.1319999999996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977.41350000000011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23597.554500000002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5277.9661016949149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28875.520601694916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144.37760300847458</v>
      </c>
    </row>
    <row r="35" spans="2:16" ht="15.75" customHeight="1" thickBot="1" x14ac:dyDescent="0.4">
      <c r="N35" s="344" t="s">
        <v>88</v>
      </c>
      <c r="O35" s="345"/>
      <c r="P35" s="297">
        <f>+P33+P34</f>
        <v>29019.89820470339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8.75" customHeight="1" x14ac:dyDescent="0.4">
      <c r="A6" s="398" t="s">
        <v>500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501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502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503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8.75" customHeight="1" x14ac:dyDescent="0.4">
      <c r="A6" s="398" t="s">
        <v>504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S23" sqref="S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505</v>
      </c>
      <c r="B4" s="369"/>
      <c r="C4" s="369"/>
      <c r="F4" s="85"/>
      <c r="G4" s="1"/>
      <c r="K4" s="370" t="s">
        <v>44</v>
      </c>
      <c r="L4" s="370"/>
      <c r="M4" s="370"/>
      <c r="N4" s="400"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70" t="s">
        <v>69</v>
      </c>
      <c r="L6" s="370"/>
      <c r="M6" s="370"/>
      <c r="N6" s="399" t="s">
        <v>520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511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522</v>
      </c>
      <c r="B8" s="396"/>
      <c r="C8" s="396"/>
      <c r="F8" s="85"/>
      <c r="G8" s="86"/>
      <c r="K8" s="370" t="s">
        <v>67</v>
      </c>
      <c r="L8" s="370"/>
      <c r="M8" s="370"/>
      <c r="N8" s="399" t="s">
        <v>511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0.12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46278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46277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2026-09-12T04:40:19Z</dcterms:modified>
</cp:coreProperties>
</file>