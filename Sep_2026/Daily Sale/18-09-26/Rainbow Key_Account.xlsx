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789CB57-EC5F-4690-8454-090CF74B70A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<sst xmlns="http://schemas.openxmlformats.org/spreadsheetml/2006/main" count="3908" uniqueCount="521">
  <si>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</si>
  <si>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</si>
  <si>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</si>
  <si>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</si>
  <si>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</si>
  <si>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</si>
  <si>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</si>
  <si>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</si>
  <si>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</si>
  <si>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</si>
  <si>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</si>
  <si>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</si>
  <si>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</si>
  <si>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</si>
  <si>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</si>
  <si>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</si>
  <si>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</si>
  <si>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</si>
  <si>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</si>
  <si>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</si>
  <si>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</si>
  <si>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</si>
  <si>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</si>
  <si>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</si>
  <si>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</si>
  <si>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</si>
  <si>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</si>
  <si>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</si>
  <si>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</si>
  <si>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</si>
  <si>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</si>
  <si>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</si>
  <si>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</si>
  <si>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</si>
  <si>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</si>
  <si>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</si>
  <si>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</si>
  <si>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</si>
  <si>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</si>
  <si>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</si>
  <si>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</si>
  <si>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</si>
  <si>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</si>
  <si>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</si>
  <si>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</si>
  <si>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</si>
  <si>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</si>
  <si>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</si>
  <si>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</si>
  <si>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</si>
  <si>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</si>
  <si>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</si>
  <si>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</si>
  <si>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</si>
  <si>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</si>
  <si>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</si>
  <si>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</si>
  <si>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</si>
  <si>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</si>
  <si>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</si>
  <si>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</si>
  <si>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</si>
  <si>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</si>
  <si>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</si>
  <si>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</si>
  <si>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</si>
  <si>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</si>
  <si>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</si>
  <si>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</si>
  <si>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</si>
  <si>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</si>
  <si>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</si>
  <si>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</si>
  <si>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</si>
  <si>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</si>
  <si>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</si>
  <si>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</si>
  <si>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</si>
  <si>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</si>
  <si>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</si>
  <si>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</si>
  <si>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</si>
  <si>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</si>
  <si>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</si>
  <si>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</si>
  <si>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</si>
  <si>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</si>
  <si>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</si>
  <si>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</si>
  <si>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</si>
  <si>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</si>
  <si>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</si>
  <si>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</si>
  <si>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</si>
  <si>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</si>
  <si>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</si>
  <si>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</si>
  <si>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</si>
  <si>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</si>
  <si>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</si>
  <si>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</si>
  <si>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</si>
  <si>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</si>
  <si>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</si>
  <si>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</si>
  <si>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</si>
  <si>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</si>
  <si>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</si>
  <si>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</si>
  <si>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</si>
  <si>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</si>
  <si>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</si>
  <si>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</si>
  <si>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</si>
  <si>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</si>
  <si>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</si>
  <si>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</si>
  <si>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</si>
  <si>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</si>
  <si>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</si>
  <si>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</si>
  <si>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</si>
  <si>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</si>
  <si>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</si>
  <si>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</si>
  <si>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</si>
  <si>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</si>
  <si>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</si>
  <si>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</si>
  <si>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</si>
  <si>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</si>
  <si>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</si>
  <si>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</si>
  <si>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</si>
  <si>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</si>
  <si>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</si>
  <si>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</si>
  <si>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</si>
  <si>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</si>
  <si>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</si>
  <si>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</si>
  <si>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</si>
  <si>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</si>
  <si>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</si>
  <si>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</si>
  <si>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</si>
  <si>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</si>
  <si>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</si>
  <si>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</si>
  <si>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</si>
  <si>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</si>
  <si>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</si>
  <si>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</si>
  <si>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</si>
  <si>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</si>
  <si>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</si>
  <si>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</si>
  <si>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</si>
  <si>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</si>
  <si>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</si>
  <si>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</si>
  <si>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</si>
  <si>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</si>
  <si>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</si>
  <si>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</si>
  <si>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</si>
  <si>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</si>
  <si>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</si>
  <si>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</si>
  <si>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</si>
  <si>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</si>
  <si>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</si>
  <si>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</si>
  <si>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</si>
  <si>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</si>
  <si>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</si>
  <si>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</si>
  <si>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</si>
  <si>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</si>
  <si>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</si>
  <si>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</si>
  <si>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</si>
  <si>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</si>
  <si>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</si>
  <si>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</si>
  <si>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</si>
  <si>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</si>
  <si>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</si>
  <si>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</si>
  <si>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</si>
  <si>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</si>
  <si>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</si>
  <si>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</si>
  <si>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</si>
  <si>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</si>
  <si>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</si>
  <si>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</si>
  <si>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</si>
  <si>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</si>
  <si>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</si>
  <si>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</si>
  <si>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</si>
  <si>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</si>
  <si>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</si>
  <si>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</si>
  <si>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</si>
  <si>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</si>
  <si>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</si>
  <si>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</si>
  <si>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</si>
  <si>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</si>
  <si>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</si>
  <si>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</si>
  <si>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</si>
  <si>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</si>
  <si>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</si>
  <si>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</si>
  <si>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</si>
  <si>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</si>
  <si>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</si>
  <si>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</si>
  <si>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</si>
  <si>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</si>
  <si>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</si>
  <si>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</si>
  <si>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</si>
  <si>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</si>
  <si>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</si>
  <si>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</si>
  <si>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</si>
  <si>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</si>
  <si>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</si>
  <si>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</si>
  <si>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</si>
  <si>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</si>
  <si>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</si>
  <si>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</si>
  <si>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</si>
  <si>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</si>
  <si>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</si>
  <si>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</si>
  <si>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</si>
  <si>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</si>
  <si>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</si>
  <si>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</si>
  <si>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</si>
  <si>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</si>
  <si>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</si>
  <si>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</si>
  <si>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</si>
  <si>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</si>
  <si>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</si>
  <si>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</si>
  <si>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</si>
  <si>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</si>
  <si>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</si>
  <si>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</si>
  <si>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</si>
  <si>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</si>
  <si>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</si>
  <si>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</si>
  <si>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</si>
  <si>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</si>
  <si>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</si>
  <si>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</si>
  <si>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</si>
  <si>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</si>
  <si>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</si>
  <si>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</si>
  <si>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</si>
  <si>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</si>
  <si>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</si>
  <si>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</si>
  <si>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</si>
  <si>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</si>
  <si>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</si>
  <si>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</si>
  <si>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</si>
  <si>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</si>
  <si>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</si>
  <si>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</si>
  <si>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</si>
  <si>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</si>
  <si>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</si>
  <si>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</si>
  <si>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</si>
  <si>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</si>
  <si>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</si>
  <si>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</si>
  <si>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</si>
  <si>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</si>
  <si>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</si>
  <si>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</si>
  <si>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</si>
  <si>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</si>
  <si>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</si>
  <si>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</si>
  <si>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</si>
  <si>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</si>
  <si>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</si>
  <si>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</si>
  <si>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</si>
  <si>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</si>
  <si>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</si>
  <si>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</si>
  <si>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</si>
  <si>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</si>
  <si>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</si>
  <si>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</si>
  <si>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</si>
  <si>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</si>
  <si>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</si>
  <si>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</si>
  <si>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</si>
  <si>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</si>
  <si>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</si>
  <si>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</si>
  <si>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</si>
  <si>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</si>
  <si>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</si>
  <si>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</si>
  <si>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</si>
  <si>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</si>
  <si>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</si>
  <si>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</si>
  <si>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</si>
  <si>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</si>
  <si>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</si>
  <si>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</si>
  <si>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</si>
  <si>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</si>
  <si>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</si>
  <si>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</si>
  <si>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</si>
  <si>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</si>
  <si>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</si>
  <si>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</si>
  <si>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</si>
  <si>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</si>
  <si>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</si>
  <si>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</si>
  <si>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</si>
  <si>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</si>
  <si>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</si>
  <si>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</si>
  <si>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</si>
  <si>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</si>
  <si>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</si>
  <si>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</si>
  <si>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</si>
  <si>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</si>
  <si>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</si>
  <si>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</si>
  <si>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</si>
  <si>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</si>
  <si>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</si>
  <si>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</si>
  <si>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</si>
  <si>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</si>
  <si>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</si>
  <si>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</si>
  <si>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</si>
  <si>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</si>
  <si>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</si>
  <si>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</si>
  <si>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</si>
  <si>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</si>
  <si>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</si>
  <si>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</si>
  <si>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</si>
  <si>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</si>
  <si>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</si>
  <si>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</si>
  <si>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</si>
  <si>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</si>
  <si>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</si>
  <si>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</si>
  <si>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</si>
  <si>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</si>
  <si>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</si>
  <si>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</si>
  <si>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</si>
  <si>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</si>
  <si>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</si>
  <si>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</si>
  <si>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</si>
  <si>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</si>
  <si>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</si>
  <si>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</si>
  <si>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</si>
  <si>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</si>
  <si>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</si>
  <si>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</si>
  <si>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</si>
  <si>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</si>
  <si>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</si>
  <si>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</si>
  <si>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</si>
  <si>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</si>
  <si>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</si>
  <si>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</si>
  <si>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</si>
  <si>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</si>
  <si>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</si>
  <si>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</si>
  <si>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</si>
  <si>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</si>
  <si>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</si>
  <si>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</si>
  <si>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</si>
  <si>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</si>
  <si>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</si>
  <si>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</si>
  <si>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</si>
  <si>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</si>
  <si>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</si>
  <si>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</si>
  <si>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</si>
  <si>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</si>
  <si>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</si>
  <si>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</si>
  <si>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</si>
  <si>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</si>
  <si>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</si>
  <si>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</si>
  <si>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</si>
  <si>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</si>
  <si>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</si>
  <si>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</si>
  <si>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</si>
  <si>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</si>
  <si>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</si>
  <si>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</si>
  <si>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</si>
  <si>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</si>
  <si>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</si>
  <si>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</si>
  <si>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</si>
  <si>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</si>
  <si>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</si>
  <si>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</si>
  <si>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</si>
  <si>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</si>
  <si>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</si>
  <si>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</si>
  <si>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</si>
  <si>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</si>
  <si>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</si>
  <si>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</si>
  <si>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</si>
  <si>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</si>
  <si>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</si>
  <si>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</si>
  <si>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</si>
  <si>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</si>
  <si>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</si>
  <si>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</si>
  <si>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</si>
  <si>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</si>
  <si>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</si>
  <si>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</si>
  <si>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</si>
  <si>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</si>
  <si>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</si>
  <si>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</si>
  <si>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</si>
  <si>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</si>
  <si>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</si>
  <si>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</si>
  <si>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</si>
  <si>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</si>
  <si>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</si>
  <si>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</si>
  <si>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</si>
  <si>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</si>
  <si>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</si>
  <si>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</si>
  <si>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</si>
  <si>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</si>
  <si>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</si>
  <si>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</si>
  <si>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</si>
  <si>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</si>
  <si>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</si>
  <si>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</si>
  <si>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</si>
  <si>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</si>
  <si>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</si>
  <si>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</si>
  <si>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</si>
  <si>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</si>
  <si>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</si>
  <si>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</si>
  <si>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</si>
  <si>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</si>
  <si>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</si>
  <si>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</si>
  <si>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</si>
  <si>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</si>
  <si>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</si>
  <si>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</si>
  <si>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</si>
  <si>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</si>
  <si>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</si>
  <si>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</si>
  <si>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</si>
  <si>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</si>
  <si>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</si>
  <si>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</si>
  <si>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</si>
  <si>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</si>
  <si>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Address: Sabzazaar</t>
  </si>
  <si>
    <t>Invoice No # :4512348</t>
  </si>
  <si>
    <t>Address: Barki Road</t>
  </si>
  <si>
    <t>Address: Shaikhpura</t>
  </si>
  <si>
    <t>NTN #: 8316307-2</t>
  </si>
  <si>
    <t>Invoice No # :00012</t>
  </si>
  <si>
    <t xml:space="preserve">Address:  Gujranwala </t>
  </si>
  <si>
    <t xml:space="preserve">Address: Shadra </t>
  </si>
  <si>
    <t>Invoice No # :001242</t>
  </si>
  <si>
    <t>Invoice No # : 001245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</si>
</sst>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5" t="s">
        <v>497</v>
      </c>
      <c r="F2" s="373"/>
      <c r="G2" s="373"/>
      <c r="H2" s="373" t="s">
        <v>507</v>
      </c>
      <c r="I2" s="373"/>
      <c r="J2" s="374"/>
      <c r="R2" s="370" t="s">
        <v>506</v>
      </c>
      <c r="S2" s="371"/>
      <c r="T2" s="372"/>
    </row>
    <row r="3" spans="1:20 16377:16378" ht="21.75" customHeight="1" thickBot="1" x14ac:dyDescent="0.4">
      <c r="A3" s="383" t="s">
        <v>92</v>
      </c>
      <c r="B3" s="383"/>
      <c r="C3" s="383"/>
      <c r="E3" s="378" t="s">
        <v>498</v>
      </c>
      <c r="F3" s="379"/>
      <c r="G3" s="379"/>
      <c r="H3" s="376">
        <v>46273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Rainbow Cash &amp; Carry</v>
      </c>
      <c r="T3" s="301">
        <f>+'1'!P35</f>
        <v>26320.071561864403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13982.527653177969</v>
      </c>
      <c r="XEX4" t="s">
        <v>105</v>
      </c>
    </row>
    <row r="5" spans="1:20 16377:16378" ht="21.75" customHeight="1" thickBot="1" x14ac:dyDescent="0.4">
      <c r="A5" s="335" t="s">
        <v>51</v>
      </c>
      <c r="B5" s="336"/>
      <c r="C5" s="339" t="s">
        <v>90</v>
      </c>
      <c r="D5" s="115" t="s">
        <v>52</v>
      </c>
      <c r="E5" s="341" t="s">
        <v>58</v>
      </c>
      <c r="F5" s="342"/>
      <c r="G5" s="343" t="s">
        <v>54</v>
      </c>
      <c r="H5" s="344"/>
      <c r="I5" s="345" t="s">
        <v>77</v>
      </c>
      <c r="J5" s="381" t="s">
        <v>55</v>
      </c>
      <c r="K5" s="343"/>
      <c r="L5" s="344"/>
      <c r="M5" s="336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34380.591404872881</v>
      </c>
      <c r="XEX5" t="s">
        <v>106</v>
      </c>
    </row>
    <row r="6" spans="1:20 16377:16378" ht="21.75" customHeight="1" thickBot="1" x14ac:dyDescent="0.4">
      <c r="A6" s="337"/>
      <c r="B6" s="338"/>
      <c r="C6" s="34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6"/>
      <c r="J6" s="143" t="s">
        <v>59</v>
      </c>
      <c r="K6" s="144" t="s">
        <v>39</v>
      </c>
      <c r="L6" s="145" t="s">
        <v>493</v>
      </c>
      <c r="M6" s="338"/>
      <c r="N6" s="34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31.918090042372881</v>
      </c>
      <c r="P7" s="118">
        <f>M7+N7+O7</f>
        <v>6415.5360985169482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31.918090042372881</v>
      </c>
      <c r="P8" s="119">
        <f t="shared" ref="P8:P15" si="2">M8+N8+O8</f>
        <v>6415.5360985169482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119">
        <f t="shared" si="2"/>
        <v>8554.0481313559321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360</v>
      </c>
      <c r="I10" s="236">
        <f t="shared" si="0"/>
        <v>26150.400000000001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3661.0560000000005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915.26400000000012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21574.080000000002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4942.3728813559319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132.58226440677964</v>
      </c>
      <c r="P10" s="119">
        <f t="shared" si="2"/>
        <v>26649.035145762715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2440.7040000000002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610.17600000000004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14382.719999999998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88.388176271186438</v>
      </c>
      <c r="P11" s="119">
        <f t="shared" si="2"/>
        <v>17766.02343050847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44.194088135593219</v>
      </c>
      <c r="P12" s="119">
        <f t="shared" si="2"/>
        <v>8883.0117152542352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7"/>
      <c r="C16" s="347" t="s">
        <v>40</v>
      </c>
      <c r="D16" s="347"/>
      <c r="E16" s="347"/>
      <c r="F16" s="348"/>
      <c r="G16" s="117">
        <f t="shared" ref="G16:M16" si="3">SUM(G7:G15)</f>
        <v>0</v>
      </c>
      <c r="H16" s="113">
        <f t="shared" si="3"/>
        <v>1120</v>
      </c>
      <c r="I16" s="114">
        <f t="shared" si="3"/>
        <v>73285.8</v>
      </c>
      <c r="J16" s="274">
        <f>SUM(J7:J15)</f>
        <v>10260.012000000002</v>
      </c>
      <c r="K16" s="275">
        <f t="shared" si="3"/>
        <v>2565.0030000000006</v>
      </c>
      <c r="L16" s="276">
        <f t="shared" si="3"/>
        <v>0</v>
      </c>
      <c r="M16" s="232">
        <f t="shared" si="3"/>
        <v>60460.785000000003</v>
      </c>
      <c r="N16" s="233">
        <f>SUM(N7:N15)</f>
        <v>13850.847457627118</v>
      </c>
      <c r="O16" s="101">
        <f>SUM(O7:O15)</f>
        <v>371.55816228813558</v>
      </c>
      <c r="P16" s="234">
        <f>SUM(P7:P15)</f>
        <v>74683.190619915258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9" t="s">
        <v>64</v>
      </c>
      <c r="C19" s="350"/>
      <c r="D19" s="350"/>
      <c r="E19" s="350"/>
      <c r="F19" s="350"/>
      <c r="G19" s="350"/>
      <c r="H19" s="350"/>
      <c r="I19" s="350"/>
      <c r="J19" s="350"/>
      <c r="K19" s="350"/>
      <c r="L19" s="351"/>
      <c r="N19" s="358" t="s">
        <v>60</v>
      </c>
      <c r="O19" s="359"/>
      <c r="P19" s="139">
        <f>I16</f>
        <v>73285.8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2"/>
      <c r="C20" s="353"/>
      <c r="D20" s="353"/>
      <c r="E20" s="353"/>
      <c r="F20" s="353"/>
      <c r="G20" s="353"/>
      <c r="H20" s="353"/>
      <c r="I20" s="353"/>
      <c r="J20" s="353"/>
      <c r="K20" s="353"/>
      <c r="L20" s="354"/>
      <c r="N20" s="360" t="s">
        <v>85</v>
      </c>
      <c r="O20" s="361"/>
      <c r="P20" s="140">
        <f>+J16</f>
        <v>10260.012000000002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N21" s="360" t="s">
        <v>86</v>
      </c>
      <c r="O21" s="361"/>
      <c r="P21" s="140">
        <f>+K16+L16</f>
        <v>2565.0030000000006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2"/>
      <c r="C22" s="353"/>
      <c r="D22" s="353"/>
      <c r="E22" s="353"/>
      <c r="F22" s="353"/>
      <c r="G22" s="353"/>
      <c r="H22" s="353"/>
      <c r="I22" s="353"/>
      <c r="J22" s="353"/>
      <c r="K22" s="353"/>
      <c r="L22" s="354"/>
      <c r="M22" s="131"/>
      <c r="N22" s="360" t="s">
        <v>87</v>
      </c>
      <c r="O22" s="361"/>
      <c r="P22" s="140">
        <f>P19-P20-P21</f>
        <v>60460.785000000003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2"/>
      <c r="C23" s="353"/>
      <c r="D23" s="353"/>
      <c r="E23" s="353"/>
      <c r="F23" s="353"/>
      <c r="G23" s="353"/>
      <c r="H23" s="353"/>
      <c r="I23" s="353"/>
      <c r="J23" s="353"/>
      <c r="K23" s="353"/>
      <c r="L23" s="354"/>
      <c r="M23" s="131"/>
      <c r="N23" s="136" t="s">
        <v>61</v>
      </c>
      <c r="O23" s="133">
        <v>0.18</v>
      </c>
      <c r="P23" s="140">
        <f>+N16</f>
        <v>13850.847457627118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2"/>
      <c r="C24" s="353"/>
      <c r="D24" s="353"/>
      <c r="E24" s="353"/>
      <c r="F24" s="353"/>
      <c r="G24" s="353"/>
      <c r="H24" s="353"/>
      <c r="I24" s="353"/>
      <c r="J24" s="353"/>
      <c r="K24" s="353"/>
      <c r="L24" s="354"/>
      <c r="M24" s="131"/>
      <c r="N24" s="362" t="s">
        <v>76</v>
      </c>
      <c r="O24" s="363"/>
      <c r="P24" s="140">
        <f>P22+P23</f>
        <v>74311.632457627129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5"/>
      <c r="C25" s="356"/>
      <c r="D25" s="356"/>
      <c r="E25" s="356"/>
      <c r="F25" s="356"/>
      <c r="G25" s="356"/>
      <c r="H25" s="356"/>
      <c r="I25" s="356"/>
      <c r="J25" s="356"/>
      <c r="K25" s="356"/>
      <c r="L25" s="357"/>
      <c r="M25" s="99"/>
      <c r="N25" s="138" t="s">
        <v>83</v>
      </c>
      <c r="O25" s="137" t="e">
        <f>IF(#REF!="Filer",0.5%,2.5%)</f>
        <v>#REF!</v>
      </c>
      <c r="P25" s="140">
        <f>+O16</f>
        <v>371.55816228813558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4" t="s">
        <v>88</v>
      </c>
      <c r="O26" s="365"/>
      <c r="P26" s="297">
        <f>+P24+P25</f>
        <v>74683.190619915258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6"/>
      <c r="D27" s="366"/>
      <c r="E27" s="366"/>
      <c r="F27" s="366"/>
      <c r="G27" s="366"/>
      <c r="H27" s="366"/>
      <c r="I27" s="367"/>
      <c r="J27" s="368"/>
      <c r="K27" s="369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74683.190619915258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516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46282</v>
      </c>
      <c r="O5" s="383"/>
      <c r="P5" s="383"/>
      <c r="R5" s="85"/>
      <c r="S5" s="266"/>
    </row>
    <row r="6" spans="1:22 16383:16384" ht="17.2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306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25827.599999999999</v>
      </c>
      <c r="J25" s="274">
        <f>SUM(J16:J24)</f>
        <v>3615.8640000000005</v>
      </c>
      <c r="K25" s="275">
        <f t="shared" si="10"/>
        <v>903.96600000000012</v>
      </c>
      <c r="L25" s="276">
        <f t="shared" si="10"/>
        <v>0</v>
      </c>
      <c r="M25" s="232">
        <f t="shared" si="10"/>
        <v>21307.769999999997</v>
      </c>
      <c r="N25" s="233">
        <f>SUM(N16:N24)</f>
        <v>4881.3559322033898</v>
      </c>
      <c r="O25" s="101">
        <f>SUM(O16:O24)</f>
        <v>130.94562966101694</v>
      </c>
      <c r="P25" s="234">
        <f>SUM(P16:P24)</f>
        <v>26320.071561864403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25827.599999999999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3615.8640000000005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903.96600000000012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21307.769999999997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4881.3559322033898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26189.125932203387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130.94562966101694</v>
      </c>
    </row>
    <row r="35" spans="2:16" ht="15.75" customHeight="1" thickBot="1" x14ac:dyDescent="0.4">
      <c r="N35" s="364" t="s">
        <v>88</v>
      </c>
      <c r="O35" s="365"/>
      <c r="P35" s="297">
        <f>+P33+P34</f>
        <v>26320.071561864403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519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46282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517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200</v>
      </c>
      <c r="I25" s="114">
        <f t="shared" si="7"/>
        <v>13720.900000000001</v>
      </c>
      <c r="J25" s="274">
        <f>SUM(J16:J24)</f>
        <v>1920.9260000000004</v>
      </c>
      <c r="K25" s="275">
        <f t="shared" si="7"/>
        <v>480.2315000000001</v>
      </c>
      <c r="L25" s="276">
        <f t="shared" si="7"/>
        <v>0</v>
      </c>
      <c r="M25" s="232">
        <f t="shared" si="7"/>
        <v>11319.7425</v>
      </c>
      <c r="N25" s="233">
        <f>SUM(N16:N24)</f>
        <v>2593.2203389830511</v>
      </c>
      <c r="O25" s="101">
        <f>SUM(O16:O24)</f>
        <v>69.564814194915243</v>
      </c>
      <c r="P25" s="234">
        <f>SUM(P16:P24)</f>
        <v>13982.527653177964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13720.900000000001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1920.9260000000004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480.2315000000001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11319.742500000002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2593.2203389830511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13912.962838983054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69.564814194915272</v>
      </c>
    </row>
    <row r="35" spans="2:16" ht="15.75" customHeight="1" thickBot="1" x14ac:dyDescent="0.4">
      <c r="N35" s="364" t="s">
        <v>88</v>
      </c>
      <c r="O35" s="365"/>
      <c r="P35" s="297">
        <f>+P33+P34</f>
        <v>13982.527653177969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520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46282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518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119">
        <f t="shared" si="5"/>
        <v>14805.019525423728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520</v>
      </c>
      <c r="I25" s="114">
        <f t="shared" si="7"/>
        <v>33737.300000000003</v>
      </c>
      <c r="J25" s="274">
        <f>SUM(J16:J24)</f>
        <v>4723.2220000000007</v>
      </c>
      <c r="K25" s="275">
        <f t="shared" si="7"/>
        <v>1180.8055000000002</v>
      </c>
      <c r="L25" s="276">
        <f t="shared" si="7"/>
        <v>0</v>
      </c>
      <c r="M25" s="232">
        <f t="shared" si="7"/>
        <v>27833.272499999995</v>
      </c>
      <c r="N25" s="233">
        <f>SUM(N16:N24)</f>
        <v>6376.2711864406774</v>
      </c>
      <c r="O25" s="101">
        <f>SUM(O16:O24)</f>
        <v>171.0477184322034</v>
      </c>
      <c r="P25" s="234">
        <f>SUM(P16:P24)</f>
        <v>34380.591404872881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33737.300000000003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4723.2220000000007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1180.8055000000002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27833.272500000003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6376.2711864406774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34209.54368644068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171.0477184322034</v>
      </c>
    </row>
    <row r="35" spans="2:16" ht="15.75" customHeight="1" thickBot="1" x14ac:dyDescent="0.4">
      <c r="N35" s="364" t="s">
        <v>88</v>
      </c>
      <c r="O35" s="365"/>
      <c r="P35" s="297">
        <f>+P33+P34</f>
        <v>34380.591404872881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512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46272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42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42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42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42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42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9"/>
      <c r="S27" s="310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  <c r="Q28" s="309"/>
      <c r="S28" s="310"/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  <c r="Q29" s="309"/>
      <c r="S29" s="310"/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  <c r="Q30" s="309"/>
      <c r="S30" s="310"/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  <c r="Q31" s="309"/>
      <c r="S31" s="310"/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  <c r="Q32" s="309"/>
      <c r="S32" s="310"/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510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46272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46271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511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08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499</v>
      </c>
      <c r="B4" s="383"/>
      <c r="C4" s="383"/>
      <c r="F4" s="85"/>
      <c r="G4" s="1"/>
      <c r="K4" s="384" t="s">
        <v>44</v>
      </c>
      <c r="L4" s="384"/>
      <c r="M4" s="384"/>
      <c r="N4" s="387">
        <v>46259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46258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509</v>
      </c>
      <c r="B7" s="384"/>
      <c r="C7" s="384"/>
      <c r="F7" s="85"/>
      <c r="G7" s="86"/>
      <c r="K7" s="384" t="s">
        <v>66</v>
      </c>
      <c r="L7" s="384"/>
      <c r="M7" s="384"/>
      <c r="N7" s="386" t="s">
        <v>505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505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46283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46282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5" t="s">
        <v>51</v>
      </c>
      <c r="B14" s="336"/>
      <c r="C14" s="339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4"/>
      <c r="I14" s="345" t="s">
        <v>77</v>
      </c>
      <c r="J14" s="343" t="s">
        <v>55</v>
      </c>
      <c r="K14" s="344"/>
      <c r="L14" s="34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7"/>
      <c r="B15" s="338"/>
      <c r="C15" s="34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6"/>
      <c r="J15" s="144" t="s">
        <v>39</v>
      </c>
      <c r="K15" s="145" t="s">
        <v>59</v>
      </c>
      <c r="L15" s="34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58" t="s">
        <v>60</v>
      </c>
      <c r="N28" s="359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60" t="s">
        <v>85</v>
      </c>
      <c r="N29" s="361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60" t="s">
        <v>86</v>
      </c>
      <c r="N30" s="361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60" t="s">
        <v>87</v>
      </c>
      <c r="N31" s="361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62" t="s">
        <v>76</v>
      </c>
      <c r="N33" s="363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4" t="s">
        <v>88</v>
      </c>
      <c r="N35" s="365"/>
      <c r="O35" s="141">
        <f>O28-O29+O31+O34</f>
        <v>2897.511536</v>
      </c>
    </row>
    <row r="36" spans="2:15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8" t="s">
        <v>58</v>
      </c>
      <c r="F7" s="398"/>
      <c r="G7" s="399" t="s">
        <v>440</v>
      </c>
      <c r="H7" s="328"/>
      <c r="I7" s="329" t="s">
        <v>441</v>
      </c>
      <c r="J7" s="330"/>
      <c r="K7" s="329" t="s">
        <v>442</v>
      </c>
      <c r="L7" s="330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2026-09-17T11:14:10Z</dcterms:modified>
</cp:coreProperties>
</file>