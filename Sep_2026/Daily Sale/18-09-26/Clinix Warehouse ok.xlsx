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4E84358C-03B1-4824-82CB-4E6EC7425263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<sst xmlns="http://schemas.openxmlformats.org/spreadsheetml/2006/main" count="3913" uniqueCount="519">
  <si>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</si>
  <si>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</si>
  <si>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</si>
  <si>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</si>
  <si>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</si>
  <si>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</si>
  <si>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</si>
  <si>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</si>
  <si>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</si>
  <si>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</si>
  <si>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</si>
  <si>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</si>
  <si>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</si>
  <si>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</si>
  <si>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</si>
  <si>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</si>
  <si>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</si>
  <si>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</si>
  <si>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</si>
  <si>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</si>
  <si>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</si>
  <si>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</si>
  <si>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</si>
  <si>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</si>
  <si>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</si>
  <si>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</si>
  <si>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</si>
  <si>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</si>
  <si>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</si>
  <si>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</si>
  <si>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</si>
  <si>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</si>
  <si>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</si>
  <si>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</si>
  <si>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</si>
  <si>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</si>
  <si>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</si>
  <si>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</si>
  <si>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</si>
  <si>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</si>
  <si>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</si>
  <si>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</si>
  <si>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</si>
  <si>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</si>
  <si>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</si>
  <si>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</si>
  <si>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</si>
  <si>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</si>
  <si>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</si>
  <si>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</si>
  <si>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</si>
  <si>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</si>
  <si>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</si>
  <si>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</si>
  <si>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</si>
  <si>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</si>
  <si>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</si>
  <si>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</si>
  <si>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</si>
  <si>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</si>
  <si>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</si>
  <si>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</si>
  <si>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</si>
  <si>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</si>
  <si>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</si>
  <si>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</si>
  <si>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</si>
  <si>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</si>
  <si>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</si>
  <si>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</si>
  <si>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</si>
  <si>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</si>
  <si>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</si>
  <si>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</si>
  <si>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</si>
  <si>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</si>
  <si>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</si>
  <si>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</si>
  <si>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</si>
  <si>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</si>
  <si>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</si>
  <si>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</si>
  <si>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</si>
  <si>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</si>
  <si>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</si>
  <si>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</si>
  <si>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</si>
  <si>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</si>
  <si>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</si>
  <si>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</si>
  <si>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</si>
  <si>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</si>
  <si>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</si>
  <si>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</si>
  <si>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</si>
  <si>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</si>
  <si>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</si>
  <si>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</si>
  <si>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</si>
  <si>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</si>
  <si>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</si>
  <si>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</si>
  <si>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</si>
  <si>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</si>
  <si>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</si>
  <si>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</si>
  <si>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</si>
  <si>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</si>
  <si>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</si>
  <si>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</si>
  <si>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</si>
  <si>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</si>
  <si>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</si>
  <si>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</si>
  <si>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</si>
  <si>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</si>
  <si>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</si>
  <si>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</si>
  <si>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</si>
  <si>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</si>
  <si>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</si>
  <si>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</si>
  <si>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</si>
  <si>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</si>
  <si>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</si>
  <si>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</si>
  <si>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</si>
  <si>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</si>
  <si>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</si>
  <si>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</si>
  <si>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</si>
  <si>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</si>
  <si>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</si>
  <si>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</si>
  <si>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</si>
  <si>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</si>
  <si>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</si>
  <si>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</si>
  <si>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</si>
  <si>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</si>
  <si>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</si>
  <si>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</si>
  <si>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</si>
  <si>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</si>
  <si>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</si>
  <si>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</si>
  <si>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</si>
  <si>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</si>
  <si>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</si>
  <si>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</si>
  <si>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</si>
  <si>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</si>
  <si>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</si>
  <si>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</si>
  <si>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</si>
  <si>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</si>
  <si>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</si>
  <si>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</si>
  <si>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</si>
  <si>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</si>
  <si>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</si>
  <si>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</si>
  <si>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</si>
  <si>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</si>
  <si>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</si>
  <si>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</si>
  <si>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</si>
  <si>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</si>
  <si>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</si>
  <si>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</si>
  <si>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</si>
  <si>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</si>
  <si>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</si>
  <si>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</si>
  <si>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</si>
  <si>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</si>
  <si>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</si>
  <si>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</si>
  <si>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</si>
  <si>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</si>
  <si>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</si>
  <si>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</si>
  <si>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</si>
  <si>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</si>
  <si>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</si>
  <si>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</si>
  <si>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</si>
  <si>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</si>
  <si>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</si>
  <si>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</si>
  <si>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</si>
  <si>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</si>
  <si>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</si>
  <si>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</si>
  <si>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</si>
  <si>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</si>
  <si>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</si>
  <si>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</si>
  <si>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</si>
  <si>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</si>
  <si>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</si>
  <si>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</si>
  <si>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</si>
  <si>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</si>
  <si>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</si>
  <si>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</si>
  <si>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</si>
  <si>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</si>
  <si>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</si>
  <si>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</si>
  <si>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</si>
  <si>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</si>
  <si>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</si>
  <si>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</si>
  <si>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</si>
  <si>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</si>
  <si>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</si>
  <si>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</si>
  <si>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</si>
  <si>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</si>
  <si>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</si>
  <si>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</si>
  <si>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</si>
  <si>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</si>
  <si>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</si>
  <si>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</si>
  <si>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</si>
  <si>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</si>
  <si>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</si>
  <si>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</si>
  <si>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</si>
  <si>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</si>
  <si>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</si>
  <si>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</si>
  <si>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</si>
  <si>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</si>
  <si>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</si>
  <si>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</si>
  <si>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</si>
  <si>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</si>
  <si>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</si>
  <si>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</si>
  <si>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</si>
  <si>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</si>
  <si>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</si>
  <si>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</si>
  <si>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</si>
  <si>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</si>
  <si>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</si>
  <si>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</si>
  <si>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</si>
  <si>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</si>
  <si>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</si>
  <si>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</si>
  <si>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</si>
  <si>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</si>
  <si>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</si>
  <si>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</si>
  <si>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</si>
  <si>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</si>
  <si>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</si>
  <si>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</si>
  <si>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</si>
  <si>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</si>
  <si>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</si>
  <si>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</si>
  <si>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</si>
  <si>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</si>
  <si>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</si>
  <si>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</si>
  <si>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</si>
  <si>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</si>
  <si>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</si>
  <si>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</si>
  <si>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</si>
  <si>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</si>
  <si>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</si>
  <si>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</si>
  <si>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</si>
  <si>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</si>
  <si>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</si>
  <si>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</si>
  <si>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</si>
  <si>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</si>
  <si>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</si>
  <si>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</si>
  <si>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</si>
  <si>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</si>
  <si>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</si>
  <si>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</si>
  <si>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</si>
  <si>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</si>
  <si>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</si>
  <si>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</si>
  <si>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</si>
  <si>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</si>
  <si>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</si>
  <si>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</si>
  <si>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</si>
  <si>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</si>
  <si>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</si>
  <si>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</si>
  <si>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</si>
  <si>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</si>
  <si>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</si>
  <si>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</si>
  <si>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</si>
  <si>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</si>
  <si>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</si>
  <si>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</si>
  <si>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</si>
  <si>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</si>
  <si>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</si>
  <si>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</si>
  <si>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</si>
  <si>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</si>
  <si>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</si>
  <si>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</si>
  <si>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</si>
  <si>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</si>
  <si>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</si>
  <si>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</si>
  <si>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</si>
  <si>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</si>
  <si>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</si>
  <si>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</si>
  <si>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</si>
  <si>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</si>
  <si>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</si>
  <si>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</si>
  <si>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</si>
  <si>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</si>
  <si>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</si>
  <si>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</si>
  <si>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</si>
  <si>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</si>
  <si>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</si>
  <si>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</si>
  <si>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</si>
  <si>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</si>
  <si>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</si>
  <si>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</si>
  <si>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</si>
  <si>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</si>
  <si>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</si>
  <si>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</si>
  <si>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</si>
  <si>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</si>
  <si>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</si>
  <si>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</si>
  <si>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</si>
  <si>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</si>
  <si>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</si>
  <si>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</si>
  <si>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</si>
  <si>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</si>
  <si>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</si>
  <si>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</si>
  <si>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</si>
  <si>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</si>
  <si>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</si>
  <si>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</si>
  <si>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</si>
  <si>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</si>
  <si>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</si>
  <si>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</si>
  <si>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</si>
  <si>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</si>
  <si>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</si>
  <si>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</si>
  <si>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</si>
  <si>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</si>
  <si>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</si>
  <si>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</si>
  <si>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</si>
  <si>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</si>
  <si>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</si>
  <si>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</si>
  <si>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</si>
  <si>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</si>
  <si>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</si>
  <si>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</si>
  <si>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</si>
  <si>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</si>
  <si>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</si>
  <si>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</si>
  <si>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</si>
  <si>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</si>
  <si>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</si>
  <si>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</si>
  <si>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</si>
  <si>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</si>
  <si>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</si>
  <si>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</si>
  <si>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</si>
  <si>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</si>
  <si>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</si>
  <si>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</si>
  <si>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</si>
  <si>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</si>
  <si>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</si>
  <si>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</si>
  <si>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</si>
  <si>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</si>
  <si>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</si>
  <si>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</si>
  <si>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</si>
  <si>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</si>
  <si>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</si>
  <si>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</si>
  <si>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</si>
  <si>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</si>
  <si>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</si>
  <si>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</si>
  <si>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</si>
  <si>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</si>
  <si>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</si>
  <si>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</si>
  <si>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</si>
  <si>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</si>
  <si>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</si>
  <si>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</si>
  <si>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</si>
  <si>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</si>
  <si>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</si>
  <si>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</si>
  <si>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</si>
  <si>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</si>
  <si>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</si>
  <si>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</si>
  <si>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</si>
  <si>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</si>
  <si>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</si>
  <si>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</si>
  <si>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</si>
  <si>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</si>
  <si>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</si>
  <si>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</si>
  <si>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</si>
  <si>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</si>
  <si>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</si>
  <si>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</si>
  <si>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</si>
  <si>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</si>
  <si>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</si>
  <si>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</si>
  <si>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</si>
  <si>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</si>
  <si>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</si>
  <si>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</si>
  <si>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</si>
  <si>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</si>
  <si>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</si>
  <si>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</si>
  <si>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</si>
  <si>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</si>
  <si>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</si>
  <si>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</si>
  <si>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</si>
  <si>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</si>
  <si>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</si>
  <si>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</si>
  <si>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</si>
  <si>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</si>
  <si>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</si>
  <si>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</si>
  <si>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</si>
  <si>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</si>
  <si>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</si>
  <si>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</si>
  <si>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</si>
  <si>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</si>
  <si>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</si>
  <si>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</si>
  <si>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</si>
  <si>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</si>
  <si>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</si>
  <si>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</si>
  <si>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</si>
  <si>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</si>
  <si>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</si>
  <si>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</si>
  <si>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</si>
  <si>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</si>
  <si>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</si>
  <si>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</si>
  <si>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</si>
  <si>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</si>
  <si>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</si>
  <si>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</si>
  <si>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</si>
  <si>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</si>
  <si>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</si>
  <si>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</si>
  <si>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</si>
  <si>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</si>
  <si>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</si>
  <si>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</si>
  <si>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</si>
  <si>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</si>
  <si>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</si>
  <si>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</si>
  <si>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</si>
  <si>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</si>
  <si>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</si>
  <si>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</si>
  <si>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</si>
  <si>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</si>
  <si>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</si>
  <si>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</si>
  <si>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</si>
  <si>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</si>
  <si>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</si>
  <si>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</si>
  <si>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</si>
  <si>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</si>
  <si>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Address:Multan Road</t>
  </si>
  <si>
    <t>Shakoor</t>
  </si>
  <si>
    <t>Invoice No # :0000451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</si>
</sst>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517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46283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57497.271688220331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503.64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5571.5174999999999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33.80674004237288</v>
      </c>
      <c r="P9" s="119">
        <f t="shared" si="2"/>
        <v>6795.1547485169476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1162.24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12857.28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78.015213559322035</v>
      </c>
      <c r="P10" s="119">
        <f t="shared" si="2"/>
        <v>15681.057925423729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160</v>
      </c>
      <c r="I11" s="236">
        <f t="shared" si="0"/>
        <v>11622.4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929.79200000000003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406.78400000000005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10285.824000000001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2196.6101694915255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62.412170847457631</v>
      </c>
      <c r="P11" s="119">
        <f t="shared" si="2"/>
        <v>12544.846340338983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1162.24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12857.28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78.015213559322035</v>
      </c>
      <c r="P12" s="119">
        <f t="shared" si="2"/>
        <v>15681.057925423729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800</v>
      </c>
      <c r="I16" s="114">
        <f t="shared" si="3"/>
        <v>53269.4</v>
      </c>
      <c r="J16" s="274">
        <f>SUM(J7:J15)</f>
        <v>4261.5519999999997</v>
      </c>
      <c r="K16" s="275">
        <f t="shared" si="3"/>
        <v>1864.4290000000003</v>
      </c>
      <c r="L16" s="276">
        <f t="shared" si="3"/>
        <v>0</v>
      </c>
      <c r="M16" s="232">
        <f t="shared" si="3"/>
        <v>47143.419000000002</v>
      </c>
      <c r="N16" s="233">
        <f>SUM(N7:N15)</f>
        <v>10067.796610169491</v>
      </c>
      <c r="O16" s="101">
        <f>SUM(O7:O15)</f>
        <v>286.05607805084747</v>
      </c>
      <c r="P16" s="234">
        <f>SUM(P7:P15)</f>
        <v>57497.271688220339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53269.4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4261.5519999999997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1864.4290000000003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47143.418999999994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10067.796610169491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57211.215610169485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286.05607805084747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57497.271688220331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57497.271688220331</v>
      </c>
    </row>
    <row r="44" spans="2:20" x14ac:dyDescent="0.35">
      <c r="B44" t="s">
        <v>507</v>
      </c>
    </row>
    <row r="45" spans="2:20" x14ac:dyDescent="0.35">
      <c r="B45" t="s">
        <v>508</v>
      </c>
    </row>
    <row r="46" spans="2:20" x14ac:dyDescent="0.35">
      <c r="B46" t="s">
        <v>509</v>
      </c>
    </row>
    <row r="47" spans="2:20" x14ac:dyDescent="0.35">
      <c r="B47" t="s">
        <v>510</v>
      </c>
    </row>
    <row r="48" spans="2:20" x14ac:dyDescent="0.35">
      <c r="B48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XFD38"/>
  <sheetViews>
    <sheetView tabSelected="1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518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46283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46282</v>
      </c>
      <c r="O5" s="383"/>
      <c r="P5" s="383"/>
      <c r="R5" s="85"/>
      <c r="S5" s="266"/>
    </row>
    <row r="6" spans="1:22 16383:16384" ht="17.2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1162.24</v>
      </c>
      <c r="K19" s="128">
        <f t="shared" si="1"/>
        <v>508.48000000000008</v>
      </c>
      <c r="L19" s="119">
        <f t="shared" si="1"/>
        <v>0</v>
      </c>
      <c r="M19" s="230">
        <f t="shared" si="2"/>
        <v>12857.28</v>
      </c>
      <c r="N19" s="277">
        <f t="shared" si="3"/>
        <v>2745.7627118644068</v>
      </c>
      <c r="O19" s="239">
        <f t="shared" si="4"/>
        <v>78.015213559322035</v>
      </c>
      <c r="P19" s="119">
        <f t="shared" si="5"/>
        <v>15681.057925423729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160</v>
      </c>
      <c r="I20" s="236">
        <f t="shared" si="7"/>
        <v>11622.4</v>
      </c>
      <c r="J20" s="272">
        <f t="shared" si="1"/>
        <v>929.79200000000003</v>
      </c>
      <c r="K20" s="128">
        <f t="shared" si="1"/>
        <v>406.78400000000005</v>
      </c>
      <c r="L20" s="119">
        <f t="shared" si="1"/>
        <v>0</v>
      </c>
      <c r="M20" s="230">
        <f t="shared" si="2"/>
        <v>10285.824000000001</v>
      </c>
      <c r="N20" s="277">
        <f t="shared" si="3"/>
        <v>2196.6101694915255</v>
      </c>
      <c r="O20" s="239">
        <f t="shared" si="4"/>
        <v>62.412170847457631</v>
      </c>
      <c r="P20" s="119">
        <f t="shared" si="5"/>
        <v>12544.846340338983</v>
      </c>
      <c r="R20">
        <f>P20/21</f>
        <v>597.37363525423734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1162.24</v>
      </c>
      <c r="K21" s="128">
        <f t="shared" si="1"/>
        <v>508.48000000000008</v>
      </c>
      <c r="L21" s="119">
        <f t="shared" si="1"/>
        <v>0</v>
      </c>
      <c r="M21" s="230">
        <f t="shared" si="2"/>
        <v>12857.28</v>
      </c>
      <c r="N21" s="277">
        <f t="shared" si="3"/>
        <v>2745.7627118644068</v>
      </c>
      <c r="O21" s="239">
        <f t="shared" si="4"/>
        <v>78.015213559322035</v>
      </c>
      <c r="P21" s="119">
        <f t="shared" si="5"/>
        <v>15681.057925423729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800</v>
      </c>
      <c r="I25" s="114">
        <f t="shared" ref="I25:M25" si="10">SUM(I16:I24)</f>
        <v>53269.4</v>
      </c>
      <c r="J25" s="274">
        <f>SUM(J16:J24)</f>
        <v>4261.5519999999997</v>
      </c>
      <c r="K25" s="275">
        <f t="shared" si="10"/>
        <v>1864.4290000000003</v>
      </c>
      <c r="L25" s="276">
        <f t="shared" si="10"/>
        <v>0</v>
      </c>
      <c r="M25" s="232">
        <f t="shared" si="10"/>
        <v>47143.419000000002</v>
      </c>
      <c r="N25" s="233">
        <f>SUM(N16:N24)</f>
        <v>10067.796610169491</v>
      </c>
      <c r="O25" s="101">
        <f>SUM(O16:O24)</f>
        <v>286.05607805084747</v>
      </c>
      <c r="P25" s="234">
        <f>SUM(P16:P24)</f>
        <v>57497.271688220339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53269.4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4261.5519999999997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1864.4290000000003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47143.418999999994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10067.796610169491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57211.215610169485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286.05607805084742</v>
      </c>
    </row>
    <row r="35" spans="2:16" ht="15.75" customHeight="1" thickBot="1" x14ac:dyDescent="0.4">
      <c r="N35" s="363" t="s">
        <v>88</v>
      </c>
      <c r="O35" s="364"/>
      <c r="P35" s="297">
        <f>+P33+P34</f>
        <v>57497.271688220331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506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46296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46295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515</v>
      </c>
      <c r="B7" s="384"/>
      <c r="C7" s="384"/>
      <c r="F7" s="85"/>
      <c r="G7" s="86"/>
      <c r="K7" s="384" t="s">
        <v>66</v>
      </c>
      <c r="L7" s="384"/>
      <c r="M7" s="384"/>
      <c r="N7" s="386" t="s">
        <v>512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512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46296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46295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2026-09-30T07:56:55Z</dcterms:modified>
</cp:coreProperties>
</file>