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12AC290-15C7-43F0-A258-1F20E6367BE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K12" i="62"/>
  <c r="M21" i="52"/>
  <c r="O21" i="52" s="1"/>
  <c r="P21" i="52" s="1"/>
  <c r="M21" i="51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<sst xmlns="http://schemas.openxmlformats.org/spreadsheetml/2006/main" count="3948" uniqueCount="528">
  <si>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</si>
  <si>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</si>
  <si>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</si>
  <si>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</si>
  <si>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</si>
  <si>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</si>
  <si>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</si>
  <si>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</si>
  <si>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</si>
  <si>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</si>
  <si>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</si>
  <si>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</si>
  <si>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</si>
  <si>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</si>
  <si>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</si>
  <si>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</si>
  <si>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</si>
  <si>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</si>
  <si>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</si>
  <si>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</si>
  <si>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</si>
  <si>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</si>
  <si>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</si>
  <si>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</si>
  <si>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</si>
  <si>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</si>
  <si>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</si>
  <si>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</si>
  <si>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</si>
  <si>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</si>
  <si>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</si>
  <si>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</si>
  <si>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</si>
  <si>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</si>
  <si>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</si>
  <si>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</si>
  <si>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</si>
  <si>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</si>
  <si>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</si>
  <si>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</si>
  <si>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</si>
  <si>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</si>
  <si>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</si>
  <si>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</si>
  <si>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</si>
  <si>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</si>
  <si>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</si>
  <si>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</si>
  <si>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</si>
  <si>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</si>
  <si>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</si>
  <si>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</si>
  <si>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</si>
  <si>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</si>
  <si>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</si>
  <si>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</si>
  <si>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</si>
  <si>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</si>
  <si>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</si>
  <si>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</si>
  <si>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</si>
  <si>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</si>
  <si>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</si>
  <si>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</si>
  <si>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</si>
  <si>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</si>
  <si>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</si>
  <si>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</si>
  <si>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</si>
  <si>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</si>
  <si>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</si>
  <si>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</si>
  <si>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</si>
  <si>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</si>
  <si>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</si>
  <si>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</si>
  <si>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</si>
  <si>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</si>
  <si>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</si>
  <si>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</si>
  <si>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</si>
  <si>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</si>
  <si>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</si>
  <si>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</si>
  <si>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</si>
  <si>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</si>
  <si>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</si>
  <si>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</si>
  <si>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</si>
  <si>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</si>
  <si>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</si>
  <si>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</si>
  <si>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</si>
  <si>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</si>
  <si>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</si>
  <si>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</si>
  <si>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</si>
  <si>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</si>
  <si>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</si>
  <si>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</si>
  <si>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</si>
  <si>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</si>
  <si>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</si>
  <si>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</si>
  <si>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</si>
  <si>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</si>
  <si>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</si>
  <si>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</si>
  <si>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</si>
  <si>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</si>
  <si>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</si>
  <si>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</si>
  <si>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</si>
  <si>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</si>
  <si>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</si>
  <si>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</si>
  <si>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</si>
  <si>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</si>
  <si>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</si>
  <si>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</si>
  <si>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</si>
  <si>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</si>
  <si>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</si>
  <si>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</si>
  <si>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</si>
  <si>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</si>
  <si>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</si>
  <si>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</si>
  <si>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</si>
  <si>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</si>
  <si>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</si>
  <si>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</si>
  <si>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</si>
  <si>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</si>
  <si>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</si>
  <si>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</si>
  <si>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</si>
  <si>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</si>
  <si>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</si>
  <si>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</si>
  <si>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</si>
  <si>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</si>
  <si>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</si>
  <si>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</si>
  <si>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</si>
  <si>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</si>
  <si>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</si>
  <si>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</si>
  <si>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</si>
  <si>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</si>
  <si>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</si>
  <si>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</si>
  <si>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</si>
  <si>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</si>
  <si>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</si>
  <si>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</si>
  <si>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</si>
  <si>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</si>
  <si>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</si>
  <si>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</si>
  <si>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</si>
  <si>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</si>
  <si>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</si>
  <si>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</si>
  <si>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</si>
  <si>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</si>
  <si>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</si>
  <si>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</si>
  <si>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</si>
  <si>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</si>
  <si>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</si>
  <si>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</si>
  <si>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</si>
  <si>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</si>
  <si>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</si>
  <si>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</si>
  <si>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</si>
  <si>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</si>
  <si>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</si>
  <si>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</si>
  <si>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</si>
  <si>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</si>
  <si>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</si>
  <si>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</si>
  <si>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</si>
  <si>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</si>
  <si>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</si>
  <si>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</si>
  <si>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</si>
  <si>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</si>
  <si>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</si>
  <si>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</si>
  <si>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</si>
  <si>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</si>
  <si>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</si>
  <si>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</si>
  <si>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</si>
  <si>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</si>
  <si>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</si>
  <si>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</si>
  <si>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</si>
  <si>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</si>
  <si>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</si>
  <si>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</si>
  <si>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</si>
  <si>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</si>
  <si>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</si>
  <si>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</si>
  <si>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</si>
  <si>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</si>
  <si>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</si>
  <si>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</si>
  <si>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</si>
  <si>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</si>
  <si>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</si>
  <si>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</si>
  <si>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</si>
  <si>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</si>
  <si>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</si>
  <si>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</si>
  <si>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</si>
  <si>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</si>
  <si>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</si>
  <si>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</si>
  <si>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</si>
  <si>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</si>
  <si>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</si>
  <si>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</si>
  <si>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</si>
  <si>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</si>
  <si>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</si>
  <si>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</si>
  <si>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</si>
  <si>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</si>
  <si>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</si>
  <si>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</si>
  <si>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</si>
  <si>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</si>
  <si>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</si>
  <si>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</si>
  <si>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</si>
  <si>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</si>
  <si>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</si>
  <si>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</si>
  <si>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</si>
  <si>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</si>
  <si>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</si>
  <si>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</si>
  <si>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</si>
  <si>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</si>
  <si>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</si>
  <si>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</si>
  <si>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</si>
  <si>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</si>
  <si>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</si>
  <si>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</si>
  <si>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</si>
  <si>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</si>
  <si>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</si>
  <si>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</si>
  <si>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</si>
  <si>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</si>
  <si>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</si>
  <si>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</si>
  <si>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</si>
  <si>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</si>
  <si>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</si>
  <si>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</si>
  <si>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</si>
  <si>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</si>
  <si>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</si>
  <si>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</si>
  <si>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</si>
  <si>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</si>
  <si>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</si>
  <si>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</si>
  <si>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</si>
  <si>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</si>
  <si>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</si>
  <si>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</si>
  <si>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</si>
  <si>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</si>
  <si>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</si>
  <si>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</si>
  <si>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</si>
  <si>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</si>
  <si>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</si>
  <si>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</si>
  <si>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</si>
  <si>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</si>
  <si>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</si>
  <si>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</si>
  <si>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</si>
  <si>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</si>
  <si>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</si>
  <si>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</si>
  <si>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</si>
  <si>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</si>
  <si>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</si>
  <si>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</si>
  <si>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</si>
  <si>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</si>
  <si>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</si>
  <si>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</si>
  <si>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</si>
  <si>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</si>
  <si>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</si>
  <si>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</si>
  <si>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</si>
  <si>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</si>
  <si>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</si>
  <si>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</si>
  <si>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</si>
  <si>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</si>
  <si>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</si>
  <si>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</si>
  <si>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</si>
  <si>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</si>
  <si>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</si>
  <si>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</si>
  <si>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</si>
  <si>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</si>
  <si>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</si>
  <si>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</si>
  <si>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</si>
  <si>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</si>
  <si>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</si>
  <si>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</si>
  <si>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</si>
  <si>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</si>
  <si>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</si>
  <si>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</si>
  <si>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</si>
  <si>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</si>
  <si>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</si>
  <si>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</si>
  <si>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</si>
  <si>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</si>
  <si>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</si>
  <si>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</si>
  <si>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</si>
  <si>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</si>
  <si>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</si>
  <si>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</si>
  <si>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</si>
  <si>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</si>
  <si>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</si>
  <si>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</si>
  <si>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</si>
  <si>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</si>
  <si>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</si>
  <si>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</si>
  <si>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</si>
  <si>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</si>
  <si>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</si>
  <si>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</si>
  <si>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</si>
  <si>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</si>
  <si>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</si>
  <si>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</si>
  <si>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</si>
  <si>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</si>
  <si>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</si>
  <si>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</si>
  <si>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</si>
  <si>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</si>
  <si>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</si>
  <si>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</si>
  <si>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</si>
  <si>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</si>
  <si>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</si>
  <si>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</si>
  <si>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</si>
  <si>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</si>
  <si>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</si>
  <si>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</si>
  <si>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</si>
  <si>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</si>
  <si>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</si>
  <si>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</si>
  <si>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</si>
  <si>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</si>
  <si>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</si>
  <si>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</si>
  <si>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</si>
  <si>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</si>
  <si>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</si>
  <si>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</si>
  <si>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</si>
  <si>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</si>
  <si>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</si>
  <si>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</si>
  <si>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</si>
  <si>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</si>
  <si>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</si>
  <si>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</si>
  <si>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</si>
  <si>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</si>
  <si>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</si>
  <si>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</si>
  <si>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</si>
  <si>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</si>
  <si>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</si>
  <si>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</si>
  <si>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</si>
  <si>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</si>
  <si>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</si>
  <si>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</si>
  <si>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</si>
  <si>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</si>
  <si>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</si>
  <si>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</si>
  <si>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</si>
  <si>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</si>
  <si>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</si>
  <si>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</si>
  <si>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</si>
  <si>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</si>
  <si>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</si>
  <si>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</si>
  <si>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</si>
  <si>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</si>
  <si>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</si>
  <si>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</si>
  <si>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</si>
  <si>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</si>
  <si>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</si>
  <si>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</si>
  <si>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</si>
  <si>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</si>
  <si>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</si>
  <si>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</si>
  <si>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</si>
  <si>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</si>
  <si>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</si>
  <si>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</si>
  <si>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</si>
  <si>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</si>
  <si>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</si>
  <si>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</si>
  <si>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</si>
  <si>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</si>
  <si>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</si>
  <si>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</si>
  <si>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</si>
  <si>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</si>
  <si>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</si>
  <si>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</si>
  <si>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</si>
  <si>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</si>
  <si>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</si>
  <si>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</si>
  <si>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</si>
  <si>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</si>
  <si>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</si>
  <si>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</si>
  <si>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</si>
  <si>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</si>
  <si>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</si>
  <si>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</si>
  <si>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</si>
  <si>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</si>
  <si>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</si>
  <si>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</si>
  <si>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</si>
  <si>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</si>
  <si>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</si>
  <si>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</si>
  <si>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</si>
  <si>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</si>
  <si>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</si>
  <si>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</si>
  <si>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</si>
  <si>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</si>
  <si>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</si>
  <si>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</si>
  <si>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</si>
  <si>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</si>
  <si>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</si>
  <si>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</si>
  <si>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</si>
  <si>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</si>
  <si>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</si>
  <si>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</si>
  <si>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</si>
  <si>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</si>
  <si>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</si>
  <si>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</si>
  <si>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</si>
  <si>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</si>
  <si>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</si>
  <si>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</si>
  <si>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</si>
  <si>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</si>
  <si>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</si>
  <si>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</si>
  <si>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</si>
  <si>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</si>
  <si>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</si>
  <si>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</si>
  <si>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</si>
  <si>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</si>
  <si>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</si>
  <si>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</si>
  <si>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</si>
  <si>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</si>
  <si>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</si>
  <si>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</si>
  <si>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</si>
  <si>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</si>
  <si>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</si>
  <si>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</si>
  <si>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</si>
  <si>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</si>
  <si>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Address: Askari Market </t>
  </si>
  <si>
    <t xml:space="preserve">Express Mart </t>
  </si>
  <si>
    <t xml:space="preserve">Askari Cash &amp; carry </t>
  </si>
  <si>
    <t xml:space="preserve">Sanwal Medical </t>
  </si>
  <si>
    <t>Haider Store</t>
  </si>
  <si>
    <t>Quality Store</t>
  </si>
  <si>
    <t>Hikma Store</t>
  </si>
  <si>
    <t>Jamal Store</t>
  </si>
  <si>
    <t>Nazeer Store</t>
  </si>
  <si>
    <t>Ijaz Store</t>
  </si>
  <si>
    <t>Ihtisham Store</t>
  </si>
  <si>
    <t>Wahab Store</t>
  </si>
  <si>
    <t>Qadri Store</t>
  </si>
  <si>
    <t xml:space="preserve">Furqan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</si>
</sst>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G36" sqref="G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Express Mart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Askari Cash &amp; carry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Sanwal Medical </v>
      </c>
      <c r="T5" s="301">
        <f>+'3'!P35</f>
        <v>1359.0309497033895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Haider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Quality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44</v>
      </c>
      <c r="I8" s="236">
        <f t="shared" ref="I8:I14" si="0">(G8*D8)*F8+H8*F8</f>
        <v>2308.35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184.66800000000001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80.792249999999996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2042.8897499999998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436.27118644067775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12.395804682203391</v>
      </c>
      <c r="P8" s="311">
        <f t="shared" ref="P8:P15" si="2">M8+N8+O8</f>
        <v>2491.5567411228812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Hikma Store</v>
      </c>
      <c r="T8" s="301">
        <f>+'6'!P35</f>
        <v>2822.5904265762711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</v>
      </c>
      <c r="I9" s="236">
        <f t="shared" si="0"/>
        <v>3357.6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268.608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117.51600000000001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2971.4759999999997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634.57627118644041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18.030261355932204</v>
      </c>
      <c r="P9" s="311">
        <f t="shared" si="2"/>
        <v>3624.0825325423721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Jamal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Nazeer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</v>
      </c>
      <c r="I11" s="236">
        <f t="shared" si="0"/>
        <v>2033.92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162.71360000000001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71.187200000000004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1800.0192000000002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384.40677966101691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10.922129898305084</v>
      </c>
      <c r="P11" s="311">
        <f t="shared" si="2"/>
        <v>2195.3481095593224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Ijaz Store</v>
      </c>
      <c r="T11" s="301">
        <f>+'9'!P35</f>
        <v>627.24231701694919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</v>
      </c>
      <c r="I12" s="236">
        <f t="shared" si="0"/>
        <v>2324.48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185.95840000000004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81.356800000000007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2057.1648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439.32203389830499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12.482434169491523</v>
      </c>
      <c r="P12" s="311">
        <f t="shared" si="2"/>
        <v>2508.9692680677967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Ihtisham Store</v>
      </c>
      <c r="T12" s="301">
        <f>+'10'!P35</f>
        <v>627.24231701694919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Wahab Store</v>
      </c>
      <c r="T13" s="301">
        <f>+'11'!P35</f>
        <v>627.24231701694919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Qadri Store</v>
      </c>
      <c r="T14" s="301">
        <f>+'12'!P35</f>
        <v>313.62115850847459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Furqan </v>
      </c>
      <c r="T15" s="301">
        <f>+'13'!P35</f>
        <v>1669.1779134915255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6.7</v>
      </c>
      <c r="H16" s="113">
        <f t="shared" ref="H16:M16" si="3">SUM(H7:H15)</f>
        <v>268</v>
      </c>
      <c r="I16" s="114">
        <f t="shared" si="3"/>
        <v>15548.4</v>
      </c>
      <c r="J16" s="274">
        <f>SUM(J7:J15)</f>
        <v>1196.796</v>
      </c>
      <c r="K16" s="275">
        <f t="shared" si="3"/>
        <v>544.19400000000007</v>
      </c>
      <c r="L16" s="276">
        <f t="shared" si="3"/>
        <v>80.029200000000003</v>
      </c>
      <c r="M16" s="232">
        <f t="shared" si="3"/>
        <v>13727.380800000001</v>
      </c>
      <c r="N16" s="233">
        <f>SUM(N7:N15)</f>
        <v>2947.1186440677957</v>
      </c>
      <c r="O16" s="101">
        <f>SUM(O7:O15)</f>
        <v>83.372497220338985</v>
      </c>
      <c r="P16" s="113">
        <f>SUM(P7:P15)</f>
        <v>16757.871941288136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15548.4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1196.796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624.22320000000013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13727.380799999999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2947.1186440677957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16674.499444067795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83.372497220338985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16757.871941288133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16757.871941288136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234">
        <f>SUM(P16:P24)</f>
        <v>2822.5904265762711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2615.04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209.20320000000004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91.52640000000001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2314.3103999999998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2808.547688135593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45" t="s">
        <v>88</v>
      </c>
      <c r="O35" s="346"/>
      <c r="P35" s="297">
        <f>+P33+P34</f>
        <v>2822.5904265762711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385.71839999999997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385.71839999999997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290.56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23.244800000000001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10.169600000000001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257.1456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312.06085423728814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313.62115850847459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2026-09-17T12:17:48Z</dcterms:modified>
</cp:coreProperties>
</file>