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A000A1A-B555-4091-87C8-09AC3238AEC5}" xr6:coauthVersionLast="47" xr6:coauthVersionMax="47" xr10:uidLastSave="{00000000-0000-0000-0000-000000000000}"/>
  <bookViews>
    <workbookView xWindow="-110" yWindow="-110" windowWidth="19420" windowHeight="10420" tabRatio="948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<sst xmlns="http://schemas.openxmlformats.org/spreadsheetml/2006/main" count="3948" uniqueCount="516">
  <si>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</si>
  <si>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</si>
  <si>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</si>
  <si>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</si>
  <si>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</si>
  <si>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</si>
  <si>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</si>
  <si>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</si>
  <si>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</si>
  <si>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</si>
  <si>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</si>
  <si>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</si>
  <si>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</si>
  <si>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</si>
  <si>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</si>
  <si>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</si>
  <si>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</si>
  <si>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</si>
  <si>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</si>
  <si>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</si>
  <si>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</si>
  <si>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</si>
  <si>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</si>
  <si>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</si>
  <si>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</si>
  <si>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</si>
  <si>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</si>
  <si>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</si>
  <si>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</si>
  <si>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</si>
  <si>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</si>
  <si>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</si>
  <si>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</si>
  <si>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</si>
  <si>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</si>
  <si>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</si>
  <si>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</si>
  <si>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</si>
  <si>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</si>
  <si>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</si>
  <si>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</si>
  <si>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</si>
  <si>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</si>
  <si>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</si>
  <si>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</si>
  <si>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</si>
  <si>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</si>
  <si>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</si>
  <si>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</si>
  <si>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</si>
  <si>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</si>
  <si>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</si>
  <si>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</si>
  <si>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</si>
  <si>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</si>
  <si>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</si>
  <si>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</si>
  <si>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</si>
  <si>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</si>
  <si>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</si>
  <si>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</si>
  <si>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</si>
  <si>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</si>
  <si>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</si>
  <si>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</si>
  <si>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</si>
  <si>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</si>
  <si>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</si>
  <si>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</si>
  <si>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</si>
  <si>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</si>
  <si>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</si>
  <si>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</si>
  <si>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</si>
  <si>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</si>
  <si>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</si>
  <si>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</si>
  <si>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</si>
  <si>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</si>
  <si>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</si>
  <si>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</si>
  <si>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</si>
  <si>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</si>
  <si>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</si>
  <si>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</si>
  <si>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</si>
  <si>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</si>
  <si>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</si>
  <si>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</si>
  <si>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</si>
  <si>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</si>
  <si>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</si>
  <si>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</si>
  <si>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</si>
  <si>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</si>
  <si>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</si>
  <si>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</si>
  <si>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</si>
  <si>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</si>
  <si>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</si>
  <si>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</si>
  <si>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</si>
  <si>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</si>
  <si>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</si>
  <si>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</si>
  <si>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</si>
  <si>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</si>
  <si>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</si>
  <si>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</si>
  <si>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</si>
  <si>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</si>
  <si>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</si>
  <si>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</si>
  <si>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</si>
  <si>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</si>
  <si>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</si>
  <si>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</si>
  <si>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</si>
  <si>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</si>
  <si>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</si>
  <si>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</si>
  <si>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</si>
  <si>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</si>
  <si>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</si>
  <si>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</si>
  <si>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</si>
  <si>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</si>
  <si>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</si>
  <si>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</si>
  <si>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</si>
  <si>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</si>
  <si>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</si>
  <si>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</si>
  <si>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</si>
  <si>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</si>
  <si>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</si>
  <si>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</si>
  <si>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</si>
  <si>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</si>
  <si>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</si>
  <si>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</si>
  <si>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</si>
  <si>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</si>
  <si>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</si>
  <si>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</si>
  <si>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</si>
  <si>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</si>
  <si>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</si>
  <si>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</si>
  <si>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</si>
  <si>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</si>
  <si>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</si>
  <si>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</si>
  <si>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</si>
  <si>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</si>
  <si>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</si>
  <si>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</si>
  <si>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</si>
  <si>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</si>
  <si>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</si>
  <si>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</si>
  <si>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</si>
  <si>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</si>
  <si>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</si>
  <si>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</si>
  <si>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</si>
  <si>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</si>
  <si>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</si>
  <si>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</si>
  <si>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</si>
  <si>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</si>
  <si>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</si>
  <si>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</si>
  <si>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</si>
  <si>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</si>
  <si>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</si>
  <si>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</si>
  <si>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</si>
  <si>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</si>
  <si>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</si>
  <si>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</si>
  <si>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</si>
  <si>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</si>
  <si>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</si>
  <si>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</si>
  <si>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</si>
  <si>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</si>
  <si>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</si>
  <si>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</si>
  <si>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</si>
  <si>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</si>
  <si>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</si>
  <si>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</si>
  <si>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</si>
  <si>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</si>
  <si>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</si>
  <si>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</si>
  <si>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</si>
  <si>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</si>
  <si>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</si>
  <si>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</si>
  <si>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</si>
  <si>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</si>
  <si>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</si>
  <si>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</si>
  <si>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</si>
  <si>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</si>
  <si>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</si>
  <si>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</si>
  <si>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</si>
  <si>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</si>
  <si>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</si>
  <si>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</si>
  <si>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</si>
  <si>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</si>
  <si>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</si>
  <si>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</si>
  <si>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</si>
  <si>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</si>
  <si>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</si>
  <si>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</si>
  <si>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</si>
  <si>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</si>
  <si>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</si>
  <si>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</si>
  <si>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</si>
  <si>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</si>
  <si>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</si>
  <si>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</si>
  <si>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</si>
  <si>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</si>
  <si>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</si>
  <si>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</si>
  <si>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</si>
  <si>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</si>
  <si>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</si>
  <si>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</si>
  <si>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</si>
  <si>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</si>
  <si>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</si>
  <si>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</si>
  <si>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</si>
  <si>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</si>
  <si>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</si>
  <si>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</si>
  <si>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</si>
  <si>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</si>
  <si>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</si>
  <si>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</si>
  <si>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</si>
  <si>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</si>
  <si>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</si>
  <si>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</si>
  <si>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</si>
  <si>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</si>
  <si>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</si>
  <si>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</si>
  <si>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</si>
  <si>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</si>
  <si>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</si>
  <si>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</si>
  <si>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</si>
  <si>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</si>
  <si>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</si>
  <si>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</si>
  <si>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</si>
  <si>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</si>
  <si>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</si>
  <si>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</si>
  <si>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</si>
  <si>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</si>
  <si>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</si>
  <si>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</si>
  <si>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</si>
  <si>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</si>
  <si>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</si>
  <si>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</si>
  <si>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</si>
  <si>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</si>
  <si>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</si>
  <si>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</si>
  <si>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</si>
  <si>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</si>
  <si>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</si>
  <si>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</si>
  <si>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</si>
  <si>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</si>
  <si>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</si>
  <si>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</si>
  <si>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</si>
  <si>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</si>
  <si>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</si>
  <si>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</si>
  <si>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</si>
  <si>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</si>
  <si>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</si>
  <si>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</si>
  <si>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</si>
  <si>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</si>
  <si>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</si>
  <si>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</si>
  <si>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</si>
  <si>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</si>
  <si>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</si>
  <si>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</si>
  <si>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</si>
  <si>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</si>
  <si>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</si>
  <si>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</si>
  <si>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</si>
  <si>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</si>
  <si>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</si>
  <si>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</si>
  <si>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</si>
  <si>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</si>
  <si>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</si>
  <si>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</si>
  <si>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</si>
  <si>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</si>
  <si>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</si>
  <si>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</si>
  <si>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</si>
  <si>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</si>
  <si>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</si>
  <si>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</si>
  <si>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</si>
  <si>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</si>
  <si>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</si>
  <si>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</si>
  <si>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</si>
  <si>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</si>
  <si>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</si>
  <si>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</si>
  <si>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</si>
  <si>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</si>
  <si>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</si>
  <si>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</si>
  <si>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</si>
  <si>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</si>
  <si>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</si>
  <si>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</si>
  <si>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</si>
  <si>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</si>
  <si>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</si>
  <si>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</si>
  <si>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</si>
  <si>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</si>
  <si>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</si>
  <si>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</si>
  <si>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</si>
  <si>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</si>
  <si>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</si>
  <si>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</si>
  <si>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</si>
  <si>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</si>
  <si>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</si>
  <si>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</si>
  <si>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</si>
  <si>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</si>
  <si>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</si>
  <si>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</si>
  <si>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</si>
  <si>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</si>
  <si>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</si>
  <si>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</si>
  <si>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</si>
  <si>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</si>
  <si>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</si>
  <si>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</si>
  <si>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</si>
  <si>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</si>
  <si>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</si>
  <si>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</si>
  <si>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</si>
  <si>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</si>
  <si>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</si>
  <si>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</si>
  <si>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</si>
  <si>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</si>
  <si>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</si>
  <si>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</si>
  <si>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</si>
  <si>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</si>
  <si>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</si>
  <si>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</si>
  <si>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</si>
  <si>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</si>
  <si>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</si>
  <si>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</si>
  <si>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</si>
  <si>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</si>
  <si>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</si>
  <si>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</si>
  <si>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</si>
  <si>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</si>
  <si>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</si>
  <si>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</si>
  <si>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</si>
  <si>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</si>
  <si>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</si>
  <si>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</si>
  <si>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</si>
  <si>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</si>
  <si>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</si>
  <si>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</si>
  <si>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</si>
  <si>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</si>
  <si>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</si>
  <si>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</si>
  <si>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</si>
  <si>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</si>
  <si>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</si>
  <si>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</si>
  <si>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</si>
  <si>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</si>
  <si>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</si>
  <si>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</si>
  <si>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</si>
  <si>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</si>
  <si>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</si>
  <si>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</si>
  <si>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</si>
  <si>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</si>
  <si>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</si>
  <si>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</si>
  <si>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</si>
  <si>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</si>
  <si>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</si>
  <si>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</si>
  <si>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</si>
  <si>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</si>
  <si>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</si>
  <si>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</si>
  <si>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</si>
  <si>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</si>
  <si>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</si>
  <si>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</si>
  <si>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</si>
  <si>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</si>
  <si>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</si>
  <si>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</si>
  <si>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</si>
  <si>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</si>
  <si>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</si>
  <si>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</si>
  <si>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</si>
  <si>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</si>
  <si>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</si>
  <si>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</si>
  <si>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</si>
  <si>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</si>
  <si>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</si>
  <si>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</si>
  <si>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</si>
  <si>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</si>
  <si>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</si>
  <si>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</si>
  <si>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</si>
  <si>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</si>
  <si>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</si>
  <si>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</si>
  <si>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</si>
  <si>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</si>
  <si>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</si>
  <si>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</si>
  <si>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</si>
  <si>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</si>
  <si>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</si>
  <si>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</si>
  <si>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</si>
  <si>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</si>
  <si>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</si>
  <si>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</si>
  <si>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</si>
  <si>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</si>
  <si>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</si>
  <si>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</si>
  <si>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</si>
  <si>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</si>
  <si>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</si>
  <si>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</si>
  <si>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</si>
  <si>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</si>
  <si>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</si>
  <si>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</si>
  <si>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</si>
  <si>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</si>
  <si>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</si>
  <si>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</si>
  <si>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</si>
  <si>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</si>
  <si>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</si>
  <si>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</si>
  <si>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</si>
  <si>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</si>
  <si>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</si>
  <si>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</si>
  <si>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</si>
  <si>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</si>
  <si>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</si>
  <si>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</si>
  <si>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</si>
  <si>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</si>
  <si>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</si>
  <si>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</si>
  <si>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</si>
  <si>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</si>
  <si>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</si>
  <si>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</si>
  <si>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</si>
  <si>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</si>
  <si>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</si>
  <si>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</si>
  <si>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</si>
  <si>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Booker</t>
  </si>
  <si>
    <t xml:space="preserve">Qamar Ijaz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</si>
</sst>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514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46283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 xml:space="preserve">Qamar Ijaz </v>
      </c>
      <c r="T3" s="301">
        <f>+'1'!P35</f>
        <v>5401.2631679237284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Shop Name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Shop Name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Shop Name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13</v>
      </c>
      <c r="I7" s="235">
        <f>(G7*D7)*F7+H7*F7</f>
        <v>682.01249999999993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54.560999999999993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23.870437500000001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603.58106249999992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128.89830508474572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3.6623968379237284</v>
      </c>
      <c r="P7" s="310">
        <f>M7+N7+O7</f>
        <v>736.14176442266944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Shop Name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13</v>
      </c>
      <c r="I8" s="236">
        <f t="shared" ref="I8:I14" si="0">(G8*D8)*F8+H8*F8</f>
        <v>682.01249999999993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54.560999999999993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23.870437500000001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603.58106249999992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128.89830508474572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3.6623968379237284</v>
      </c>
      <c r="P8" s="311">
        <f t="shared" ref="P8:P15" si="2">M8+N8+O8</f>
        <v>736.14176442266944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14</v>
      </c>
      <c r="I9" s="236">
        <f t="shared" si="0"/>
        <v>734.47500000000002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58.758000000000003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25.706625000000003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650.01037500000007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138.81355932203383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3.9441196716101694</v>
      </c>
      <c r="P9" s="311">
        <f t="shared" si="2"/>
        <v>792.76805399364412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13</v>
      </c>
      <c r="I10" s="236">
        <f t="shared" si="0"/>
        <v>944.32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75.545600000000007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33.051200000000001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835.72320000000002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178.47457627118644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5.070988881355933</v>
      </c>
      <c r="P10" s="311">
        <f t="shared" si="2"/>
        <v>1019.2687651525424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13</v>
      </c>
      <c r="I11" s="236">
        <f t="shared" si="0"/>
        <v>944.32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75.545600000000007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33.051200000000001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835.72320000000002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178.47457627118644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5.070988881355933</v>
      </c>
      <c r="P11" s="311">
        <f t="shared" si="2"/>
        <v>1019.2687651525424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14</v>
      </c>
      <c r="I12" s="236">
        <f t="shared" si="0"/>
        <v>1016.96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81.356800000000007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35.593600000000002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900.00960000000009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192.20338983050848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5.4610649491525427</v>
      </c>
      <c r="P12" s="311">
        <f t="shared" si="2"/>
        <v>1097.6740547796612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2</v>
      </c>
      <c r="H16" s="113">
        <f t="shared" ref="H16:M16" si="3">SUM(H7:H15)</f>
        <v>80</v>
      </c>
      <c r="I16" s="114">
        <f t="shared" si="3"/>
        <v>5004.1000000000004</v>
      </c>
      <c r="J16" s="274">
        <f>SUM(J7:J15)</f>
        <v>400.32800000000003</v>
      </c>
      <c r="K16" s="275">
        <f t="shared" si="3"/>
        <v>175.14350000000002</v>
      </c>
      <c r="L16" s="276">
        <f t="shared" si="3"/>
        <v>0</v>
      </c>
      <c r="M16" s="232">
        <f t="shared" si="3"/>
        <v>4428.6284999999998</v>
      </c>
      <c r="N16" s="233">
        <f>SUM(N7:N15)</f>
        <v>945.76271186440658</v>
      </c>
      <c r="O16" s="101">
        <f>SUM(O7:O15)</f>
        <v>26.871956059322038</v>
      </c>
      <c r="P16" s="113">
        <f>SUM(P7:P15)</f>
        <v>5401.2631679237293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5004.1000000000004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400.32800000000003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175.14350000000002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4428.6284999999998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945.76271186440658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5374.3912118644066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26.871956059322038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5401.2631679237284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5401.2631679237284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4" workbookViewId="0">
      <selection activeCell="F6" sqref="F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13</v>
      </c>
      <c r="I16" s="235">
        <f>(G16*D16)*F16+H16*F16</f>
        <v>682.01249999999993</v>
      </c>
      <c r="J16" s="271">
        <f>$I16*S16</f>
        <v>54.560999999999993</v>
      </c>
      <c r="K16" s="127">
        <f>$I16*T16</f>
        <v>23.870437500000001</v>
      </c>
      <c r="L16" s="118">
        <f>$I16*U16</f>
        <v>0</v>
      </c>
      <c r="M16" s="229">
        <f>I16-SUM(J16:L16)</f>
        <v>603.58106249999992</v>
      </c>
      <c r="N16" s="248">
        <f>+(G16*D16+H16)*V16</f>
        <v>128.89830508474572</v>
      </c>
      <c r="O16" s="238">
        <f>(N16+M16)*$O$15</f>
        <v>3.6623968379237284</v>
      </c>
      <c r="P16" s="118">
        <f>M16+N16+O16</f>
        <v>736.14176442266944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13</v>
      </c>
      <c r="I17" s="236">
        <f t="shared" ref="I17:I23" si="0">(G17*D17)*F17+H17*F17</f>
        <v>682.01249999999993</v>
      </c>
      <c r="J17" s="272">
        <f t="shared" ref="J17:L24" si="1">$I17*S17</f>
        <v>54.560999999999993</v>
      </c>
      <c r="K17" s="128">
        <f>$I17*T17</f>
        <v>23.870437500000001</v>
      </c>
      <c r="L17" s="119">
        <f>$I17*U17</f>
        <v>0</v>
      </c>
      <c r="M17" s="230">
        <f t="shared" ref="M17:M24" si="2">I17-SUM(J17:L17)</f>
        <v>603.58106249999992</v>
      </c>
      <c r="N17" s="277">
        <f t="shared" ref="N17:N24" si="3">+(G17*D17+H17)*V17</f>
        <v>128.89830508474572</v>
      </c>
      <c r="O17" s="239">
        <f t="shared" ref="O17:O24" si="4">(N17+M17)*$O$15</f>
        <v>3.6623968379237284</v>
      </c>
      <c r="P17" s="119">
        <f t="shared" ref="P17:P24" si="5">M17+N17+O17</f>
        <v>736.14176442266944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14</v>
      </c>
      <c r="I18" s="236">
        <f t="shared" ref="I18:I21" si="7">(G18*D18)*F18+H18*F18</f>
        <v>734.47500000000002</v>
      </c>
      <c r="J18" s="272">
        <f t="shared" si="1"/>
        <v>58.758000000000003</v>
      </c>
      <c r="K18" s="128">
        <f t="shared" si="1"/>
        <v>25.706625000000003</v>
      </c>
      <c r="L18" s="119">
        <f t="shared" si="1"/>
        <v>0</v>
      </c>
      <c r="M18" s="230">
        <f t="shared" si="2"/>
        <v>650.01037500000007</v>
      </c>
      <c r="N18" s="277">
        <f t="shared" si="3"/>
        <v>138.81355932203383</v>
      </c>
      <c r="O18" s="239">
        <f t="shared" si="4"/>
        <v>3.9441196716101694</v>
      </c>
      <c r="P18" s="119">
        <f t="shared" si="5"/>
        <v>792.76805399364412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13</v>
      </c>
      <c r="I19" s="236">
        <f t="shared" si="7"/>
        <v>944.32</v>
      </c>
      <c r="J19" s="272">
        <f t="shared" si="1"/>
        <v>75.545600000000007</v>
      </c>
      <c r="K19" s="128">
        <f t="shared" si="1"/>
        <v>33.051200000000001</v>
      </c>
      <c r="L19" s="119">
        <f t="shared" si="1"/>
        <v>0</v>
      </c>
      <c r="M19" s="230">
        <f t="shared" si="2"/>
        <v>835.72320000000002</v>
      </c>
      <c r="N19" s="277">
        <f t="shared" si="3"/>
        <v>178.47457627118644</v>
      </c>
      <c r="O19" s="239">
        <f t="shared" si="4"/>
        <v>5.070988881355933</v>
      </c>
      <c r="P19" s="119">
        <f t="shared" si="5"/>
        <v>1019.2687651525424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13</v>
      </c>
      <c r="I20" s="236">
        <f t="shared" si="7"/>
        <v>944.32</v>
      </c>
      <c r="J20" s="272">
        <f t="shared" si="1"/>
        <v>75.545600000000007</v>
      </c>
      <c r="K20" s="128">
        <f t="shared" si="1"/>
        <v>33.051200000000001</v>
      </c>
      <c r="L20" s="119">
        <f t="shared" si="1"/>
        <v>0</v>
      </c>
      <c r="M20" s="230">
        <f t="shared" si="2"/>
        <v>835.72320000000002</v>
      </c>
      <c r="N20" s="277">
        <f t="shared" si="3"/>
        <v>178.47457627118644</v>
      </c>
      <c r="O20" s="239">
        <f t="shared" si="4"/>
        <v>5.070988881355933</v>
      </c>
      <c r="P20" s="119">
        <f t="shared" si="5"/>
        <v>1019.2687651525424</v>
      </c>
      <c r="Q20" s="319"/>
      <c r="R20">
        <f>P20/21</f>
        <v>48.536607864406783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14</v>
      </c>
      <c r="I21" s="236">
        <f t="shared" si="7"/>
        <v>1016.96</v>
      </c>
      <c r="J21" s="272">
        <f t="shared" si="1"/>
        <v>81.356800000000007</v>
      </c>
      <c r="K21" s="128">
        <f t="shared" si="1"/>
        <v>35.593600000000002</v>
      </c>
      <c r="L21" s="119">
        <f t="shared" si="1"/>
        <v>0</v>
      </c>
      <c r="M21" s="230">
        <f t="shared" si="2"/>
        <v>900.00960000000009</v>
      </c>
      <c r="N21" s="277">
        <f t="shared" si="3"/>
        <v>192.20338983050848</v>
      </c>
      <c r="O21" s="239">
        <f t="shared" si="4"/>
        <v>5.4610649491525427</v>
      </c>
      <c r="P21" s="119">
        <f t="shared" si="5"/>
        <v>1097.6740547796612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80</v>
      </c>
      <c r="I25" s="114">
        <f t="shared" ref="I25:M25" si="10">SUM(I16:I24)</f>
        <v>5004.1000000000004</v>
      </c>
      <c r="J25" s="274">
        <f>SUM(J16:J24)</f>
        <v>400.32800000000003</v>
      </c>
      <c r="K25" s="275">
        <f t="shared" si="10"/>
        <v>175.14350000000002</v>
      </c>
      <c r="L25" s="276">
        <f t="shared" si="10"/>
        <v>0</v>
      </c>
      <c r="M25" s="232">
        <f t="shared" si="10"/>
        <v>4428.6284999999998</v>
      </c>
      <c r="N25" s="233">
        <f>SUM(N16:N24)</f>
        <v>945.76271186440658</v>
      </c>
      <c r="O25" s="101">
        <f>SUM(O16:O24)</f>
        <v>26.871956059322038</v>
      </c>
      <c r="P25" s="234">
        <f>SUM(P16:P24)</f>
        <v>5401.2631679237293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5004.1000000000004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400.32800000000003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175.14350000000002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4428.6284999999998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5374.3912118644066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26.871956059322034</v>
      </c>
    </row>
    <row r="35" spans="2:16" ht="15.75" customHeight="1" thickBot="1" x14ac:dyDescent="0.4">
      <c r="N35" s="345" t="s">
        <v>88</v>
      </c>
      <c r="O35" s="346"/>
      <c r="P35" s="297">
        <f>+P33+P34</f>
        <v>5401.2631679237284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46284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46283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2026-09-18T13:01:30Z</dcterms:modified>
</cp:coreProperties>
</file>