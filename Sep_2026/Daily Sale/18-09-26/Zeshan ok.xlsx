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C7C0673-9152-4044-8105-01829EE9416D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20" i="47"/>
  <c r="O20" i="47" s="1"/>
  <c r="P20" i="47" s="1"/>
  <c r="R20" i="47" s="1"/>
  <c r="M21" i="44"/>
  <c r="O21" i="44" s="1"/>
  <c r="P21" i="44" s="1"/>
  <c r="J7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<sst xmlns="http://schemas.openxmlformats.org/spreadsheetml/2006/main" count="3948" uniqueCount="522">
  <si>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</si>
  <si>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</si>
  <si>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</si>
  <si>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</si>
  <si>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</si>
  <si>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</si>
  <si>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</si>
  <si>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</si>
  <si>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</si>
  <si>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</si>
  <si>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</si>
  <si>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</si>
  <si>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</si>
  <si>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</si>
  <si>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</si>
  <si>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</si>
  <si>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</si>
  <si>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</si>
  <si>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</si>
  <si>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</si>
  <si>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</si>
  <si>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</si>
  <si>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</si>
  <si>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</si>
  <si>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</si>
  <si>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</si>
  <si>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</si>
  <si>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</si>
  <si>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</si>
  <si>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</si>
  <si>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</si>
  <si>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</si>
  <si>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</si>
  <si>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</si>
  <si>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</si>
  <si>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</si>
  <si>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</si>
  <si>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</si>
  <si>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</si>
  <si>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</si>
  <si>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</si>
  <si>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</si>
  <si>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</si>
  <si>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</si>
  <si>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</si>
  <si>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</si>
  <si>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</si>
  <si>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</si>
  <si>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</si>
  <si>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</si>
  <si>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</si>
  <si>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</si>
  <si>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</si>
  <si>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</si>
  <si>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</si>
  <si>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</si>
  <si>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</si>
  <si>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</si>
  <si>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</si>
  <si>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</si>
  <si>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</si>
  <si>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</si>
  <si>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</si>
  <si>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</si>
  <si>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</si>
  <si>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</si>
  <si>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</si>
  <si>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</si>
  <si>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</si>
  <si>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</si>
  <si>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</si>
  <si>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</si>
  <si>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</si>
  <si>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</si>
  <si>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</si>
  <si>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</si>
  <si>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</si>
  <si>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</si>
  <si>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</si>
  <si>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</si>
  <si>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</si>
  <si>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</si>
  <si>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</si>
  <si>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</si>
  <si>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</si>
  <si>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</si>
  <si>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</si>
  <si>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</si>
  <si>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</si>
  <si>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</si>
  <si>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</si>
  <si>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</si>
  <si>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</si>
  <si>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</si>
  <si>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</si>
  <si>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</si>
  <si>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</si>
  <si>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</si>
  <si>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</si>
  <si>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</si>
  <si>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</si>
  <si>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</si>
  <si>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</si>
  <si>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</si>
  <si>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</si>
  <si>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</si>
  <si>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</si>
  <si>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</si>
  <si>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</si>
  <si>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</si>
  <si>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</si>
  <si>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</si>
  <si>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</si>
  <si>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</si>
  <si>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</si>
  <si>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</si>
  <si>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</si>
  <si>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</si>
  <si>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</si>
  <si>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</si>
  <si>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</si>
  <si>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</si>
  <si>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</si>
  <si>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</si>
  <si>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</si>
  <si>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</si>
  <si>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</si>
  <si>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</si>
  <si>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</si>
  <si>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</si>
  <si>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</si>
  <si>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</si>
  <si>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</si>
  <si>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</si>
  <si>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</si>
  <si>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</si>
  <si>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</si>
  <si>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</si>
  <si>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</si>
  <si>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</si>
  <si>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</si>
  <si>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</si>
  <si>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</si>
  <si>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</si>
  <si>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</si>
  <si>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</si>
  <si>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</si>
  <si>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</si>
  <si>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</si>
  <si>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</si>
  <si>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</si>
  <si>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</si>
  <si>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</si>
  <si>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</si>
  <si>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</si>
  <si>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</si>
  <si>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</si>
  <si>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</si>
  <si>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</si>
  <si>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</si>
  <si>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</si>
  <si>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</si>
  <si>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</si>
  <si>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</si>
  <si>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</si>
  <si>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</si>
  <si>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</si>
  <si>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</si>
  <si>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</si>
  <si>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</si>
  <si>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</si>
  <si>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</si>
  <si>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</si>
  <si>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</si>
  <si>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</si>
  <si>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</si>
  <si>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</si>
  <si>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</si>
  <si>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</si>
  <si>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</si>
  <si>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</si>
  <si>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</si>
  <si>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</si>
  <si>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</si>
  <si>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</si>
  <si>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</si>
  <si>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</si>
  <si>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</si>
  <si>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</si>
  <si>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</si>
  <si>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</si>
  <si>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</si>
  <si>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</si>
  <si>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</si>
  <si>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</si>
  <si>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</si>
  <si>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</si>
  <si>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</si>
  <si>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</si>
  <si>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</si>
  <si>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</si>
  <si>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</si>
  <si>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</si>
  <si>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</si>
  <si>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</si>
  <si>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</si>
  <si>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</si>
  <si>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</si>
  <si>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</si>
  <si>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</si>
  <si>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</si>
  <si>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</si>
  <si>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</si>
  <si>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</si>
  <si>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</si>
  <si>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</si>
  <si>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</si>
  <si>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</si>
  <si>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</si>
  <si>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</si>
  <si>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</si>
  <si>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</si>
  <si>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</si>
  <si>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</si>
  <si>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</si>
  <si>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</si>
  <si>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</si>
  <si>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</si>
  <si>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</si>
  <si>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</si>
  <si>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</si>
  <si>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</si>
  <si>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</si>
  <si>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</si>
  <si>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</si>
  <si>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</si>
  <si>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</si>
  <si>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</si>
  <si>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</si>
  <si>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</si>
  <si>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</si>
  <si>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</si>
  <si>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</si>
  <si>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</si>
  <si>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</si>
  <si>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</si>
  <si>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</si>
  <si>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</si>
  <si>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</si>
  <si>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</si>
  <si>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</si>
  <si>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</si>
  <si>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</si>
  <si>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</si>
  <si>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</si>
  <si>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</si>
  <si>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</si>
  <si>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</si>
  <si>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</si>
  <si>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</si>
  <si>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</si>
  <si>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</si>
  <si>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</si>
  <si>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</si>
  <si>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</si>
  <si>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</si>
  <si>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</si>
  <si>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</si>
  <si>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</si>
  <si>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</si>
  <si>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</si>
  <si>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</si>
  <si>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</si>
  <si>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</si>
  <si>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</si>
  <si>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</si>
  <si>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</si>
  <si>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</si>
  <si>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</si>
  <si>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</si>
  <si>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</si>
  <si>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</si>
  <si>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</si>
  <si>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</si>
  <si>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</si>
  <si>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</si>
  <si>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</si>
  <si>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</si>
  <si>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</si>
  <si>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</si>
  <si>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</si>
  <si>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</si>
  <si>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</si>
  <si>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</si>
  <si>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</si>
  <si>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</si>
  <si>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</si>
  <si>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</si>
  <si>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</si>
  <si>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</si>
  <si>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</si>
  <si>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</si>
  <si>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</si>
  <si>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</si>
  <si>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</si>
  <si>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</si>
  <si>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</si>
  <si>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</si>
  <si>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</si>
  <si>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</si>
  <si>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</si>
  <si>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</si>
  <si>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</si>
  <si>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</si>
  <si>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</si>
  <si>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</si>
  <si>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</si>
  <si>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</si>
  <si>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</si>
  <si>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</si>
  <si>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</si>
  <si>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</si>
  <si>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</si>
  <si>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</si>
  <si>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</si>
  <si>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</si>
  <si>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</si>
  <si>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</si>
  <si>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</si>
  <si>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</si>
  <si>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</si>
  <si>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</si>
  <si>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</si>
  <si>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</si>
  <si>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</si>
  <si>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</si>
  <si>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</si>
  <si>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</si>
  <si>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</si>
  <si>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</si>
  <si>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</si>
  <si>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</si>
  <si>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</si>
  <si>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</si>
  <si>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</si>
  <si>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</si>
  <si>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</si>
  <si>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</si>
  <si>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</si>
  <si>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</si>
  <si>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</si>
  <si>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</si>
  <si>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</si>
  <si>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</si>
  <si>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</si>
  <si>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</si>
  <si>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</si>
  <si>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</si>
  <si>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</si>
  <si>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</si>
  <si>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</si>
  <si>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</si>
  <si>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</si>
  <si>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</si>
  <si>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</si>
  <si>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</si>
  <si>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</si>
  <si>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</si>
  <si>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</si>
  <si>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</si>
  <si>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</si>
  <si>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</si>
  <si>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</si>
  <si>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</si>
  <si>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</si>
  <si>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</si>
  <si>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</si>
  <si>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</si>
  <si>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</si>
  <si>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</si>
  <si>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</si>
  <si>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</si>
  <si>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</si>
  <si>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</si>
  <si>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</si>
  <si>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</si>
  <si>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</si>
  <si>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</si>
  <si>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</si>
  <si>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</si>
  <si>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</si>
  <si>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</si>
  <si>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</si>
  <si>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</si>
  <si>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</si>
  <si>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</si>
  <si>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</si>
  <si>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</si>
  <si>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</si>
  <si>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</si>
  <si>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</si>
  <si>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</si>
  <si>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</si>
  <si>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</si>
  <si>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</si>
  <si>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</si>
  <si>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</si>
  <si>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</si>
  <si>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</si>
  <si>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</si>
  <si>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</si>
  <si>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</si>
  <si>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</si>
  <si>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</si>
  <si>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</si>
  <si>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</si>
  <si>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</si>
  <si>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</si>
  <si>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</si>
  <si>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</si>
  <si>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</si>
  <si>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</si>
  <si>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</si>
  <si>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</si>
  <si>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</si>
  <si>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</si>
  <si>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</si>
  <si>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</si>
  <si>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</si>
  <si>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</si>
  <si>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</si>
  <si>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</si>
  <si>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</si>
  <si>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</si>
  <si>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</si>
  <si>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</si>
  <si>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</si>
  <si>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</si>
  <si>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</si>
  <si>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</si>
  <si>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</si>
  <si>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</si>
  <si>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</si>
  <si>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</si>
  <si>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</si>
  <si>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</si>
  <si>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</si>
  <si>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</si>
  <si>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</si>
  <si>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</si>
  <si>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</si>
  <si>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</si>
  <si>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</si>
  <si>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</si>
  <si>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</si>
  <si>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</si>
  <si>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</si>
  <si>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</si>
  <si>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</si>
  <si>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</si>
  <si>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</si>
  <si>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</si>
  <si>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</si>
  <si>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</si>
  <si>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</si>
  <si>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</si>
  <si>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</si>
  <si>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</si>
  <si>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</si>
  <si>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</si>
  <si>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</si>
  <si>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</si>
  <si>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</si>
  <si>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</si>
  <si>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</si>
  <si>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</si>
  <si>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</si>
  <si>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</si>
  <si>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</si>
  <si>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</si>
  <si>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</si>
  <si>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</si>
  <si>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</si>
  <si>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</si>
  <si>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</si>
  <si>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</si>
  <si>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</si>
  <si>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</si>
  <si>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</si>
  <si>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</si>
  <si>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</si>
  <si>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</si>
  <si>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</si>
  <si>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</si>
  <si>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</si>
  <si>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</si>
  <si>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</si>
  <si>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</si>
  <si>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</si>
  <si>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</si>
  <si>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</si>
  <si>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</si>
  <si>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</si>
  <si>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</si>
  <si>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</si>
  <si>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</si>
  <si>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</si>
  <si>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</si>
  <si>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</si>
  <si>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</si>
  <si>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</si>
  <si>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</si>
  <si>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</si>
  <si>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</si>
  <si>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 xml:space="preserve">Address: Ali Park </t>
  </si>
  <si>
    <t xml:space="preserve">Raza Mart </t>
  </si>
  <si>
    <t xml:space="preserve">B Mart </t>
  </si>
  <si>
    <t xml:space="preserve">Shery Mart </t>
  </si>
  <si>
    <t xml:space="preserve">Hr Mart </t>
  </si>
  <si>
    <t xml:space="preserve">Talha Mart </t>
  </si>
  <si>
    <t>Suban Store</t>
  </si>
  <si>
    <t>Rivo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</si>
</sst>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Raza Mart </v>
      </c>
      <c r="T3" s="301">
        <f>+'1'!P35</f>
        <v>5401.2631679237284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B Mart </v>
      </c>
      <c r="T4" s="301">
        <f>+'2'!P35</f>
        <v>5401.2631679237284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Shery Mart </v>
      </c>
      <c r="T5" s="301">
        <f>+'3'!P35</f>
        <v>784.05289627118646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Hr Mart </v>
      </c>
      <c r="T6" s="301">
        <f>+'4'!P35</f>
        <v>784.05289627118646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45</v>
      </c>
      <c r="I7" s="235">
        <f>(G7*D7)*F7+H7*F7</f>
        <v>2360.8125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188.86500000000001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82.628437500000018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2089.3190624999997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446.18644067796589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12.67752751588983</v>
      </c>
      <c r="P7" s="310">
        <f>M7+N7+O7</f>
        <v>2548.1830306938555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Talha Mart </v>
      </c>
      <c r="T7" s="301">
        <f>+'5'!P35</f>
        <v>784.05289627118646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167.88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1857.1725000000001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11.268913347457627</v>
      </c>
      <c r="P8" s="311">
        <f t="shared" ref="P8:P15" si="2">M8+N8+O8</f>
        <v>2265.051582838983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Suban Store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35</v>
      </c>
      <c r="I9" s="236">
        <f t="shared" si="0"/>
        <v>1836.1875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146.89499999999998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64.266562500000006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1625.0259375000001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347.03389830508456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9.8602991790254233</v>
      </c>
      <c r="P9" s="311">
        <f t="shared" si="2"/>
        <v>1981.9201349841101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Rivo Store</v>
      </c>
      <c r="T9" s="301">
        <f>+'7'!P35</f>
        <v>2265.051582838983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232.44799999999998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2571.4560000000001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15.603042711864408</v>
      </c>
      <c r="P10" s="311">
        <f t="shared" si="2"/>
        <v>3136.2115850847458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30</v>
      </c>
      <c r="I11" s="236">
        <f t="shared" si="0"/>
        <v>2179.1999999999998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174.33600000000001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76.272000000000006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1928.5919999999999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411.86440677966107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11.702282033898307</v>
      </c>
      <c r="P11" s="311">
        <f t="shared" si="2"/>
        <v>2352.1586888135594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50</v>
      </c>
      <c r="I12" s="236">
        <f t="shared" si="0"/>
        <v>3632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290.56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127.12000000000002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3214.32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686.4406779661017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19.503803389830509</v>
      </c>
      <c r="P12" s="311">
        <f t="shared" si="2"/>
        <v>3920.2644813559323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6</v>
      </c>
      <c r="H16" s="113">
        <f t="shared" ref="H16:M16" si="3">SUM(H7:H15)</f>
        <v>240</v>
      </c>
      <c r="I16" s="114">
        <f t="shared" si="3"/>
        <v>15012.3</v>
      </c>
      <c r="J16" s="274">
        <f>SUM(J7:J15)</f>
        <v>1200.9839999999999</v>
      </c>
      <c r="K16" s="275">
        <f t="shared" si="3"/>
        <v>525.43050000000005</v>
      </c>
      <c r="L16" s="276">
        <f t="shared" si="3"/>
        <v>0</v>
      </c>
      <c r="M16" s="232">
        <f t="shared" si="3"/>
        <v>13285.8855</v>
      </c>
      <c r="N16" s="233">
        <f>SUM(N7:N15)</f>
        <v>2837.28813559322</v>
      </c>
      <c r="O16" s="101">
        <f>SUM(O7:O15)</f>
        <v>80.615868177966092</v>
      </c>
      <c r="P16" s="113">
        <f>SUM(P7:P15)</f>
        <v>16203.789503771186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15012.3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1200.9839999999999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525.43050000000005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13285.885499999999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2837.28813559322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16123.173635593219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80.615868177966092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16203.789503771184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16203.789503771188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5004.1000000000004</v>
      </c>
      <c r="J25" s="274">
        <f>SUM(J16:J24)</f>
        <v>400.32800000000003</v>
      </c>
      <c r="K25" s="275">
        <f t="shared" si="10"/>
        <v>175.14350000000002</v>
      </c>
      <c r="L25" s="276">
        <f t="shared" si="10"/>
        <v>0</v>
      </c>
      <c r="M25" s="232">
        <f t="shared" si="10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2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73.447500000000019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46284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46283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2026-09-18T04:15:19Z</dcterms:modified>
</cp:coreProperties>
</file>