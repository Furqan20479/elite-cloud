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9864160-6FE9-41B9-BDD7-24530D801419}" xr6:coauthVersionLast="47" xr6:coauthVersionMax="47" xr10:uidLastSave="{00000000-0000-0000-0000-000000000000}"/>
  <bookViews>
    <workbookView xWindow="-110" yWindow="-110" windowWidth="19420" windowHeight="10420" tabRatio="948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7"/>
  <c r="O20" i="47" s="1"/>
  <c r="P20" i="47" s="1"/>
  <c r="R20" i="47" s="1"/>
  <c r="M21" i="44"/>
  <c r="O21" i="44" s="1"/>
  <c r="P21" i="44" s="1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<sst xmlns="http://schemas.openxmlformats.org/spreadsheetml/2006/main" count="3948" uniqueCount="522">
  <si>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</si>
  <si>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</si>
  <si>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</si>
  <si>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</si>
  <si>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</si>
  <si>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</si>
  <si>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</si>
  <si>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</si>
  <si>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</si>
  <si>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</si>
  <si>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</si>
  <si>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</si>
  <si>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</si>
  <si>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</si>
  <si>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</si>
  <si>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</si>
  <si>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</si>
  <si>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</si>
  <si>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</si>
  <si>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</si>
  <si>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</si>
  <si>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</si>
  <si>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</si>
  <si>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</si>
  <si>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</si>
  <si>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</si>
  <si>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</si>
  <si>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</si>
  <si>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</si>
  <si>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</si>
  <si>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</si>
  <si>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</si>
  <si>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</si>
  <si>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</si>
  <si>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</si>
  <si>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</si>
  <si>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</si>
  <si>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</si>
  <si>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</si>
  <si>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</si>
  <si>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</si>
  <si>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</si>
  <si>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</si>
  <si>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</si>
  <si>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</si>
  <si>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</si>
  <si>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</si>
  <si>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</si>
  <si>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</si>
  <si>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</si>
  <si>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</si>
  <si>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</si>
  <si>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</si>
  <si>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</si>
  <si>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</si>
  <si>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</si>
  <si>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</si>
  <si>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</si>
  <si>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</si>
  <si>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</si>
  <si>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</si>
  <si>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</si>
  <si>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</si>
  <si>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</si>
  <si>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</si>
  <si>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</si>
  <si>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</si>
  <si>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</si>
  <si>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</si>
  <si>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</si>
  <si>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</si>
  <si>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</si>
  <si>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</si>
  <si>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</si>
  <si>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</si>
  <si>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</si>
  <si>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</si>
  <si>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</si>
  <si>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</si>
  <si>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</si>
  <si>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</si>
  <si>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</si>
  <si>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</si>
  <si>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</si>
  <si>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</si>
  <si>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</si>
  <si>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</si>
  <si>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</si>
  <si>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</si>
  <si>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</si>
  <si>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</si>
  <si>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</si>
  <si>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</si>
  <si>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</si>
  <si>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</si>
  <si>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</si>
  <si>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</si>
  <si>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</si>
  <si>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</si>
  <si>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</si>
  <si>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</si>
  <si>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</si>
  <si>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</si>
  <si>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</si>
  <si>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</si>
  <si>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</si>
  <si>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</si>
  <si>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</si>
  <si>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</si>
  <si>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</si>
  <si>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</si>
  <si>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</si>
  <si>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</si>
  <si>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</si>
  <si>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</si>
  <si>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</si>
  <si>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</si>
  <si>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</si>
  <si>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</si>
  <si>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</si>
  <si>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</si>
  <si>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</si>
  <si>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</si>
  <si>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</si>
  <si>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</si>
  <si>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</si>
  <si>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</si>
  <si>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</si>
  <si>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</si>
  <si>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</si>
  <si>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</si>
  <si>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</si>
  <si>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</si>
  <si>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</si>
  <si>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</si>
  <si>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</si>
  <si>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</si>
  <si>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</si>
  <si>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</si>
  <si>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</si>
  <si>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</si>
  <si>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</si>
  <si>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</si>
  <si>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</si>
  <si>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</si>
  <si>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</si>
  <si>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</si>
  <si>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</si>
  <si>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</si>
  <si>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</si>
  <si>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</si>
  <si>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</si>
  <si>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</si>
  <si>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</si>
  <si>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</si>
  <si>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</si>
  <si>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</si>
  <si>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</si>
  <si>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</si>
  <si>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</si>
  <si>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</si>
  <si>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</si>
  <si>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</si>
  <si>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</si>
  <si>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</si>
  <si>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</si>
  <si>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</si>
  <si>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</si>
  <si>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</si>
  <si>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</si>
  <si>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</si>
  <si>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</si>
  <si>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</si>
  <si>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</si>
  <si>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</si>
  <si>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</si>
  <si>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</si>
  <si>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</si>
  <si>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</si>
  <si>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</si>
  <si>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</si>
  <si>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</si>
  <si>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</si>
  <si>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</si>
  <si>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</si>
  <si>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</si>
  <si>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</si>
  <si>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</si>
  <si>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</si>
  <si>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</si>
  <si>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</si>
  <si>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</si>
  <si>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</si>
  <si>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</si>
  <si>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</si>
  <si>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</si>
  <si>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</si>
  <si>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</si>
  <si>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</si>
  <si>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</si>
  <si>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</si>
  <si>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</si>
  <si>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</si>
  <si>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</si>
  <si>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</si>
  <si>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</si>
  <si>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</si>
  <si>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</si>
  <si>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</si>
  <si>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</si>
  <si>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</si>
  <si>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</si>
  <si>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</si>
  <si>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</si>
  <si>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</si>
  <si>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</si>
  <si>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</si>
  <si>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</si>
  <si>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</si>
  <si>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</si>
  <si>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</si>
  <si>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</si>
  <si>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</si>
  <si>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</si>
  <si>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</si>
  <si>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</si>
  <si>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</si>
  <si>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</si>
  <si>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</si>
  <si>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</si>
  <si>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</si>
  <si>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</si>
  <si>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</si>
  <si>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</si>
  <si>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</si>
  <si>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</si>
  <si>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</si>
  <si>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</si>
  <si>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</si>
  <si>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</si>
  <si>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</si>
  <si>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</si>
  <si>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</si>
  <si>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</si>
  <si>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</si>
  <si>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</si>
  <si>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</si>
  <si>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</si>
  <si>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</si>
  <si>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</si>
  <si>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</si>
  <si>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</si>
  <si>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</si>
  <si>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</si>
  <si>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</si>
  <si>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</si>
  <si>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</si>
  <si>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</si>
  <si>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</si>
  <si>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</si>
  <si>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</si>
  <si>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</si>
  <si>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</si>
  <si>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</si>
  <si>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</si>
  <si>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</si>
  <si>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</si>
  <si>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</si>
  <si>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</si>
  <si>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</si>
  <si>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</si>
  <si>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</si>
  <si>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</si>
  <si>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</si>
  <si>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</si>
  <si>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</si>
  <si>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</si>
  <si>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</si>
  <si>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</si>
  <si>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</si>
  <si>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</si>
  <si>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</si>
  <si>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</si>
  <si>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</si>
  <si>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</si>
  <si>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</si>
  <si>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</si>
  <si>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</si>
  <si>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</si>
  <si>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</si>
  <si>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</si>
  <si>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</si>
  <si>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</si>
  <si>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</si>
  <si>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</si>
  <si>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</si>
  <si>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</si>
  <si>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</si>
  <si>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</si>
  <si>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</si>
  <si>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</si>
  <si>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</si>
  <si>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</si>
  <si>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</si>
  <si>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</si>
  <si>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</si>
  <si>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</si>
  <si>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</si>
  <si>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</si>
  <si>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</si>
  <si>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</si>
  <si>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</si>
  <si>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</si>
  <si>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</si>
  <si>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</si>
  <si>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</si>
  <si>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</si>
  <si>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</si>
  <si>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</si>
  <si>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</si>
  <si>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</si>
  <si>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</si>
  <si>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</si>
  <si>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</si>
  <si>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</si>
  <si>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</si>
  <si>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</si>
  <si>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</si>
  <si>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</si>
  <si>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</si>
  <si>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</si>
  <si>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</si>
  <si>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</si>
  <si>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</si>
  <si>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</si>
  <si>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</si>
  <si>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</si>
  <si>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</si>
  <si>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</si>
  <si>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</si>
  <si>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</si>
  <si>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</si>
  <si>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</si>
  <si>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</si>
  <si>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</si>
  <si>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</si>
  <si>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</si>
  <si>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</si>
  <si>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</si>
  <si>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</si>
  <si>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</si>
  <si>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</si>
  <si>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</si>
  <si>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</si>
  <si>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</si>
  <si>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</si>
  <si>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</si>
  <si>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</si>
  <si>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</si>
  <si>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</si>
  <si>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</si>
  <si>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</si>
  <si>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</si>
  <si>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</si>
  <si>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</si>
  <si>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</si>
  <si>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</si>
  <si>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</si>
  <si>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</si>
  <si>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</si>
  <si>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</si>
  <si>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</si>
  <si>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</si>
  <si>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</si>
  <si>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</si>
  <si>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</si>
  <si>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</si>
  <si>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</si>
  <si>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</si>
  <si>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</si>
  <si>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</si>
  <si>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</si>
  <si>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</si>
  <si>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</si>
  <si>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</si>
  <si>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</si>
  <si>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</si>
  <si>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</si>
  <si>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</si>
  <si>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</si>
  <si>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</si>
  <si>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</si>
  <si>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</si>
  <si>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</si>
  <si>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</si>
  <si>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</si>
  <si>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</si>
  <si>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</si>
  <si>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</si>
  <si>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</si>
  <si>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</si>
  <si>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</si>
  <si>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</si>
  <si>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</si>
  <si>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</si>
  <si>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</si>
  <si>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</si>
  <si>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</si>
  <si>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</si>
  <si>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</si>
  <si>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</si>
  <si>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</si>
  <si>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</si>
  <si>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</si>
  <si>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</si>
  <si>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</si>
  <si>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</si>
  <si>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</si>
  <si>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</si>
  <si>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</si>
  <si>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</si>
  <si>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</si>
  <si>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</si>
  <si>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</si>
  <si>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</si>
  <si>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</si>
  <si>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</si>
  <si>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</si>
  <si>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</si>
  <si>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</si>
  <si>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</si>
  <si>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</si>
  <si>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</si>
  <si>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</si>
  <si>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</si>
  <si>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</si>
  <si>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</si>
  <si>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</si>
  <si>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</si>
  <si>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</si>
  <si>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</si>
  <si>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</si>
  <si>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</si>
  <si>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</si>
  <si>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</si>
  <si>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</si>
  <si>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</si>
  <si>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</si>
  <si>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</si>
  <si>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</si>
  <si>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</si>
  <si>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</si>
  <si>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</si>
  <si>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</si>
  <si>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</si>
  <si>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</si>
  <si>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</si>
  <si>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</si>
  <si>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</si>
  <si>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</si>
  <si>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</si>
  <si>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</si>
  <si>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</si>
  <si>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</si>
  <si>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</si>
  <si>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</si>
  <si>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</si>
  <si>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</si>
  <si>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</si>
  <si>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</si>
  <si>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</si>
  <si>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</si>
  <si>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</si>
  <si>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</si>
  <si>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</si>
  <si>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</si>
  <si>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</si>
  <si>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</si>
  <si>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</si>
  <si>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</si>
  <si>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</si>
  <si>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</si>
  <si>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</si>
  <si>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</si>
  <si>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</si>
  <si>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</si>
  <si>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</si>
  <si>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</si>
  <si>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</si>
  <si>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</si>
  <si>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</si>
  <si>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</si>
  <si>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</si>
  <si>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</si>
  <si>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</si>
  <si>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</si>
  <si>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</si>
  <si>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</si>
  <si>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</si>
  <si>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</si>
  <si>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</si>
  <si>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</si>
  <si>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</si>
  <si>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</si>
  <si>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</si>
  <si>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</si>
  <si>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</si>
  <si>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</si>
  <si>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</si>
  <si>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</si>
  <si>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</si>
  <si>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</si>
  <si>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</si>
  <si>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</si>
  <si>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 xml:space="preserve">Address: Ali Park </t>
  </si>
  <si>
    <t xml:space="preserve">Raza Mart </t>
  </si>
  <si>
    <t xml:space="preserve">B Mart </t>
  </si>
  <si>
    <t xml:space="preserve">Shery Mart </t>
  </si>
  <si>
    <t xml:space="preserve">Hr Mart </t>
  </si>
  <si>
    <t xml:space="preserve">Talha Mart </t>
  </si>
  <si>
    <t>Suban Store</t>
  </si>
  <si>
    <t>Rivo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</si>
</sst>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Raza Mart 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 Mart </v>
      </c>
      <c r="T4" s="301">
        <f>+'2'!P35</f>
        <v>5401.2631679237284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Shery Mart 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Hr Mart 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45</v>
      </c>
      <c r="I7" s="235">
        <f>(G7*D7)*F7+H7*F7</f>
        <v>2360.8125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188.86500000000001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82.628437500000018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2089.3190624999997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446.18644067796589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12.67752751588983</v>
      </c>
      <c r="P7" s="310">
        <f>M7+N7+O7</f>
        <v>2548.1830306938555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Talha Mart 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Suban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35</v>
      </c>
      <c r="I9" s="236">
        <f t="shared" si="0"/>
        <v>1836.1875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146.89499999999998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64.266562500000006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1625.0259375000001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347.03389830508456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9.8602991790254233</v>
      </c>
      <c r="P9" s="311">
        <f t="shared" si="2"/>
        <v>1981.9201349841101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Rivo Store</v>
      </c>
      <c r="T9" s="301">
        <f>+'7'!P35</f>
        <v>2265.051582838983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15012.3</v>
      </c>
      <c r="J16" s="274">
        <f>SUM(J7:J15)</f>
        <v>1200.9839999999999</v>
      </c>
      <c r="K16" s="275">
        <f t="shared" si="3"/>
        <v>525.43050000000005</v>
      </c>
      <c r="L16" s="276">
        <f t="shared" si="3"/>
        <v>0</v>
      </c>
      <c r="M16" s="232">
        <f t="shared" si="3"/>
        <v>13285.8855</v>
      </c>
      <c r="N16" s="233">
        <f>SUM(N7:N15)</f>
        <v>2837.28813559322</v>
      </c>
      <c r="O16" s="101">
        <f>SUM(O7:O15)</f>
        <v>80.615868177966092</v>
      </c>
      <c r="P16" s="113">
        <f>SUM(P7:P15)</f>
        <v>16203.789503771186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15012.3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1200.9839999999999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525.43050000000005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13285.885499999999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2837.28813559322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16123.173635593219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80.615868177966092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16203.789503771184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16203.789503771188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topLeftCell="A7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2026-09-30T08:08:14Z</dcterms:modified>
</cp:coreProperties>
</file>