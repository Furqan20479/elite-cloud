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D903290-AAF0-4E08-8B38-2B45125E7D61}" xr6:coauthVersionLast="47" xr6:coauthVersionMax="47" xr10:uidLastSave="{00000000-0000-0000-0000-000000000000}"/>
  <bookViews>
    <workbookView xWindow="-110" yWindow="-110" windowWidth="19420" windowHeight="10420" tabRatio="948" firstSheet="3" activeTab="6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<sst xmlns="http://schemas.openxmlformats.org/spreadsheetml/2006/main" count="3948" uniqueCount="522">
  <si>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</si>
  <si>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</si>
  <si>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</si>
  <si>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</si>
  <si>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</si>
  <si>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</si>
  <si>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</si>
  <si>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</si>
  <si>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</si>
  <si>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</si>
  <si>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</si>
  <si>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</si>
  <si>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</si>
  <si>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</si>
  <si>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</si>
  <si>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</si>
  <si>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</si>
  <si>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</si>
  <si>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</si>
  <si>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</si>
  <si>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</si>
  <si>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</si>
  <si>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</si>
  <si>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</si>
  <si>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</si>
  <si>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</si>
  <si>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</si>
  <si>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</si>
  <si>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</si>
  <si>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</si>
  <si>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</si>
  <si>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</si>
  <si>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</si>
  <si>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</si>
  <si>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</si>
  <si>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</si>
  <si>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</si>
  <si>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</si>
  <si>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</si>
  <si>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</si>
  <si>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</si>
  <si>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</si>
  <si>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</si>
  <si>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</si>
  <si>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</si>
  <si>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</si>
  <si>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</si>
  <si>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</si>
  <si>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</si>
  <si>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</si>
  <si>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</si>
  <si>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</si>
  <si>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</si>
  <si>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</si>
  <si>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</si>
  <si>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</si>
  <si>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</si>
  <si>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</si>
  <si>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</si>
  <si>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</si>
  <si>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</si>
  <si>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</si>
  <si>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</si>
  <si>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</si>
  <si>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</si>
  <si>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</si>
  <si>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</si>
  <si>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</si>
  <si>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</si>
  <si>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</si>
  <si>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</si>
  <si>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</si>
  <si>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</si>
  <si>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</si>
  <si>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</si>
  <si>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</si>
  <si>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</si>
  <si>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</si>
  <si>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</si>
  <si>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</si>
  <si>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</si>
  <si>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</si>
  <si>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</si>
  <si>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</si>
  <si>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</si>
  <si>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</si>
  <si>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</si>
  <si>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</si>
  <si>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</si>
  <si>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</si>
  <si>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</si>
  <si>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</si>
  <si>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</si>
  <si>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</si>
  <si>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</si>
  <si>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</si>
  <si>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</si>
  <si>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</si>
  <si>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</si>
  <si>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</si>
  <si>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</si>
  <si>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</si>
  <si>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</si>
  <si>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</si>
  <si>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</si>
  <si>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</si>
  <si>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</si>
  <si>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</si>
  <si>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</si>
  <si>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</si>
  <si>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</si>
  <si>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</si>
  <si>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</si>
  <si>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</si>
  <si>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</si>
  <si>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</si>
  <si>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</si>
  <si>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</si>
  <si>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</si>
  <si>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</si>
  <si>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</si>
  <si>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</si>
  <si>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</si>
  <si>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</si>
  <si>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</si>
  <si>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</si>
  <si>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</si>
  <si>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</si>
  <si>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</si>
  <si>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</si>
  <si>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</si>
  <si>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</si>
  <si>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</si>
  <si>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</si>
  <si>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</si>
  <si>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</si>
  <si>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</si>
  <si>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</si>
  <si>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</si>
  <si>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</si>
  <si>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</si>
  <si>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</si>
  <si>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</si>
  <si>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</si>
  <si>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</si>
  <si>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</si>
  <si>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</si>
  <si>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</si>
  <si>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</si>
  <si>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</si>
  <si>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</si>
  <si>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</si>
  <si>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</si>
  <si>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</si>
  <si>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</si>
  <si>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</si>
  <si>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</si>
  <si>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</si>
  <si>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</si>
  <si>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</si>
  <si>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</si>
  <si>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</si>
  <si>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</si>
  <si>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</si>
  <si>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</si>
  <si>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</si>
  <si>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</si>
  <si>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</si>
  <si>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</si>
  <si>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</si>
  <si>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</si>
  <si>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</si>
  <si>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</si>
  <si>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</si>
  <si>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</si>
  <si>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</si>
  <si>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</si>
  <si>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</si>
  <si>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</si>
  <si>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</si>
  <si>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</si>
  <si>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</si>
  <si>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</si>
  <si>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</si>
  <si>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</si>
  <si>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</si>
  <si>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</si>
  <si>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</si>
  <si>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</si>
  <si>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</si>
  <si>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</si>
  <si>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</si>
  <si>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</si>
  <si>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</si>
  <si>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</si>
  <si>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</si>
  <si>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</si>
  <si>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</si>
  <si>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</si>
  <si>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</si>
  <si>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</si>
  <si>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</si>
  <si>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</si>
  <si>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</si>
  <si>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</si>
  <si>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</si>
  <si>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</si>
  <si>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</si>
  <si>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</si>
  <si>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</si>
  <si>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</si>
  <si>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</si>
  <si>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</si>
  <si>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</si>
  <si>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</si>
  <si>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</si>
  <si>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</si>
  <si>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</si>
  <si>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</si>
  <si>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</si>
  <si>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</si>
  <si>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</si>
  <si>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</si>
  <si>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</si>
  <si>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</si>
  <si>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</si>
  <si>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</si>
  <si>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</si>
  <si>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</si>
  <si>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</si>
  <si>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</si>
  <si>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</si>
  <si>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</si>
  <si>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</si>
  <si>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</si>
  <si>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</si>
  <si>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</si>
  <si>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</si>
  <si>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</si>
  <si>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</si>
  <si>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</si>
  <si>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</si>
  <si>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</si>
  <si>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</si>
  <si>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</si>
  <si>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</si>
  <si>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</si>
  <si>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</si>
  <si>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</si>
  <si>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</si>
  <si>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</si>
  <si>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</si>
  <si>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</si>
  <si>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</si>
  <si>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</si>
  <si>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</si>
  <si>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</si>
  <si>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</si>
  <si>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</si>
  <si>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</si>
  <si>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</si>
  <si>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</si>
  <si>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</si>
  <si>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</si>
  <si>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</si>
  <si>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</si>
  <si>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</si>
  <si>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</si>
  <si>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</si>
  <si>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</si>
  <si>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</si>
  <si>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</si>
  <si>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</si>
  <si>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</si>
  <si>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</si>
  <si>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</si>
  <si>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</si>
  <si>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</si>
  <si>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</si>
  <si>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</si>
  <si>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</si>
  <si>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</si>
  <si>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</si>
  <si>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</si>
  <si>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</si>
  <si>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</si>
  <si>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</si>
  <si>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</si>
  <si>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</si>
  <si>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</si>
  <si>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</si>
  <si>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</si>
  <si>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</si>
  <si>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</si>
  <si>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</si>
  <si>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</si>
  <si>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</si>
  <si>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</si>
  <si>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</si>
  <si>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</si>
  <si>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</si>
  <si>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</si>
  <si>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</si>
  <si>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</si>
  <si>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</si>
  <si>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</si>
  <si>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</si>
  <si>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</si>
  <si>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</si>
  <si>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</si>
  <si>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</si>
  <si>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</si>
  <si>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</si>
  <si>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</si>
  <si>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</si>
  <si>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</si>
  <si>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</si>
  <si>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</si>
  <si>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</si>
  <si>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</si>
  <si>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</si>
  <si>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</si>
  <si>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</si>
  <si>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</si>
  <si>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</si>
  <si>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</si>
  <si>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</si>
  <si>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</si>
  <si>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</si>
  <si>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</si>
  <si>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</si>
  <si>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</si>
  <si>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</si>
  <si>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</si>
  <si>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</si>
  <si>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</si>
  <si>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</si>
  <si>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</si>
  <si>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</si>
  <si>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</si>
  <si>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</si>
  <si>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</si>
  <si>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</si>
  <si>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</si>
  <si>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</si>
  <si>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</si>
  <si>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</si>
  <si>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</si>
  <si>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</si>
  <si>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</si>
  <si>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</si>
  <si>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</si>
  <si>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</si>
  <si>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</si>
  <si>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</si>
  <si>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</si>
  <si>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</si>
  <si>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</si>
  <si>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</si>
  <si>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</si>
  <si>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</si>
  <si>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</si>
  <si>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</si>
  <si>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</si>
  <si>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</si>
  <si>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</si>
  <si>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</si>
  <si>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</si>
  <si>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</si>
  <si>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</si>
  <si>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</si>
  <si>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</si>
  <si>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</si>
  <si>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</si>
  <si>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</si>
  <si>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</si>
  <si>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</si>
  <si>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</si>
  <si>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</si>
  <si>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</si>
  <si>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</si>
  <si>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</si>
  <si>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</si>
  <si>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</si>
  <si>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</si>
  <si>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</si>
  <si>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</si>
  <si>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</si>
  <si>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</si>
  <si>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</si>
  <si>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</si>
  <si>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</si>
  <si>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</si>
  <si>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</si>
  <si>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</si>
  <si>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</si>
  <si>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</si>
  <si>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</si>
  <si>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</si>
  <si>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</si>
  <si>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</si>
  <si>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</si>
  <si>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</si>
  <si>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</si>
  <si>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</si>
  <si>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</si>
  <si>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</si>
  <si>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</si>
  <si>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</si>
  <si>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</si>
  <si>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</si>
  <si>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</si>
  <si>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</si>
  <si>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</si>
  <si>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</si>
  <si>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</si>
  <si>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</si>
  <si>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</si>
  <si>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</si>
  <si>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</si>
  <si>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</si>
  <si>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</si>
  <si>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</si>
  <si>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</si>
  <si>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</si>
  <si>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</si>
  <si>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</si>
  <si>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</si>
  <si>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</si>
  <si>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</si>
  <si>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</si>
  <si>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</si>
  <si>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</si>
  <si>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</si>
  <si>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</si>
  <si>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</si>
  <si>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</si>
  <si>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</si>
  <si>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</si>
  <si>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</si>
  <si>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</si>
  <si>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</si>
  <si>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</si>
  <si>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</si>
  <si>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</si>
  <si>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</si>
  <si>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</si>
  <si>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</si>
  <si>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</si>
  <si>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</si>
  <si>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</si>
  <si>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</si>
  <si>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</si>
  <si>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</si>
  <si>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</si>
  <si>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</si>
  <si>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</si>
  <si>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</si>
  <si>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</si>
  <si>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</si>
  <si>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</si>
  <si>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</si>
  <si>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</si>
  <si>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</si>
  <si>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</si>
  <si>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</si>
  <si>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</si>
  <si>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</si>
  <si>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</si>
  <si>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</si>
  <si>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</si>
  <si>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</si>
  <si>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</si>
  <si>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</si>
  <si>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</si>
  <si>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</si>
  <si>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</si>
  <si>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</si>
  <si>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</si>
  <si>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</si>
  <si>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</si>
  <si>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</si>
  <si>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</si>
  <si>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</si>
  <si>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</si>
  <si>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</si>
  <si>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</si>
  <si>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</si>
  <si>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</si>
  <si>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</si>
  <si>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</si>
  <si>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</si>
  <si>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</si>
  <si>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</si>
  <si>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</si>
  <si>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</si>
  <si>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</si>
  <si>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</si>
  <si>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</si>
  <si>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</si>
  <si>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</si>
  <si>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</si>
  <si>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</si>
  <si>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</si>
  <si>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</si>
  <si>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</si>
  <si>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</si>
  <si>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</si>
  <si>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</si>
  <si>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</si>
  <si>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</si>
  <si>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</si>
  <si>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</si>
  <si>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</si>
  <si>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>Address: Makkah Colony</t>
  </si>
  <si>
    <t>Khan Store</t>
  </si>
  <si>
    <t>Ghosia GS</t>
  </si>
  <si>
    <t>Address: Modal Colony =Bazar</t>
  </si>
  <si>
    <t>Butt GS</t>
  </si>
  <si>
    <t>Ali Hajweri Store</t>
  </si>
  <si>
    <t xml:space="preserve">Chand Cash N Carry </t>
  </si>
  <si>
    <t xml:space="preserve">Address: Ferdos Market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</si>
</sst>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H39" sqref="H3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46283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Khan Store</v>
      </c>
      <c r="T3" s="301">
        <f>+'1'!P35</f>
        <v>9408.6347552542375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Ghosia GS</v>
      </c>
      <c r="T4" s="301">
        <f>+'2'!P35</f>
        <v>940.86347552542372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Butt GS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Ali Hajweri Store</v>
      </c>
      <c r="T6" s="301">
        <f>+'4'!P35</f>
        <v>2700.6315839618646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10</v>
      </c>
      <c r="I7" s="235">
        <f>(G7*D7)*F7+H7*F7</f>
        <v>524.625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41.97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18.361875000000001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464.29312500000003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99.152542372881314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2.8172283368644067</v>
      </c>
      <c r="P7" s="310">
        <f>M7+N7+O7</f>
        <v>566.26289570974575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Chand Cash N Carry </v>
      </c>
      <c r="T7" s="301">
        <f>+'5'!P35</f>
        <v>5401.2631679237293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20</v>
      </c>
      <c r="I9" s="236">
        <f t="shared" si="0"/>
        <v>1049.25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83.94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36.723750000000003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928.58625000000006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198.30508474576263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5.6344566737288133</v>
      </c>
      <c r="P9" s="311">
        <f t="shared" si="2"/>
        <v>1132.5257914194915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52</v>
      </c>
      <c r="I10" s="236">
        <f t="shared" si="0"/>
        <v>3777.28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302.18240000000003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132.20480000000001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3342.8928000000001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713.89830508474574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20.283955525423728</v>
      </c>
      <c r="P10" s="311">
        <f t="shared" si="2"/>
        <v>4077.0750606101697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23.404564067796613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12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464.89600000000002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5142.9120000000003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31.206085423728815</v>
      </c>
      <c r="P12" s="311">
        <f t="shared" si="2"/>
        <v>6272.4231701694916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12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6.3</v>
      </c>
      <c r="H16" s="113">
        <f t="shared" ref="H16:M16" si="3">SUM(H7:H15)</f>
        <v>252</v>
      </c>
      <c r="I16" s="114">
        <f t="shared" si="3"/>
        <v>17094.63</v>
      </c>
      <c r="J16" s="274">
        <f>SUM(J7:J15)</f>
        <v>1367.5704000000001</v>
      </c>
      <c r="K16" s="275">
        <f t="shared" si="3"/>
        <v>598.31205000000011</v>
      </c>
      <c r="L16" s="276">
        <f t="shared" si="3"/>
        <v>0</v>
      </c>
      <c r="M16" s="232">
        <f t="shared" si="3"/>
        <v>15128.74755</v>
      </c>
      <c r="N16" s="233">
        <f>SUM(N7:N15)</f>
        <v>3230.8474576271183</v>
      </c>
      <c r="O16" s="101">
        <f>SUM(O7:O15)</f>
        <v>91.797975038135604</v>
      </c>
      <c r="P16" s="113">
        <f>SUM(P7:P15)</f>
        <v>18451.392982665253</v>
      </c>
      <c r="Q16" s="128">
        <f>SUM(Q7:Q15)</f>
        <v>24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17094.63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1367.5704000000001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598.31205000000011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15128.74755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3230.8474576271183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18359.595007627118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91.797975038135604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18451.392982665253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18451.392982665253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120</v>
      </c>
      <c r="I25" s="114">
        <f t="shared" ref="I25:M25" si="10">SUM(I16:I24)</f>
        <v>8716.7999999999993</v>
      </c>
      <c r="J25" s="274">
        <f>SUM(J16:J24)</f>
        <v>697.34400000000005</v>
      </c>
      <c r="K25" s="275">
        <f t="shared" si="10"/>
        <v>305.08800000000002</v>
      </c>
      <c r="L25" s="276">
        <f t="shared" si="10"/>
        <v>0</v>
      </c>
      <c r="M25" s="232">
        <f t="shared" si="10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517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30.508800000000004</v>
      </c>
      <c r="L25" s="276">
        <f t="shared" si="7"/>
        <v>0</v>
      </c>
      <c r="M25" s="232">
        <f t="shared" si="7"/>
        <v>771.43680000000006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940.86347552542372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abSelected="1" topLeftCell="A6" workbookViewId="0">
      <selection activeCell="H21" sqref="H20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12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12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2502.0500000000002</v>
      </c>
      <c r="J25" s="274">
        <f>SUM(J16:J24)</f>
        <v>200.16399999999999</v>
      </c>
      <c r="K25" s="275">
        <f t="shared" si="7"/>
        <v>87.571750000000009</v>
      </c>
      <c r="L25" s="276">
        <f t="shared" si="7"/>
        <v>0</v>
      </c>
      <c r="M25" s="232">
        <f t="shared" si="7"/>
        <v>2214.3142500000004</v>
      </c>
      <c r="N25" s="233">
        <f>SUM(N16:N24)</f>
        <v>472.88135593220329</v>
      </c>
      <c r="O25" s="101">
        <f>SUM(O16:O24)</f>
        <v>13.435978029661017</v>
      </c>
      <c r="P25" s="234">
        <f>SUM(P16:P24)</f>
        <v>2700.6315839618646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2502.0500000000002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200.16399999999999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87.571750000000009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2214.3142500000004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472.88135593220329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2687.1956059322038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13.435978029661019</v>
      </c>
    </row>
    <row r="35" spans="2:16" ht="15.75" customHeight="1" thickBot="1" x14ac:dyDescent="0.4">
      <c r="N35" s="345" t="s">
        <v>88</v>
      </c>
      <c r="O35" s="346"/>
      <c r="P35" s="297">
        <f>+P33+P34</f>
        <v>2700.6315839618646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</v>
      </c>
      <c r="I18" s="236">
        <f t="shared" si="0"/>
        <v>1049.25</v>
      </c>
      <c r="J18" s="272">
        <f t="shared" si="1"/>
        <v>83.94</v>
      </c>
      <c r="K18" s="128">
        <f t="shared" si="1"/>
        <v>36.723750000000003</v>
      </c>
      <c r="L18" s="119">
        <f t="shared" si="1"/>
        <v>0</v>
      </c>
      <c r="M18" s="230">
        <f t="shared" si="2"/>
        <v>928.58625000000006</v>
      </c>
      <c r="N18" s="277">
        <f t="shared" si="3"/>
        <v>198.30508474576263</v>
      </c>
      <c r="O18" s="239">
        <f t="shared" si="4"/>
        <v>5.6344566737288133</v>
      </c>
      <c r="P18" s="119">
        <f t="shared" si="5"/>
        <v>1132.5257914194915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26.871956059322031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46283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46282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Furqan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46284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46283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2026-09-18T12:16:52Z</dcterms:modified>
</cp:coreProperties>
</file>