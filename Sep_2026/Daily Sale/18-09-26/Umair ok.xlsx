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78C1D9D-EFDC-43C9-BAEB-B18628EB4013}" xr6:coauthVersionLast="47" xr6:coauthVersionMax="47" xr10:uidLastSave="{00000000-0000-0000-0000-000000000000}"/>
  <bookViews>
    <workbookView xWindow="-110" yWindow="-110" windowWidth="19420" windowHeight="10420" tabRatio="948" firstSheet="3" activeTab="8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<sst xmlns="http://schemas.openxmlformats.org/spreadsheetml/2006/main" count="3948" uniqueCount="520">
  <si>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</si>
  <si>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</si>
  <si>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</si>
  <si>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</si>
  <si>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</si>
  <si>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</si>
  <si>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</si>
  <si>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</si>
  <si>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</si>
  <si>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</si>
  <si>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</si>
  <si>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</si>
  <si>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</si>
  <si>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</si>
  <si>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</si>
  <si>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</si>
  <si>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</si>
  <si>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</si>
  <si>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</si>
  <si>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</si>
  <si>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</si>
  <si>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</si>
  <si>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</si>
  <si>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</si>
  <si>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</si>
  <si>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</si>
  <si>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</si>
  <si>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</si>
  <si>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</si>
  <si>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</si>
  <si>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</si>
  <si>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</si>
  <si>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</si>
  <si>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</si>
  <si>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</si>
  <si>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</si>
  <si>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</si>
  <si>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</si>
  <si>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</si>
  <si>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</si>
  <si>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</si>
  <si>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</si>
  <si>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</si>
  <si>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</si>
  <si>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</si>
  <si>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</si>
  <si>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</si>
  <si>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</si>
  <si>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</si>
  <si>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</si>
  <si>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</si>
  <si>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</si>
  <si>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</si>
  <si>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</si>
  <si>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</si>
  <si>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</si>
  <si>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</si>
  <si>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</si>
  <si>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</si>
  <si>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</si>
  <si>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</si>
  <si>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</si>
  <si>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</si>
  <si>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</si>
  <si>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</si>
  <si>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</si>
  <si>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</si>
  <si>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</si>
  <si>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</si>
  <si>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</si>
  <si>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</si>
  <si>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</si>
  <si>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</si>
  <si>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</si>
  <si>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</si>
  <si>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</si>
  <si>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</si>
  <si>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</si>
  <si>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</si>
  <si>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</si>
  <si>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</si>
  <si>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</si>
  <si>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</si>
  <si>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</si>
  <si>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</si>
  <si>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</si>
  <si>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</si>
  <si>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</si>
  <si>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</si>
  <si>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</si>
  <si>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</si>
  <si>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</si>
  <si>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</si>
  <si>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</si>
  <si>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</si>
  <si>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</si>
  <si>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</si>
  <si>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</si>
  <si>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</si>
  <si>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</si>
  <si>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</si>
  <si>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</si>
  <si>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</si>
  <si>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</si>
  <si>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</si>
  <si>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</si>
  <si>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</si>
  <si>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</si>
  <si>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</si>
  <si>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</si>
  <si>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</si>
  <si>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</si>
  <si>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</si>
  <si>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</si>
  <si>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</si>
  <si>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</si>
  <si>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</si>
  <si>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</si>
  <si>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</si>
  <si>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</si>
  <si>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</si>
  <si>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</si>
  <si>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</si>
  <si>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</si>
  <si>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</si>
  <si>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</si>
  <si>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</si>
  <si>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</si>
  <si>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</si>
  <si>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</si>
  <si>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</si>
  <si>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</si>
  <si>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</si>
  <si>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</si>
  <si>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</si>
  <si>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</si>
  <si>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</si>
  <si>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</si>
  <si>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</si>
  <si>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</si>
  <si>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</si>
  <si>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</si>
  <si>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</si>
  <si>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</si>
  <si>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</si>
  <si>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</si>
  <si>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</si>
  <si>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</si>
  <si>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</si>
  <si>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</si>
  <si>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</si>
  <si>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</si>
  <si>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</si>
  <si>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</si>
  <si>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</si>
  <si>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</si>
  <si>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</si>
  <si>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</si>
  <si>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</si>
  <si>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</si>
  <si>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</si>
  <si>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</si>
  <si>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</si>
  <si>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</si>
  <si>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</si>
  <si>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</si>
  <si>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</si>
  <si>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</si>
  <si>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</si>
  <si>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</si>
  <si>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</si>
  <si>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</si>
  <si>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</si>
  <si>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</si>
  <si>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</si>
  <si>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</si>
  <si>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</si>
  <si>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</si>
  <si>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</si>
  <si>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</si>
  <si>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</si>
  <si>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</si>
  <si>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</si>
  <si>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</si>
  <si>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</si>
  <si>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</si>
  <si>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</si>
  <si>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</si>
  <si>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</si>
  <si>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</si>
  <si>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</si>
  <si>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</si>
  <si>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</si>
  <si>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</si>
  <si>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</si>
  <si>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</si>
  <si>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</si>
  <si>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</si>
  <si>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</si>
  <si>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</si>
  <si>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</si>
  <si>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</si>
  <si>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</si>
  <si>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</si>
  <si>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</si>
  <si>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</si>
  <si>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</si>
  <si>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</si>
  <si>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</si>
  <si>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</si>
  <si>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</si>
  <si>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</si>
  <si>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</si>
  <si>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</si>
  <si>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</si>
  <si>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</si>
  <si>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</si>
  <si>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</si>
  <si>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</si>
  <si>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</si>
  <si>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</si>
  <si>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</si>
  <si>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</si>
  <si>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</si>
  <si>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</si>
  <si>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</si>
  <si>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</si>
  <si>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</si>
  <si>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</si>
  <si>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</si>
  <si>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</si>
  <si>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</si>
  <si>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</si>
  <si>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</si>
  <si>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</si>
  <si>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</si>
  <si>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</si>
  <si>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</si>
  <si>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</si>
  <si>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</si>
  <si>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</si>
  <si>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</si>
  <si>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</si>
  <si>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</si>
  <si>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</si>
  <si>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</si>
  <si>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</si>
  <si>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</si>
  <si>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</si>
  <si>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</si>
  <si>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</si>
  <si>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</si>
  <si>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</si>
  <si>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</si>
  <si>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</si>
  <si>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</si>
  <si>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</si>
  <si>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</si>
  <si>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</si>
  <si>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</si>
  <si>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</si>
  <si>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</si>
  <si>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</si>
  <si>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</si>
  <si>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</si>
  <si>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</si>
  <si>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</si>
  <si>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</si>
  <si>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</si>
  <si>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</si>
  <si>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</si>
  <si>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</si>
  <si>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</si>
  <si>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</si>
  <si>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</si>
  <si>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</si>
  <si>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</si>
  <si>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</si>
  <si>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</si>
  <si>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</si>
  <si>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</si>
  <si>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</si>
  <si>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</si>
  <si>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</si>
  <si>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</si>
  <si>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</si>
  <si>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</si>
  <si>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</si>
  <si>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</si>
  <si>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</si>
  <si>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</si>
  <si>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</si>
  <si>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</si>
  <si>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</si>
  <si>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</si>
  <si>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</si>
  <si>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</si>
  <si>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</si>
  <si>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</si>
  <si>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</si>
  <si>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</si>
  <si>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</si>
  <si>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</si>
  <si>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</si>
  <si>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</si>
  <si>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</si>
  <si>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</si>
  <si>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</si>
  <si>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</si>
  <si>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</si>
  <si>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</si>
  <si>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</si>
  <si>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</si>
  <si>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</si>
  <si>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</si>
  <si>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</si>
  <si>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</si>
  <si>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</si>
  <si>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</si>
  <si>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</si>
  <si>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</si>
  <si>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</si>
  <si>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</si>
  <si>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</si>
  <si>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</si>
  <si>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</si>
  <si>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</si>
  <si>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</si>
  <si>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</si>
  <si>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</si>
  <si>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</si>
  <si>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</si>
  <si>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</si>
  <si>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</si>
  <si>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</si>
  <si>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</si>
  <si>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</si>
  <si>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</si>
  <si>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</si>
  <si>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</si>
  <si>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</si>
  <si>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</si>
  <si>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</si>
  <si>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</si>
  <si>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</si>
  <si>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</si>
  <si>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</si>
  <si>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</si>
  <si>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</si>
  <si>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</si>
  <si>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</si>
  <si>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</si>
  <si>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</si>
  <si>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</si>
  <si>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</si>
  <si>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</si>
  <si>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</si>
  <si>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</si>
  <si>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</si>
  <si>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</si>
  <si>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</si>
  <si>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</si>
  <si>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</si>
  <si>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</si>
  <si>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</si>
  <si>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</si>
  <si>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</si>
  <si>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</si>
  <si>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</si>
  <si>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</si>
  <si>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</si>
  <si>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</si>
  <si>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</si>
  <si>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</si>
  <si>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</si>
  <si>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</si>
  <si>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</si>
  <si>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</si>
  <si>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</si>
  <si>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</si>
  <si>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</si>
  <si>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</si>
  <si>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</si>
  <si>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</si>
  <si>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</si>
  <si>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</si>
  <si>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</si>
  <si>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</si>
  <si>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</si>
  <si>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</si>
  <si>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</si>
  <si>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</si>
  <si>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</si>
  <si>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</si>
  <si>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</si>
  <si>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</si>
  <si>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</si>
  <si>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</si>
  <si>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</si>
  <si>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</si>
  <si>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</si>
  <si>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</si>
  <si>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</si>
  <si>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</si>
  <si>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</si>
  <si>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</si>
  <si>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</si>
  <si>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</si>
  <si>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</si>
  <si>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</si>
  <si>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</si>
  <si>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</si>
  <si>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</si>
  <si>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</si>
  <si>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</si>
  <si>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</si>
  <si>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</si>
  <si>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</si>
  <si>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</si>
  <si>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</si>
  <si>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</si>
  <si>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</si>
  <si>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</si>
  <si>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</si>
  <si>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</si>
  <si>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</si>
  <si>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</si>
  <si>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</si>
  <si>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</si>
  <si>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</si>
  <si>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</si>
  <si>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</si>
  <si>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</si>
  <si>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</si>
  <si>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</si>
  <si>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</si>
  <si>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</si>
  <si>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</si>
  <si>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</si>
  <si>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</si>
  <si>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</si>
  <si>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</si>
  <si>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</si>
  <si>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</si>
  <si>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</si>
  <si>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</si>
  <si>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</si>
  <si>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</si>
  <si>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</si>
  <si>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</si>
  <si>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</si>
  <si>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</si>
  <si>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</si>
  <si>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</si>
  <si>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</si>
  <si>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</si>
  <si>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</si>
  <si>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</si>
  <si>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</si>
  <si>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</si>
  <si>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</si>
  <si>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</si>
  <si>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</si>
  <si>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</si>
  <si>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</si>
  <si>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</si>
  <si>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</si>
  <si>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</si>
  <si>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</si>
  <si>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</si>
  <si>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</si>
  <si>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</si>
  <si>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</si>
  <si>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</si>
  <si>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</si>
  <si>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</si>
  <si>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</si>
  <si>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</si>
  <si>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</si>
  <si>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</si>
  <si>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</si>
  <si>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</si>
  <si>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</si>
  <si>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</si>
  <si>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</si>
  <si>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</si>
  <si>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</si>
  <si>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</si>
  <si>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</si>
  <si>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</si>
  <si>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</si>
  <si>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</si>
  <si>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</si>
  <si>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</si>
  <si>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</si>
  <si>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</si>
  <si>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</si>
  <si>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</si>
  <si>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</si>
  <si>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</si>
  <si>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</si>
  <si>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</si>
  <si>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</si>
  <si>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</si>
  <si>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</si>
  <si>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</si>
  <si>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</si>
  <si>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</si>
  <si>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</si>
  <si>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</si>
  <si>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</si>
  <si>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</si>
  <si>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</si>
  <si>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</si>
  <si>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>Address: Qanchi Bazar</t>
  </si>
  <si>
    <t xml:space="preserve">Sheikh mehboob store </t>
  </si>
  <si>
    <t>Bismillah cash n carry</t>
  </si>
  <si>
    <t>Meo brothers store</t>
  </si>
  <si>
    <t>Fresh way bakers</t>
  </si>
  <si>
    <t>Address: Ferozpur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</si>
</sst>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6" activeCellId="2" sqref="S3 S5 S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46283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Sheikh mehboob store </v>
      </c>
      <c r="T3" s="301">
        <f>+'1'!P35</f>
        <v>1411.2952132881355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Bismillah cash n carry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Meo brothers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Fresh way bakers</v>
      </c>
      <c r="T6" s="301">
        <f>+'4'!P35</f>
        <v>2265.051582838983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15</v>
      </c>
      <c r="I7" s="235">
        <f>(G7*D7)*F7+H7*F7</f>
        <v>786.9375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62.954999999999998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27.542812500000004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696.43968749999999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148.72881355932196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4.22584250529661</v>
      </c>
      <c r="P7" s="310">
        <f>M7+N7+O7</f>
        <v>849.39434356461845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13</v>
      </c>
      <c r="I8" s="236">
        <f t="shared" ref="I8:I14" si="0">(G8*D8)*F8+H8*F8</f>
        <v>682.01249999999993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54.560999999999993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23.870437500000001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603.58106249999992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128.89830508474572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3.6623968379237284</v>
      </c>
      <c r="P8" s="311">
        <f t="shared" ref="P8:P15" si="2">M8+N8+O8</f>
        <v>736.14176442266944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</v>
      </c>
      <c r="I9" s="236">
        <f t="shared" si="0"/>
        <v>629.54999999999995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50.363999999999997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22.03425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557.15174999999999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118.98305084745758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3.3806740042372878</v>
      </c>
      <c r="P9" s="311">
        <f t="shared" si="2"/>
        <v>679.51547485169488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21</v>
      </c>
      <c r="I10" s="236">
        <f t="shared" si="0"/>
        <v>1525.44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122.0352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53.390400000000007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1350.0144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288.30508474576277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8.1915974237288136</v>
      </c>
      <c r="P10" s="311">
        <f t="shared" si="2"/>
        <v>1646.5110821694916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15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18</v>
      </c>
      <c r="I11" s="236">
        <f t="shared" si="0"/>
        <v>1307.52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104.60160000000002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45.763200000000005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1157.1551999999999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247.11864406779662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7.0213692203389835</v>
      </c>
      <c r="P11" s="311">
        <f t="shared" si="2"/>
        <v>1411.2952132881355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12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19</v>
      </c>
      <c r="I12" s="236">
        <f t="shared" si="0"/>
        <v>1380.16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110.4128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48.305600000000005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1221.4416000000001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260.84745762711862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7.4114452881355941</v>
      </c>
      <c r="P12" s="311">
        <f t="shared" si="2"/>
        <v>1489.7005029152544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13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2.4500000000000002</v>
      </c>
      <c r="H16" s="113">
        <f t="shared" ref="H16:M16" si="3">SUM(H7:H15)</f>
        <v>98</v>
      </c>
      <c r="I16" s="114">
        <f t="shared" si="3"/>
        <v>6311.62</v>
      </c>
      <c r="J16" s="274">
        <f>SUM(J7:J15)</f>
        <v>504.92960000000005</v>
      </c>
      <c r="K16" s="275">
        <f t="shared" si="3"/>
        <v>220.90670000000003</v>
      </c>
      <c r="L16" s="276">
        <f t="shared" si="3"/>
        <v>0</v>
      </c>
      <c r="M16" s="232">
        <f t="shared" si="3"/>
        <v>5585.7837</v>
      </c>
      <c r="N16" s="233">
        <f>SUM(N7:N15)</f>
        <v>1192.8813559322032</v>
      </c>
      <c r="O16" s="101">
        <f>SUM(O7:O15)</f>
        <v>33.89332527966102</v>
      </c>
      <c r="P16" s="113">
        <f>SUM(P7:P15)</f>
        <v>6812.5583812118639</v>
      </c>
      <c r="Q16" s="128">
        <f>SUM(Q7:Q15)</f>
        <v>40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6311.62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504.92960000000005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220.90670000000003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5585.783699999999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1192.8813559322032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6778.6650559322024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33.89332527966102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6812.5583812118639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6812.5583812118639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3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7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7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7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18</v>
      </c>
      <c r="I25" s="114">
        <f t="shared" ref="I25:M25" si="10">SUM(I16:I24)</f>
        <v>1307.52</v>
      </c>
      <c r="J25" s="274">
        <f>SUM(J16:J24)</f>
        <v>104.60160000000002</v>
      </c>
      <c r="K25" s="275">
        <f t="shared" si="10"/>
        <v>45.763200000000005</v>
      </c>
      <c r="L25" s="276">
        <f t="shared" si="10"/>
        <v>0</v>
      </c>
      <c r="M25" s="232">
        <f t="shared" si="10"/>
        <v>1157.1552000000001</v>
      </c>
      <c r="N25" s="233">
        <f>SUM(N16:N24)</f>
        <v>247.11864406779662</v>
      </c>
      <c r="O25" s="101">
        <f>SUM(O16:O24)</f>
        <v>7.0213692203389835</v>
      </c>
      <c r="P25" s="234">
        <f>SUM(P16:P24)</f>
        <v>1411.2952132881355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1307.52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104.60160000000002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45.763200000000005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1157.1551999999999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247.11864406779662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1404.2738440677965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7.0213692203389826</v>
      </c>
    </row>
    <row r="35" spans="2:16" ht="15.75" customHeight="1" thickBot="1" x14ac:dyDescent="0.4">
      <c r="N35" s="374" t="s">
        <v>88</v>
      </c>
      <c r="O35" s="375"/>
      <c r="P35" s="297">
        <f>+P33+P34</f>
        <v>1411.2952132881355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H21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12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13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0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119">
        <f t="shared" si="5"/>
        <v>1019.2687651525424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119">
        <f t="shared" ref="P17:P24" si="5">M17+N17+O17</f>
        <v>736.14176442266944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abSelected="1" topLeftCell="A8"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2026-09-30T08:05:03Z</dcterms:modified>
</cp:coreProperties>
</file>