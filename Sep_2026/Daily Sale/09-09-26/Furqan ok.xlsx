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A8041D0-C126-4250-B6A3-776E9609685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<sst xmlns="http://schemas.openxmlformats.org/spreadsheetml/2006/main" count="3948" uniqueCount="524">
  <si>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</si>
  <si>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</si>
  <si>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</si>
  <si>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</si>
  <si>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</si>
  <si>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</si>
  <si>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</si>
  <si>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</si>
  <si>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</si>
  <si>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</si>
  <si>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</si>
  <si>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</si>
  <si>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</si>
  <si>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</si>
  <si>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</si>
  <si>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</si>
  <si>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</si>
  <si>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</si>
  <si>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</si>
  <si>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</si>
  <si>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</si>
  <si>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</si>
  <si>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</si>
  <si>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</si>
  <si>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</si>
  <si>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</si>
  <si>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</si>
  <si>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</si>
  <si>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</si>
  <si>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</si>
  <si>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</si>
  <si>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</si>
  <si>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</si>
  <si>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</si>
  <si>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</si>
  <si>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</si>
  <si>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</si>
  <si>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</si>
  <si>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</si>
  <si>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</si>
  <si>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</si>
  <si>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</si>
  <si>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</si>
  <si>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</si>
  <si>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</si>
  <si>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</si>
  <si>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</si>
  <si>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</si>
  <si>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</si>
  <si>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</si>
  <si>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</si>
  <si>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</si>
  <si>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</si>
  <si>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</si>
  <si>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</si>
  <si>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</si>
  <si>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</si>
  <si>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</si>
  <si>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</si>
  <si>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</si>
  <si>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</si>
  <si>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</si>
  <si>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</si>
  <si>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</si>
  <si>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</si>
  <si>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</si>
  <si>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</si>
  <si>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</si>
  <si>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</si>
  <si>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</si>
  <si>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</si>
  <si>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</si>
  <si>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</si>
  <si>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</si>
  <si>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</si>
  <si>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</si>
  <si>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</si>
  <si>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</si>
  <si>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</si>
  <si>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</si>
  <si>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</si>
  <si>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</si>
  <si>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</si>
  <si>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</si>
  <si>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</si>
  <si>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</si>
  <si>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</si>
  <si>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</si>
  <si>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</si>
  <si>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</si>
  <si>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</si>
  <si>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</si>
  <si>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</si>
  <si>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</si>
  <si>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</si>
  <si>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</si>
  <si>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</si>
  <si>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</si>
  <si>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</si>
  <si>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</si>
  <si>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</si>
  <si>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</si>
  <si>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</si>
  <si>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</si>
  <si>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</si>
  <si>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</si>
  <si>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</si>
  <si>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</si>
  <si>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</si>
  <si>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</si>
  <si>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</si>
  <si>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</si>
  <si>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</si>
  <si>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</si>
  <si>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</si>
  <si>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</si>
  <si>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</si>
  <si>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</si>
  <si>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</si>
  <si>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</si>
  <si>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</si>
  <si>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</si>
  <si>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</si>
  <si>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</si>
  <si>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</si>
  <si>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</si>
  <si>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</si>
  <si>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</si>
  <si>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</si>
  <si>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</si>
  <si>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</si>
  <si>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</si>
  <si>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</si>
  <si>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</si>
  <si>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</si>
  <si>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</si>
  <si>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</si>
  <si>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</si>
  <si>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</si>
  <si>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</si>
  <si>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</si>
  <si>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</si>
  <si>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</si>
  <si>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</si>
  <si>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</si>
  <si>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</si>
  <si>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</si>
  <si>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</si>
  <si>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</si>
  <si>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</si>
  <si>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</si>
  <si>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</si>
  <si>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</si>
  <si>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</si>
  <si>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</si>
  <si>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</si>
  <si>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</si>
  <si>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</si>
  <si>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</si>
  <si>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</si>
  <si>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</si>
  <si>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</si>
  <si>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</si>
  <si>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</si>
  <si>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</si>
  <si>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</si>
  <si>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</si>
  <si>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</si>
  <si>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</si>
  <si>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</si>
  <si>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</si>
  <si>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</si>
  <si>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</si>
  <si>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</si>
  <si>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</si>
  <si>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</si>
  <si>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</si>
  <si>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</si>
  <si>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</si>
  <si>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</si>
  <si>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</si>
  <si>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</si>
  <si>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</si>
  <si>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</si>
  <si>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</si>
  <si>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</si>
  <si>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</si>
  <si>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</si>
  <si>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</si>
  <si>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</si>
  <si>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</si>
  <si>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</si>
  <si>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</si>
  <si>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</si>
  <si>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</si>
  <si>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</si>
  <si>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</si>
  <si>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</si>
  <si>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</si>
  <si>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</si>
  <si>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</si>
  <si>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</si>
  <si>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</si>
  <si>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</si>
  <si>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</si>
  <si>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</si>
  <si>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</si>
  <si>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</si>
  <si>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</si>
  <si>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</si>
  <si>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</si>
  <si>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</si>
  <si>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</si>
  <si>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</si>
  <si>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</si>
  <si>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</si>
  <si>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</si>
  <si>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</si>
  <si>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</si>
  <si>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</si>
  <si>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</si>
  <si>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</si>
  <si>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</si>
  <si>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</si>
  <si>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</si>
  <si>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</si>
  <si>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</si>
  <si>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</si>
  <si>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</si>
  <si>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</si>
  <si>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</si>
  <si>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</si>
  <si>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</si>
  <si>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</si>
  <si>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</si>
  <si>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</si>
  <si>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</si>
  <si>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</si>
  <si>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</si>
  <si>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</si>
  <si>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</si>
  <si>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</si>
  <si>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</si>
  <si>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</si>
  <si>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</si>
  <si>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</si>
  <si>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</si>
  <si>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</si>
  <si>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</si>
  <si>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</si>
  <si>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</si>
  <si>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</si>
  <si>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</si>
  <si>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</si>
  <si>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</si>
  <si>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</si>
  <si>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</si>
  <si>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</si>
  <si>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</si>
  <si>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</si>
  <si>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</si>
  <si>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</si>
  <si>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</si>
  <si>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</si>
  <si>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</si>
  <si>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</si>
  <si>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</si>
  <si>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</si>
  <si>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</si>
  <si>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</si>
  <si>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</si>
  <si>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</si>
  <si>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</si>
  <si>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</si>
  <si>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</si>
  <si>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</si>
  <si>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</si>
  <si>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</si>
  <si>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</si>
  <si>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</si>
  <si>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</si>
  <si>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</si>
  <si>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</si>
  <si>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</si>
  <si>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</si>
  <si>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</si>
  <si>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</si>
  <si>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</si>
  <si>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</si>
  <si>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</si>
  <si>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</si>
  <si>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</si>
  <si>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</si>
  <si>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</si>
  <si>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</si>
  <si>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</si>
  <si>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</si>
  <si>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</si>
  <si>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</si>
  <si>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</si>
  <si>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</si>
  <si>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</si>
  <si>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</si>
  <si>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</si>
  <si>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</si>
  <si>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</si>
  <si>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</si>
  <si>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</si>
  <si>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</si>
  <si>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</si>
  <si>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</si>
  <si>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</si>
  <si>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</si>
  <si>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</si>
  <si>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</si>
  <si>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</si>
  <si>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</si>
  <si>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</si>
  <si>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</si>
  <si>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</si>
  <si>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</si>
  <si>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</si>
  <si>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</si>
  <si>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</si>
  <si>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</si>
  <si>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</si>
  <si>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</si>
  <si>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</si>
  <si>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</si>
  <si>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</si>
  <si>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</si>
  <si>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</si>
  <si>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</si>
  <si>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</si>
  <si>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</si>
  <si>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</si>
  <si>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</si>
  <si>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</si>
  <si>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</si>
  <si>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</si>
  <si>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</si>
  <si>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</si>
  <si>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</si>
  <si>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</si>
  <si>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</si>
  <si>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</si>
  <si>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</si>
  <si>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</si>
  <si>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</si>
  <si>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</si>
  <si>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</si>
  <si>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</si>
  <si>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</si>
  <si>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</si>
  <si>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</si>
  <si>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</si>
  <si>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</si>
  <si>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</si>
  <si>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</si>
  <si>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</si>
  <si>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</si>
  <si>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</si>
  <si>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</si>
  <si>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</si>
  <si>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</si>
  <si>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</si>
  <si>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</si>
  <si>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</si>
  <si>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</si>
  <si>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</si>
  <si>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</si>
  <si>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</si>
  <si>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</si>
  <si>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</si>
  <si>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</si>
  <si>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</si>
  <si>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</si>
  <si>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</si>
  <si>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</si>
  <si>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</si>
  <si>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</si>
  <si>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</si>
  <si>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</si>
  <si>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</si>
  <si>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</si>
  <si>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</si>
  <si>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</si>
  <si>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</si>
  <si>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</si>
  <si>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</si>
  <si>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</si>
  <si>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</si>
  <si>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</si>
  <si>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</si>
  <si>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</si>
  <si>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</si>
  <si>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</si>
  <si>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</si>
  <si>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</si>
  <si>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</si>
  <si>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</si>
  <si>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</si>
  <si>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</si>
  <si>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</si>
  <si>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</si>
  <si>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</si>
  <si>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</si>
  <si>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</si>
  <si>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</si>
  <si>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</si>
  <si>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</si>
  <si>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</si>
  <si>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</si>
  <si>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</si>
  <si>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</si>
  <si>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</si>
  <si>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</si>
  <si>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</si>
  <si>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</si>
  <si>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</si>
  <si>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</si>
  <si>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</si>
  <si>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</si>
  <si>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</si>
  <si>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</si>
  <si>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</si>
  <si>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</si>
  <si>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</si>
  <si>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</si>
  <si>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</si>
  <si>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</si>
  <si>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</si>
  <si>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</si>
  <si>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</si>
  <si>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</si>
  <si>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</si>
  <si>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</si>
  <si>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</si>
  <si>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</si>
  <si>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</si>
  <si>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</si>
  <si>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</si>
  <si>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</si>
  <si>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</si>
  <si>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</si>
  <si>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</si>
  <si>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</si>
  <si>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</si>
  <si>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</si>
  <si>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</si>
  <si>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</si>
  <si>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</si>
  <si>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</si>
  <si>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</si>
  <si>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</si>
  <si>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</si>
  <si>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</si>
  <si>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</si>
  <si>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</si>
  <si>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</si>
  <si>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</si>
  <si>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</si>
  <si>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</si>
  <si>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</si>
  <si>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</si>
  <si>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</si>
  <si>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</si>
  <si>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</si>
  <si>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</si>
  <si>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</si>
  <si>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</si>
  <si>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</si>
  <si>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</si>
  <si>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</si>
  <si>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</si>
  <si>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</si>
  <si>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</si>
  <si>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</si>
  <si>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</si>
  <si>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</si>
  <si>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</si>
  <si>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</si>
  <si>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</si>
  <si>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</si>
  <si>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</si>
  <si>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</si>
  <si>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</si>
  <si>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</si>
  <si>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</si>
  <si>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</si>
  <si>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</si>
  <si>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</si>
  <si>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</si>
  <si>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</si>
  <si>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</si>
  <si>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</si>
  <si>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</si>
  <si>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</si>
  <si>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</si>
  <si>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</si>
  <si>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</si>
  <si>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</si>
  <si>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</si>
  <si>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</si>
  <si>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</si>
  <si>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</si>
  <si>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</si>
  <si>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</si>
  <si>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</si>
  <si>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</si>
  <si>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</si>
  <si>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</si>
  <si>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</si>
  <si>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</si>
  <si>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</si>
  <si>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Khan Super Store</t>
  </si>
  <si>
    <t xml:space="preserve">Address:Ghazi Road oposite Punjab Woods </t>
  </si>
  <si>
    <t xml:space="preserve">Inam Cash N Carry </t>
  </si>
  <si>
    <t>Address: Ghazi Road</t>
  </si>
  <si>
    <t xml:space="preserve">Hygine Mart </t>
  </si>
  <si>
    <t>Urban Store</t>
  </si>
  <si>
    <t xml:space="preserve">Address: Punjab Society </t>
  </si>
  <si>
    <t>TK Store</t>
  </si>
  <si>
    <t xml:space="preserve">Address:Punjab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</si>
</sst>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3" sqref="H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46274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Khan Super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Inam Cash N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Hygine Mart </v>
      </c>
      <c r="T5" s="301">
        <f>+'3'!P35</f>
        <v>3950.5950118906781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Urban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3">
        <v>5</v>
      </c>
      <c r="S7" s="300" t="str">
        <f>+'5'!A6:A6</f>
        <v>TK Store</v>
      </c>
      <c r="T7" s="301">
        <f>+'5'!P35</f>
        <v>940.86347552542372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</v>
      </c>
      <c r="I10" s="236">
        <f t="shared" si="0"/>
        <v>435.84000000000003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34.867200000000004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15.254400000000002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385.71840000000003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82.372881355932208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2.3404564067796612</v>
      </c>
      <c r="P10" s="311">
        <f t="shared" si="2"/>
        <v>470.43173776271186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</v>
      </c>
      <c r="I11" s="236">
        <f t="shared" si="0"/>
        <v>871.68000000000006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69.734400000000008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30.508800000000004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771.43680000000006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164.74576271186442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4.6809128135593223</v>
      </c>
      <c r="P11" s="311">
        <f t="shared" si="2"/>
        <v>940.86347552542372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311">
        <f t="shared" si="2"/>
        <v>940.86347552542372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</v>
      </c>
      <c r="I13" s="236">
        <f t="shared" si="0"/>
        <v>470.76000000000005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23.538000000000004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16.476600000000005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24.008760000000002</v>
      </c>
      <c r="M13" s="230">
        <f t="shared" si="1"/>
        <v>406.73664000000002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91.525423728813507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2.4913103186440675</v>
      </c>
      <c r="P13" s="311">
        <f t="shared" si="2"/>
        <v>500.75337404745761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92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1.95</v>
      </c>
      <c r="H16" s="113">
        <f t="shared" ref="H16:M16" si="3">SUM(H7:H15)</f>
        <v>78</v>
      </c>
      <c r="I16" s="114">
        <f t="shared" si="3"/>
        <v>4538.6100000000006</v>
      </c>
      <c r="J16" s="274">
        <f>SUM(J7:J15)</f>
        <v>348.96600000000001</v>
      </c>
      <c r="K16" s="275">
        <f t="shared" si="3"/>
        <v>158.85135000000002</v>
      </c>
      <c r="L16" s="276">
        <f t="shared" si="3"/>
        <v>24.008760000000002</v>
      </c>
      <c r="M16" s="232">
        <f t="shared" si="3"/>
        <v>4006.7838900000002</v>
      </c>
      <c r="N16" s="233">
        <f>SUM(N7:N15)</f>
        <v>860.33898305084733</v>
      </c>
      <c r="O16" s="101">
        <f>SUM(O7:O15)</f>
        <v>24.335614365254237</v>
      </c>
      <c r="P16" s="113">
        <f>SUM(P7:P15)</f>
        <v>4891.458487416101</v>
      </c>
      <c r="Q16" s="128">
        <f>SUM(Q7:Q15)</f>
        <v>212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4538.6100000000006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348.96600000000001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182.86011000000002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4006.7838900000002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860.33898305084733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4867.1228730508474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24.335614365254237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4891.4584874161019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4891.4584874161019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12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80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E4" sqref="E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66</v>
      </c>
      <c r="I25" s="114">
        <f t="shared" si="7"/>
        <v>3666.9300000000003</v>
      </c>
      <c r="J25" s="274">
        <f>SUM(J16:J24)</f>
        <v>279.23159999999996</v>
      </c>
      <c r="K25" s="275">
        <f t="shared" si="7"/>
        <v>128.34255000000002</v>
      </c>
      <c r="L25" s="276">
        <f t="shared" si="7"/>
        <v>24.008760000000002</v>
      </c>
      <c r="M25" s="232">
        <f t="shared" si="7"/>
        <v>3235.3470900000007</v>
      </c>
      <c r="N25" s="233">
        <f>SUM(N16:N24)</f>
        <v>695.59322033898297</v>
      </c>
      <c r="O25" s="101">
        <f>SUM(O16:O24)</f>
        <v>19.654701551694917</v>
      </c>
      <c r="P25" s="234">
        <f>SUM(P16:P24)</f>
        <v>3950.5950118906776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3666.9300000000003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279.23159999999996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152.35131000000001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3235.3470900000002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695.59322033898297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3930.9403103389832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19.654701551694917</v>
      </c>
    </row>
    <row r="35" spans="2:16" ht="15.75" customHeight="1" thickBot="1" x14ac:dyDescent="0.4">
      <c r="N35" s="345" t="s">
        <v>88</v>
      </c>
      <c r="O35" s="346"/>
      <c r="P35" s="297">
        <f>+P33+P34</f>
        <v>3950.5950118906781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8" workbookViewId="0">
      <selection activeCell="R17" sqref="R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20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E8" sqref="E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46274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46275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46274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2026-09-09T11:01:46Z</dcterms:modified>
</cp:coreProperties>
</file>