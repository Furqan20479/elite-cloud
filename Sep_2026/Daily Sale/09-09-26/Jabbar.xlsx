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E1F320-6825-46D4-903B-64F7608E456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<sst xmlns="http://schemas.openxmlformats.org/spreadsheetml/2006/main" count="3948" uniqueCount="524">
  <si>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</si>
  <si>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</si>
  <si>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</si>
  <si>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</si>
  <si>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</si>
  <si>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</si>
  <si>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</si>
  <si>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</si>
  <si>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</si>
  <si>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</si>
  <si>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</si>
  <si>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</si>
  <si>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</si>
  <si>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</si>
  <si>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</si>
  <si>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</si>
  <si>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</si>
  <si>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</si>
  <si>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</si>
  <si>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</si>
  <si>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</si>
  <si>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</si>
  <si>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</si>
  <si>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</si>
  <si>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</si>
  <si>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</si>
  <si>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</si>
  <si>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</si>
  <si>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</si>
  <si>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</si>
  <si>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</si>
  <si>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</si>
  <si>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</si>
  <si>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</si>
  <si>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</si>
  <si>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</si>
  <si>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</si>
  <si>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</si>
  <si>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</si>
  <si>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</si>
  <si>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</si>
  <si>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</si>
  <si>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</si>
  <si>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</si>
  <si>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</si>
  <si>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</si>
  <si>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</si>
  <si>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</si>
  <si>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</si>
  <si>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</si>
  <si>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</si>
  <si>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</si>
  <si>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</si>
  <si>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</si>
  <si>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</si>
  <si>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</si>
  <si>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</si>
  <si>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</si>
  <si>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</si>
  <si>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</si>
  <si>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</si>
  <si>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</si>
  <si>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</si>
  <si>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</si>
  <si>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</si>
  <si>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</si>
  <si>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</si>
  <si>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</si>
  <si>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</si>
  <si>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</si>
  <si>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</si>
  <si>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</si>
  <si>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</si>
  <si>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</si>
  <si>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</si>
  <si>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</si>
  <si>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</si>
  <si>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</si>
  <si>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</si>
  <si>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</si>
  <si>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</si>
  <si>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</si>
  <si>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</si>
  <si>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</si>
  <si>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</si>
  <si>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</si>
  <si>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</si>
  <si>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</si>
  <si>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</si>
  <si>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</si>
  <si>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</si>
  <si>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</si>
  <si>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</si>
  <si>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</si>
  <si>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</si>
  <si>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</si>
  <si>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</si>
  <si>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</si>
  <si>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</si>
  <si>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</si>
  <si>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</si>
  <si>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</si>
  <si>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</si>
  <si>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</si>
  <si>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</si>
  <si>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</si>
  <si>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</si>
  <si>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</si>
  <si>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</si>
  <si>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</si>
  <si>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</si>
  <si>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</si>
  <si>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</si>
  <si>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</si>
  <si>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</si>
  <si>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</si>
  <si>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</si>
  <si>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</si>
  <si>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</si>
  <si>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</si>
  <si>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</si>
  <si>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</si>
  <si>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</si>
  <si>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</si>
  <si>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</si>
  <si>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</si>
  <si>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</si>
  <si>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</si>
  <si>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</si>
  <si>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</si>
  <si>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</si>
  <si>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</si>
  <si>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</si>
  <si>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</si>
  <si>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</si>
  <si>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</si>
  <si>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</si>
  <si>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</si>
  <si>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</si>
  <si>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</si>
  <si>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</si>
  <si>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</si>
  <si>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</si>
  <si>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</si>
  <si>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</si>
  <si>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</si>
  <si>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</si>
  <si>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</si>
  <si>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</si>
  <si>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</si>
  <si>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</si>
  <si>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</si>
  <si>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</si>
  <si>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</si>
  <si>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</si>
  <si>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</si>
  <si>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</si>
  <si>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</si>
  <si>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</si>
  <si>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</si>
  <si>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</si>
  <si>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</si>
  <si>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</si>
  <si>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</si>
  <si>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</si>
  <si>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</si>
  <si>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</si>
  <si>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</si>
  <si>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</si>
  <si>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</si>
  <si>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</si>
  <si>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</si>
  <si>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</si>
  <si>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</si>
  <si>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</si>
  <si>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</si>
  <si>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</si>
  <si>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</si>
  <si>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</si>
  <si>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</si>
  <si>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</si>
  <si>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</si>
  <si>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</si>
  <si>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</si>
  <si>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</si>
  <si>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</si>
  <si>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</si>
  <si>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</si>
  <si>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</si>
  <si>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</si>
  <si>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</si>
  <si>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</si>
  <si>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</si>
  <si>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</si>
  <si>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</si>
  <si>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</si>
  <si>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</si>
  <si>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</si>
  <si>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</si>
  <si>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</si>
  <si>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</si>
  <si>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</si>
  <si>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</si>
  <si>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</si>
  <si>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</si>
  <si>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</si>
  <si>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</si>
  <si>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</si>
  <si>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</si>
  <si>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</si>
  <si>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</si>
  <si>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</si>
  <si>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</si>
  <si>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</si>
  <si>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</si>
  <si>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</si>
  <si>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</si>
  <si>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</si>
  <si>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</si>
  <si>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</si>
  <si>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</si>
  <si>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</si>
  <si>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</si>
  <si>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</si>
  <si>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</si>
  <si>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</si>
  <si>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</si>
  <si>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</si>
  <si>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</si>
  <si>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</si>
  <si>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</si>
  <si>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</si>
  <si>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</si>
  <si>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</si>
  <si>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</si>
  <si>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</si>
  <si>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</si>
  <si>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</si>
  <si>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</si>
  <si>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</si>
  <si>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</si>
  <si>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</si>
  <si>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</si>
  <si>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</si>
  <si>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</si>
  <si>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</si>
  <si>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</si>
  <si>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</si>
  <si>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</si>
  <si>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</si>
  <si>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</si>
  <si>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</si>
  <si>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</si>
  <si>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</si>
  <si>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</si>
  <si>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</si>
  <si>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</si>
  <si>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</si>
  <si>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</si>
  <si>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</si>
  <si>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</si>
  <si>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</si>
  <si>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</si>
  <si>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</si>
  <si>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</si>
  <si>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</si>
  <si>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</si>
  <si>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</si>
  <si>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</si>
  <si>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</si>
  <si>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</si>
  <si>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</si>
  <si>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</si>
  <si>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</si>
  <si>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</si>
  <si>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</si>
  <si>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</si>
  <si>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</si>
  <si>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</si>
  <si>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</si>
  <si>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</si>
  <si>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</si>
  <si>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</si>
  <si>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</si>
  <si>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</si>
  <si>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</si>
  <si>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</si>
  <si>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</si>
  <si>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</si>
  <si>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</si>
  <si>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</si>
  <si>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</si>
  <si>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</si>
  <si>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</si>
  <si>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</si>
  <si>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</si>
  <si>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</si>
  <si>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</si>
  <si>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</si>
  <si>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</si>
  <si>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</si>
  <si>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</si>
  <si>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</si>
  <si>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</si>
  <si>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</si>
  <si>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</si>
  <si>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</si>
  <si>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</si>
  <si>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</si>
  <si>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</si>
  <si>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</si>
  <si>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</si>
  <si>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</si>
  <si>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</si>
  <si>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</si>
  <si>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</si>
  <si>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</si>
  <si>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</si>
  <si>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</si>
  <si>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</si>
  <si>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</si>
  <si>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</si>
  <si>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</si>
  <si>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</si>
  <si>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</si>
  <si>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</si>
  <si>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</si>
  <si>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</si>
  <si>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</si>
  <si>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</si>
  <si>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</si>
  <si>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</si>
  <si>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</si>
  <si>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</si>
  <si>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</si>
  <si>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</si>
  <si>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</si>
  <si>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</si>
  <si>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</si>
  <si>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</si>
  <si>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</si>
  <si>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</si>
  <si>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</si>
  <si>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</si>
  <si>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</si>
  <si>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</si>
  <si>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</si>
  <si>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</si>
  <si>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</si>
  <si>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</si>
  <si>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</si>
  <si>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</si>
  <si>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</si>
  <si>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</si>
  <si>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</si>
  <si>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</si>
  <si>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</si>
  <si>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</si>
  <si>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</si>
  <si>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</si>
  <si>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</si>
  <si>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</si>
  <si>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</si>
  <si>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</si>
  <si>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</si>
  <si>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</si>
  <si>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</si>
  <si>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</si>
  <si>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</si>
  <si>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</si>
  <si>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</si>
  <si>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</si>
  <si>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</si>
  <si>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</si>
  <si>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</si>
  <si>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</si>
  <si>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</si>
  <si>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</si>
  <si>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</si>
  <si>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</si>
  <si>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</si>
  <si>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</si>
  <si>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</si>
  <si>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</si>
  <si>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</si>
  <si>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</si>
  <si>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</si>
  <si>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</si>
  <si>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</si>
  <si>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</si>
  <si>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</si>
  <si>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</si>
  <si>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</si>
  <si>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</si>
  <si>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</si>
  <si>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</si>
  <si>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</si>
  <si>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</si>
  <si>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</si>
  <si>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</si>
  <si>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</si>
  <si>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</si>
  <si>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</si>
  <si>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</si>
  <si>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</si>
  <si>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</si>
  <si>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</si>
  <si>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</si>
  <si>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</si>
  <si>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</si>
  <si>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</si>
  <si>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</si>
  <si>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</si>
  <si>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</si>
  <si>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</si>
  <si>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</si>
  <si>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</si>
  <si>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</si>
  <si>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</si>
  <si>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</si>
  <si>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</si>
  <si>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</si>
  <si>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</si>
  <si>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</si>
  <si>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</si>
  <si>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</si>
  <si>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</si>
  <si>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</si>
  <si>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</si>
  <si>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</si>
  <si>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</si>
  <si>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</si>
  <si>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</si>
  <si>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</si>
  <si>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</si>
  <si>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</si>
  <si>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</si>
  <si>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</si>
  <si>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</si>
  <si>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</si>
  <si>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</si>
  <si>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</si>
  <si>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</si>
  <si>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</si>
  <si>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</si>
  <si>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</si>
  <si>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</si>
  <si>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</si>
  <si>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</si>
  <si>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</si>
  <si>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</si>
  <si>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</si>
  <si>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</si>
  <si>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</si>
  <si>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</si>
  <si>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</si>
  <si>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</si>
  <si>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</si>
  <si>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</si>
  <si>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</si>
  <si>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</si>
  <si>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</si>
  <si>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</si>
  <si>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</si>
  <si>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</si>
  <si>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</si>
  <si>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</si>
  <si>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</si>
  <si>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</si>
  <si>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</si>
  <si>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</si>
  <si>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</si>
  <si>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</si>
  <si>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</si>
  <si>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</si>
  <si>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</si>
  <si>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</si>
  <si>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</si>
  <si>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</si>
  <si>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</si>
  <si>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</si>
  <si>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</si>
  <si>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</si>
  <si>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</si>
  <si>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</si>
  <si>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</si>
  <si>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</si>
  <si>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</si>
  <si>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</si>
  <si>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</si>
  <si>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</si>
  <si>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</si>
  <si>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</si>
  <si>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</si>
  <si>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</si>
  <si>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</si>
  <si>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</si>
  <si>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</si>
  <si>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</si>
  <si>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</si>
  <si>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</si>
  <si>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</si>
  <si>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</si>
  <si>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</si>
  <si>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</si>
  <si>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</si>
  <si>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</si>
  <si>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</si>
  <si>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</si>
  <si>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</si>
  <si>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</si>
  <si>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</si>
  <si>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</si>
  <si>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</si>
  <si>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</si>
  <si>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Killa Gujjar Singh </t>
  </si>
  <si>
    <t>Haji Abdul Store</t>
  </si>
  <si>
    <t xml:space="preserve">Al Fatah Bakers </t>
  </si>
  <si>
    <t>786 Khan Store</t>
  </si>
  <si>
    <t>Nazeer Sons Store</t>
  </si>
  <si>
    <t>Sohail Store</t>
  </si>
  <si>
    <t xml:space="preserve">Address: Ganda Engin Chowk </t>
  </si>
  <si>
    <t xml:space="preserve">Shell Pump </t>
  </si>
  <si>
    <t xml:space="preserve">Address: Press Club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</si>
</sst>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Haji Abdul Store</v>
      </c>
      <c r="T3" s="301">
        <f>+'1'!P35</f>
        <v>971.18511181016947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Fatah Bakers </v>
      </c>
      <c r="T4" s="301">
        <f>+'2'!P35</f>
        <v>1514.1044315974575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786 Khan Store</v>
      </c>
      <c r="T5" s="301">
        <f>+'3'!P35</f>
        <v>956.02429366779654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Nazeer Sons Store</v>
      </c>
      <c r="T6" s="301">
        <f>+'4'!P35</f>
        <v>5401.2631679237293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100.72799999999999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1114.3035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6.7613480084745756</v>
      </c>
      <c r="P7" s="310">
        <f>M7+N7+O7</f>
        <v>1359.0309497033898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Sohail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16.788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185.71724999999998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1.1268913347457625</v>
      </c>
      <c r="P8" s="311">
        <f t="shared" ref="P8:P15" si="2">M8+N8+O8</f>
        <v>226.50515828389825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Shell Pump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57</v>
      </c>
      <c r="I10" s="236">
        <f t="shared" si="0"/>
        <v>4140.4800000000005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331.23840000000001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144.91680000000002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3664.3248000000003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782.54237288135596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22.234335864406781</v>
      </c>
      <c r="P10" s="311">
        <f t="shared" si="2"/>
        <v>4469.1015087457627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63.560000000000009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77</v>
      </c>
      <c r="I12" s="236">
        <f t="shared" si="0"/>
        <v>5593.28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447.4624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195.76480000000004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4950.0527999999995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1057.1186440677966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30.035857220338983</v>
      </c>
      <c r="P12" s="311">
        <f t="shared" si="2"/>
        <v>6037.2073012881347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38</v>
      </c>
      <c r="I13" s="236">
        <f t="shared" si="0"/>
        <v>1490.7400000000002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74.53700000000002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52.175900000000013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76.027739999999994</v>
      </c>
      <c r="M13" s="230">
        <f t="shared" si="1"/>
        <v>1287.9993600000003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289.83050847457611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7.8891493423728818</v>
      </c>
      <c r="P13" s="311">
        <f t="shared" si="2"/>
        <v>1585.7190178169492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6.2249999999999996</v>
      </c>
      <c r="H16" s="113">
        <f t="shared" ref="H16:M16" si="3">SUM(H7:H15)</f>
        <v>249</v>
      </c>
      <c r="I16" s="114">
        <f t="shared" si="3"/>
        <v>15768.550000000001</v>
      </c>
      <c r="J16" s="274">
        <f>SUM(J7:J15)</f>
        <v>1216.7618</v>
      </c>
      <c r="K16" s="275">
        <f t="shared" si="3"/>
        <v>551.89925000000017</v>
      </c>
      <c r="L16" s="276">
        <f t="shared" si="3"/>
        <v>76.027739999999994</v>
      </c>
      <c r="M16" s="232">
        <f t="shared" si="3"/>
        <v>13923.861209999999</v>
      </c>
      <c r="N16" s="233">
        <f>SUM(N7:N15)</f>
        <v>2988.3050847457625</v>
      </c>
      <c r="O16" s="101">
        <f>SUM(O7:O15)</f>
        <v>84.560831473728825</v>
      </c>
      <c r="P16" s="113">
        <f>SUM(P7:P15)</f>
        <v>16996.727126219488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15768.550000000001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1216.7618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627.92699000000016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13923.861210000001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2988.3050847457625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16912.166294745763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84.560831473728825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16996.727126219492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16996.727126219492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7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7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906.60000000000014</v>
      </c>
      <c r="J25" s="274">
        <f>SUM(J16:J24)</f>
        <v>58.405200000000008</v>
      </c>
      <c r="K25" s="275">
        <f t="shared" si="10"/>
        <v>31.731000000000005</v>
      </c>
      <c r="L25" s="276">
        <f t="shared" si="10"/>
        <v>24.008760000000002</v>
      </c>
      <c r="M25" s="232">
        <f t="shared" si="10"/>
        <v>792.45504000000005</v>
      </c>
      <c r="N25" s="233">
        <f>SUM(N16:N24)</f>
        <v>173.89830508474572</v>
      </c>
      <c r="O25" s="101">
        <f>SUM(O16:O24)</f>
        <v>4.8317667254237282</v>
      </c>
      <c r="P25" s="234">
        <f>SUM(P16:P24)</f>
        <v>971.18511181016947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906.60000000000014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58.405200000000008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55.739760000000004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792.45504000000005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173.89830508474572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966.3533450847458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4.8317667254237291</v>
      </c>
    </row>
    <row r="35" spans="2:16" ht="15.75" customHeight="1" thickBot="1" x14ac:dyDescent="0.4">
      <c r="N35" s="374" t="s">
        <v>88</v>
      </c>
      <c r="O35" s="375"/>
      <c r="P35" s="297">
        <f>+P33+P34</f>
        <v>971.18511181016947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</v>
      </c>
      <c r="I25" s="114">
        <f t="shared" si="7"/>
        <v>1414.15</v>
      </c>
      <c r="J25" s="274">
        <f>SUM(J16:J24)</f>
        <v>89.594000000000023</v>
      </c>
      <c r="K25" s="275">
        <f t="shared" si="7"/>
        <v>49.495250000000006</v>
      </c>
      <c r="L25" s="276">
        <f t="shared" si="7"/>
        <v>40.014600000000002</v>
      </c>
      <c r="M25" s="232">
        <f t="shared" si="7"/>
        <v>1235.0461500000001</v>
      </c>
      <c r="N25" s="233">
        <f>SUM(N16:N24)</f>
        <v>271.52542372881339</v>
      </c>
      <c r="O25" s="101">
        <f>SUM(O16:O24)</f>
        <v>7.5328578686440677</v>
      </c>
      <c r="P25" s="234">
        <f>SUM(P16:P24)</f>
        <v>1514.1044315974575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1414.15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89.594000000000023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89.50985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1235.0461500000001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271.52542372881339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1506.5715737288135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7.5328578686440677</v>
      </c>
    </row>
    <row r="35" spans="2:16" ht="15.75" customHeight="1" thickBot="1" x14ac:dyDescent="0.4">
      <c r="N35" s="374" t="s">
        <v>88</v>
      </c>
      <c r="O35" s="375"/>
      <c r="P35" s="297">
        <f>+P33+P34</f>
        <v>1514.1044315974575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889.14</v>
      </c>
      <c r="J25" s="274">
        <f>SUM(J16:J24)</f>
        <v>64.069800000000015</v>
      </c>
      <c r="K25" s="275">
        <f t="shared" si="7"/>
        <v>31.119900000000005</v>
      </c>
      <c r="L25" s="276">
        <f t="shared" si="7"/>
        <v>12.004380000000001</v>
      </c>
      <c r="M25" s="232">
        <f t="shared" si="7"/>
        <v>781.94592000000011</v>
      </c>
      <c r="N25" s="233">
        <f>SUM(N16:N24)</f>
        <v>169.32203389830505</v>
      </c>
      <c r="O25" s="101">
        <f>SUM(O16:O24)</f>
        <v>4.7563397694915253</v>
      </c>
      <c r="P25" s="234">
        <f>SUM(P16:P24)</f>
        <v>956.02429366779654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889.14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64.069800000000015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43.124280000000006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781.94592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169.32203389830505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951.267953898305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4.7563397694915253</v>
      </c>
    </row>
    <row r="35" spans="2:16" ht="15.75" customHeight="1" thickBot="1" x14ac:dyDescent="0.4">
      <c r="N35" s="374" t="s">
        <v>88</v>
      </c>
      <c r="O35" s="375"/>
      <c r="P35" s="297">
        <f>+P33+P34</f>
        <v>956.02429366779654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2026-09-08T11:47:28Z</dcterms:modified>
</cp:coreProperties>
</file>