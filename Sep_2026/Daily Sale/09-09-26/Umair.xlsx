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AA99755-CF75-43AE-9D7E-3AB526876FF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<sst xmlns="http://schemas.openxmlformats.org/spreadsheetml/2006/main" count="3948" uniqueCount="527">
  <si>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</si>
  <si>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</si>
  <si>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</si>
  <si>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</si>
  <si>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</si>
  <si>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</si>
  <si>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</si>
  <si>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</si>
  <si>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</si>
  <si>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</si>
  <si>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</si>
  <si>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</si>
  <si>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</si>
  <si>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</si>
  <si>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</si>
  <si>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</si>
  <si>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</si>
  <si>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</si>
  <si>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</si>
  <si>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</si>
  <si>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</si>
  <si>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</si>
  <si>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</si>
  <si>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</si>
  <si>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</si>
  <si>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</si>
  <si>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</si>
  <si>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</si>
  <si>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</si>
  <si>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</si>
  <si>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</si>
  <si>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</si>
  <si>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</si>
  <si>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</si>
  <si>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</si>
  <si>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</si>
  <si>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</si>
  <si>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</si>
  <si>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</si>
  <si>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</si>
  <si>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</si>
  <si>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</si>
  <si>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</si>
  <si>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</si>
  <si>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</si>
  <si>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</si>
  <si>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</si>
  <si>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</si>
  <si>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</si>
  <si>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</si>
  <si>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</si>
  <si>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</si>
  <si>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</si>
  <si>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</si>
  <si>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</si>
  <si>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</si>
  <si>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</si>
  <si>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</si>
  <si>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</si>
  <si>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</si>
  <si>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</si>
  <si>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</si>
  <si>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</si>
  <si>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</si>
  <si>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</si>
  <si>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</si>
  <si>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</si>
  <si>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</si>
  <si>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</si>
  <si>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</si>
  <si>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</si>
  <si>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</si>
  <si>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</si>
  <si>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</si>
  <si>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</si>
  <si>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</si>
  <si>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</si>
  <si>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</si>
  <si>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</si>
  <si>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</si>
  <si>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</si>
  <si>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</si>
  <si>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</si>
  <si>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</si>
  <si>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</si>
  <si>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</si>
  <si>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</si>
  <si>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</si>
  <si>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</si>
  <si>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</si>
  <si>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</si>
  <si>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</si>
  <si>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</si>
  <si>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</si>
  <si>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</si>
  <si>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</si>
  <si>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</si>
  <si>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</si>
  <si>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</si>
  <si>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</si>
  <si>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</si>
  <si>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</si>
  <si>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</si>
  <si>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</si>
  <si>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</si>
  <si>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</si>
  <si>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</si>
  <si>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</si>
  <si>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</si>
  <si>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</si>
  <si>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</si>
  <si>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</si>
  <si>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</si>
  <si>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</si>
  <si>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</si>
  <si>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</si>
  <si>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</si>
  <si>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</si>
  <si>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</si>
  <si>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</si>
  <si>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</si>
  <si>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</si>
  <si>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</si>
  <si>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</si>
  <si>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</si>
  <si>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</si>
  <si>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</si>
  <si>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</si>
  <si>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</si>
  <si>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</si>
  <si>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</si>
  <si>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</si>
  <si>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</si>
  <si>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</si>
  <si>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</si>
  <si>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</si>
  <si>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</si>
  <si>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</si>
  <si>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</si>
  <si>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</si>
  <si>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</si>
  <si>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</si>
  <si>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</si>
  <si>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</si>
  <si>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</si>
  <si>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</si>
  <si>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</si>
  <si>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</si>
  <si>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</si>
  <si>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</si>
  <si>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</si>
  <si>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</si>
  <si>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</si>
  <si>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</si>
  <si>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</si>
  <si>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</si>
  <si>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</si>
  <si>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</si>
  <si>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</si>
  <si>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</si>
  <si>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</si>
  <si>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</si>
  <si>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</si>
  <si>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</si>
  <si>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</si>
  <si>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</si>
  <si>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</si>
  <si>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</si>
  <si>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</si>
  <si>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</si>
  <si>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</si>
  <si>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</si>
  <si>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</si>
  <si>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</si>
  <si>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</si>
  <si>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</si>
  <si>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</si>
  <si>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</si>
  <si>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</si>
  <si>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</si>
  <si>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</si>
  <si>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</si>
  <si>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</si>
  <si>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</si>
  <si>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</si>
  <si>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</si>
  <si>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</si>
  <si>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</si>
  <si>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</si>
  <si>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</si>
  <si>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</si>
  <si>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</si>
  <si>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</si>
  <si>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</si>
  <si>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</si>
  <si>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</si>
  <si>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</si>
  <si>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</si>
  <si>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</si>
  <si>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</si>
  <si>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</si>
  <si>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</si>
  <si>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</si>
  <si>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</si>
  <si>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</si>
  <si>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</si>
  <si>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</si>
  <si>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</si>
  <si>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</si>
  <si>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</si>
  <si>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</si>
  <si>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</si>
  <si>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</si>
  <si>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</si>
  <si>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</si>
  <si>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</si>
  <si>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</si>
  <si>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</si>
  <si>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</si>
  <si>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</si>
  <si>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</si>
  <si>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</si>
  <si>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</si>
  <si>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</si>
  <si>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</si>
  <si>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</si>
  <si>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</si>
  <si>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</si>
  <si>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</si>
  <si>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</si>
  <si>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</si>
  <si>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</si>
  <si>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</si>
  <si>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</si>
  <si>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</si>
  <si>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</si>
  <si>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</si>
  <si>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</si>
  <si>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</si>
  <si>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</si>
  <si>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</si>
  <si>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</si>
  <si>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</si>
  <si>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</si>
  <si>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</si>
  <si>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</si>
  <si>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</si>
  <si>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</si>
  <si>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</si>
  <si>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</si>
  <si>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</si>
  <si>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</si>
  <si>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</si>
  <si>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</si>
  <si>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</si>
  <si>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</si>
  <si>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</si>
  <si>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</si>
  <si>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</si>
  <si>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</si>
  <si>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</si>
  <si>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</si>
  <si>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</si>
  <si>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</si>
  <si>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</si>
  <si>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</si>
  <si>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</si>
  <si>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</si>
  <si>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</si>
  <si>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</si>
  <si>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</si>
  <si>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</si>
  <si>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</si>
  <si>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</si>
  <si>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</si>
  <si>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</si>
  <si>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</si>
  <si>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</si>
  <si>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</si>
  <si>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</si>
  <si>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</si>
  <si>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</si>
  <si>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</si>
  <si>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</si>
  <si>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</si>
  <si>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</si>
  <si>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</si>
  <si>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</si>
  <si>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</si>
  <si>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</si>
  <si>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</si>
  <si>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</si>
  <si>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</si>
  <si>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</si>
  <si>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</si>
  <si>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</si>
  <si>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</si>
  <si>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</si>
  <si>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</si>
  <si>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</si>
  <si>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</si>
  <si>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</si>
  <si>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</si>
  <si>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</si>
  <si>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</si>
  <si>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</si>
  <si>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</si>
  <si>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</si>
  <si>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</si>
  <si>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</si>
  <si>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</si>
  <si>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</si>
  <si>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</si>
  <si>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</si>
  <si>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</si>
  <si>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</si>
  <si>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</si>
  <si>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</si>
  <si>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</si>
  <si>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</si>
  <si>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</si>
  <si>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</si>
  <si>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</si>
  <si>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</si>
  <si>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</si>
  <si>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</si>
  <si>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</si>
  <si>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</si>
  <si>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</si>
  <si>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</si>
  <si>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</si>
  <si>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</si>
  <si>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</si>
  <si>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</si>
  <si>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</si>
  <si>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</si>
  <si>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</si>
  <si>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</si>
  <si>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</si>
  <si>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</si>
  <si>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</si>
  <si>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</si>
  <si>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</si>
  <si>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</si>
  <si>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</si>
  <si>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</si>
  <si>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</si>
  <si>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</si>
  <si>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</si>
  <si>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</si>
  <si>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</si>
  <si>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</si>
  <si>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</si>
  <si>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</si>
  <si>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</si>
  <si>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</si>
  <si>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</si>
  <si>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</si>
  <si>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</si>
  <si>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</si>
  <si>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</si>
  <si>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</si>
  <si>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</si>
  <si>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</si>
  <si>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</si>
  <si>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</si>
  <si>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</si>
  <si>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</si>
  <si>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</si>
  <si>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</si>
  <si>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</si>
  <si>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</si>
  <si>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</si>
  <si>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</si>
  <si>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</si>
  <si>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</si>
  <si>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</si>
  <si>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</si>
  <si>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</si>
  <si>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</si>
  <si>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</si>
  <si>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</si>
  <si>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</si>
  <si>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</si>
  <si>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</si>
  <si>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</si>
  <si>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</si>
  <si>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</si>
  <si>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</si>
  <si>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</si>
  <si>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</si>
  <si>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</si>
  <si>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</si>
  <si>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</si>
  <si>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</si>
  <si>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</si>
  <si>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</si>
  <si>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</si>
  <si>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</si>
  <si>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</si>
  <si>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</si>
  <si>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</si>
  <si>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</si>
  <si>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</si>
  <si>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</si>
  <si>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</si>
  <si>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</si>
  <si>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</si>
  <si>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</si>
  <si>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</si>
  <si>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</si>
  <si>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</si>
  <si>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</si>
  <si>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</si>
  <si>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</si>
  <si>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</si>
  <si>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</si>
  <si>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</si>
  <si>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</si>
  <si>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</si>
  <si>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</si>
  <si>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</si>
  <si>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</si>
  <si>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</si>
  <si>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</si>
  <si>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</si>
  <si>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</si>
  <si>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</si>
  <si>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</si>
  <si>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</si>
  <si>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</si>
  <si>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</si>
  <si>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</si>
  <si>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</si>
  <si>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</si>
  <si>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</si>
  <si>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</si>
  <si>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</si>
  <si>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</si>
  <si>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</si>
  <si>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</si>
  <si>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</si>
  <si>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</si>
  <si>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</si>
  <si>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</si>
  <si>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</si>
  <si>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</si>
  <si>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</si>
  <si>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</si>
  <si>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</si>
  <si>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</si>
  <si>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</si>
  <si>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</si>
  <si>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</si>
  <si>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</si>
  <si>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</si>
  <si>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</si>
  <si>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</si>
  <si>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</si>
  <si>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</si>
  <si>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</si>
  <si>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</si>
  <si>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</si>
  <si>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</si>
  <si>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</si>
  <si>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</si>
  <si>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</si>
  <si>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</si>
  <si>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</si>
  <si>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</si>
  <si>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</si>
  <si>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</si>
  <si>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</si>
  <si>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</si>
  <si>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</si>
  <si>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</si>
  <si>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</si>
  <si>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</si>
  <si>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</si>
  <si>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</si>
  <si>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</si>
  <si>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</si>
  <si>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</si>
  <si>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</si>
  <si>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</si>
  <si>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</si>
  <si>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</si>
  <si>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</si>
  <si>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</si>
  <si>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</si>
  <si>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</si>
  <si>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</si>
  <si>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</si>
  <si>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</si>
  <si>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</si>
  <si>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</si>
  <si>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</si>
  <si>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</si>
  <si>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</si>
  <si>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</si>
  <si>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</si>
  <si>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</si>
  <si>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</si>
  <si>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</si>
  <si>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</si>
  <si>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</si>
  <si>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</si>
  <si>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</si>
  <si>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</si>
  <si>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</si>
  <si>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</si>
  <si>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</si>
  <si>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</si>
  <si>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</si>
  <si>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Ghazi Road</t>
  </si>
  <si>
    <t xml:space="preserve">China Sale Mela </t>
  </si>
  <si>
    <t>Imran Kareyana Store</t>
  </si>
  <si>
    <t>Ravi Kareyana Store</t>
  </si>
  <si>
    <t>Dua Book Store</t>
  </si>
  <si>
    <t xml:space="preserve">Arban Mart </t>
  </si>
  <si>
    <t xml:space="preserve">Address: Punjab Society </t>
  </si>
  <si>
    <t>Ibraheem GS</t>
  </si>
  <si>
    <t>Punjab Store</t>
  </si>
  <si>
    <t>HK Store</t>
  </si>
  <si>
    <t>Hussnain Store</t>
  </si>
  <si>
    <t>Marhaba Store</t>
  </si>
  <si>
    <t xml:space="preserve">Ajwa Ata Chaki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</si>
</sst>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7" sqref="I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China Sale Mela </v>
      </c>
      <c r="T3" s="301">
        <f>+'1'!P35</f>
        <v>7070.4410814152552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Imran Kareyana Store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Ravi Kareyana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Dua Book Store</v>
      </c>
      <c r="T6" s="301">
        <f>+'4'!P35</f>
        <v>1441.6168495728814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310">
        <f>M7+N7+O7</f>
        <v>2831.3144785487289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Arban Mart </v>
      </c>
      <c r="T7" s="301">
        <f>+'5'!P35</f>
        <v>17872.967417262709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Ibraheem GS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</v>
      </c>
      <c r="I9" s="236">
        <f t="shared" si="0"/>
        <v>3147.75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110.17125000000001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2785.75875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594.91525423728785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16.90337002118644</v>
      </c>
      <c r="P9" s="311">
        <f t="shared" si="2"/>
        <v>3397.5773742584738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Punjab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127</v>
      </c>
      <c r="I10" s="236">
        <f t="shared" si="0"/>
        <v>9225.2800000000007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738.02240000000006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322.88480000000004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8164.372800000001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1743.5593220338983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49.539660610169491</v>
      </c>
      <c r="P10" s="311">
        <f t="shared" si="2"/>
        <v>9957.4717826440683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HK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170</v>
      </c>
      <c r="I11" s="236">
        <f t="shared" si="0"/>
        <v>12348.8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987.904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432.20800000000003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10928.687999999998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2333.898305084746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66.312931525423735</v>
      </c>
      <c r="P11" s="311">
        <f t="shared" si="2"/>
        <v>13328.899236610168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Hussnain Store</v>
      </c>
      <c r="T11" s="301">
        <f>+'9'!P35</f>
        <v>834.58895674576274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147</v>
      </c>
      <c r="I12" s="236">
        <f t="shared" si="0"/>
        <v>10678.08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854.24639999999999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373.73280000000005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9450.1008000000002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2018.1355932203392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57.341181966101701</v>
      </c>
      <c r="P12" s="311">
        <f t="shared" si="2"/>
        <v>11525.57757518644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Marhaba Store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152</v>
      </c>
      <c r="I13" s="236">
        <f t="shared" si="0"/>
        <v>5962.9600000000009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298.14800000000008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208.70360000000005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304.11095999999998</v>
      </c>
      <c r="M13" s="230">
        <f t="shared" si="1"/>
        <v>5151.997440000001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1159.3220338983044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31.556597369491527</v>
      </c>
      <c r="P13" s="311">
        <f t="shared" si="2"/>
        <v>6342.8760712677968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Ajwa Ata Chaki </v>
      </c>
      <c r="T13" s="301">
        <f>+'11'!P35</f>
        <v>9408.6347552542375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18.899999999999999</v>
      </c>
      <c r="H16" s="113">
        <f t="shared" ref="H16:M16" si="3">SUM(H7:H15)</f>
        <v>756</v>
      </c>
      <c r="I16" s="114">
        <f t="shared" si="3"/>
        <v>46609.119999999995</v>
      </c>
      <c r="J16" s="274">
        <f>SUM(J7:J15)</f>
        <v>3549.8407999999999</v>
      </c>
      <c r="K16" s="275">
        <f t="shared" si="3"/>
        <v>1631.3192000000001</v>
      </c>
      <c r="L16" s="276">
        <f t="shared" si="3"/>
        <v>304.11095999999998</v>
      </c>
      <c r="M16" s="232">
        <f t="shared" si="3"/>
        <v>41123.849039999994</v>
      </c>
      <c r="N16" s="233">
        <f>SUM(N7:N15)</f>
        <v>8841.3559322033889</v>
      </c>
      <c r="O16" s="101">
        <f>SUM(O7:O15)</f>
        <v>249.82602486101698</v>
      </c>
      <c r="P16" s="113">
        <f>SUM(P7:P15)</f>
        <v>50215.030997064408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46609.119999999995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3549.8407999999999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1935.4301600000001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41123.849039999994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8841.3559322033889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49965.204972203384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249.82602486101698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50215.030997064401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50215.030997064408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6573.3000000000011</v>
      </c>
      <c r="J25" s="274">
        <f>SUM(J16:J24)</f>
        <v>478.78800000000007</v>
      </c>
      <c r="K25" s="275">
        <f t="shared" si="10"/>
        <v>230.06550000000004</v>
      </c>
      <c r="L25" s="276">
        <f t="shared" si="10"/>
        <v>80.029200000000003</v>
      </c>
      <c r="M25" s="232">
        <f t="shared" si="10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6573.3000000000011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478.78800000000007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310.09470000000005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5784.417300000001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7035.2647576271193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4" t="s">
        <v>88</v>
      </c>
      <c r="O35" s="375"/>
      <c r="P35" s="297">
        <f>+P33+P34</f>
        <v>7070.4410814152552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1342.44</v>
      </c>
      <c r="J25" s="274">
        <f>SUM(J16:J24)</f>
        <v>93.272400000000005</v>
      </c>
      <c r="K25" s="275">
        <f t="shared" si="7"/>
        <v>46.985400000000013</v>
      </c>
      <c r="L25" s="276">
        <f t="shared" si="7"/>
        <v>24.008760000000002</v>
      </c>
      <c r="M25" s="232">
        <f t="shared" si="7"/>
        <v>1178.17344</v>
      </c>
      <c r="N25" s="233">
        <f>SUM(N16:N24)</f>
        <v>256.27118644067792</v>
      </c>
      <c r="O25" s="101">
        <f>SUM(O16:O24)</f>
        <v>7.1722231322033903</v>
      </c>
      <c r="P25" s="234">
        <f>SUM(P16:P24)</f>
        <v>1441.6168495728814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1342.44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93.272400000000005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70.994160000000022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1178.17344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1434.4446264406779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74" t="s">
        <v>88</v>
      </c>
      <c r="O35" s="375"/>
      <c r="P35" s="297">
        <f>+P33+P34</f>
        <v>1441.6168495728814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16581.5</v>
      </c>
      <c r="J25" s="274">
        <f>SUM(J16:J24)</f>
        <v>1279.444</v>
      </c>
      <c r="K25" s="275">
        <f t="shared" si="7"/>
        <v>580.35250000000008</v>
      </c>
      <c r="L25" s="276">
        <f t="shared" si="7"/>
        <v>80.029200000000003</v>
      </c>
      <c r="M25" s="232">
        <f t="shared" si="7"/>
        <v>14641.674300000001</v>
      </c>
      <c r="N25" s="233">
        <f>SUM(N16:N24)</f>
        <v>3142.372881355931</v>
      </c>
      <c r="O25" s="101">
        <f>SUM(O16:O24)</f>
        <v>88.920235906779652</v>
      </c>
      <c r="P25" s="234">
        <f>SUM(P16:P24)</f>
        <v>17872.967417262713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16581.5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1279.444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660.38170000000014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14641.674300000001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3142.372881355931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17784.047181355931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88.920235906779652</v>
      </c>
    </row>
    <row r="35" spans="2:16" ht="15.75" customHeight="1" thickBot="1" x14ac:dyDescent="0.4">
      <c r="N35" s="374" t="s">
        <v>88</v>
      </c>
      <c r="O35" s="375"/>
      <c r="P35" s="297">
        <f>+P33+P34</f>
        <v>17872.967417262709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116.22399999999999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784.60000000000014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39.230000000000011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67.475600000000014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677.89440000000013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830.43677288135598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4" t="s">
        <v>88</v>
      </c>
      <c r="O35" s="375"/>
      <c r="P35" s="297">
        <f>+P33+P34</f>
        <v>834.58895674576274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2026-09-08T11:20:06Z</dcterms:modified>
</cp:coreProperties>
</file>