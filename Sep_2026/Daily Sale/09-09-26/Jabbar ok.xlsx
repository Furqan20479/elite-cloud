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6322C16-73EC-49D1-881C-CA7F2A4DD28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<sst xmlns="http://schemas.openxmlformats.org/spreadsheetml/2006/main" count="3948" uniqueCount="524">
  <si>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</si>
  <si>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</si>
  <si>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</si>
  <si>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</si>
  <si>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</si>
  <si>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</si>
  <si>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</si>
  <si>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</si>
  <si>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</si>
  <si>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</si>
  <si>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</si>
  <si>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</si>
  <si>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</si>
  <si>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</si>
  <si>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</si>
  <si>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</si>
  <si>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</si>
  <si>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</si>
  <si>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</si>
  <si>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</si>
  <si>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</si>
  <si>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</si>
  <si>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</si>
  <si>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</si>
  <si>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</si>
  <si>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</si>
  <si>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</si>
  <si>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</si>
  <si>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</si>
  <si>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</si>
  <si>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</si>
  <si>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</si>
  <si>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</si>
  <si>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</si>
  <si>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</si>
  <si>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</si>
  <si>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</si>
  <si>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</si>
  <si>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</si>
  <si>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</si>
  <si>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</si>
  <si>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</si>
  <si>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</si>
  <si>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</si>
  <si>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</si>
  <si>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</si>
  <si>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</si>
  <si>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</si>
  <si>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</si>
  <si>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</si>
  <si>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</si>
  <si>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</si>
  <si>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</si>
  <si>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</si>
  <si>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</si>
  <si>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</si>
  <si>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</si>
  <si>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</si>
  <si>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</si>
  <si>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</si>
  <si>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</si>
  <si>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</si>
  <si>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</si>
  <si>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</si>
  <si>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</si>
  <si>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</si>
  <si>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</si>
  <si>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</si>
  <si>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</si>
  <si>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</si>
  <si>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</si>
  <si>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</si>
  <si>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</si>
  <si>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</si>
  <si>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</si>
  <si>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</si>
  <si>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</si>
  <si>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</si>
  <si>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</si>
  <si>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</si>
  <si>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</si>
  <si>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</si>
  <si>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</si>
  <si>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</si>
  <si>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</si>
  <si>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</si>
  <si>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</si>
  <si>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</si>
  <si>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</si>
  <si>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</si>
  <si>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</si>
  <si>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</si>
  <si>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</si>
  <si>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</si>
  <si>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</si>
  <si>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</si>
  <si>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</si>
  <si>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</si>
  <si>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</si>
  <si>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</si>
  <si>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</si>
  <si>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</si>
  <si>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</si>
  <si>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</si>
  <si>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</si>
  <si>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</si>
  <si>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</si>
  <si>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</si>
  <si>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</si>
  <si>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</si>
  <si>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</si>
  <si>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</si>
  <si>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</si>
  <si>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</si>
  <si>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</si>
  <si>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</si>
  <si>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</si>
  <si>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</si>
  <si>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</si>
  <si>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</si>
  <si>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</si>
  <si>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</si>
  <si>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</si>
  <si>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</si>
  <si>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</si>
  <si>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</si>
  <si>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</si>
  <si>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</si>
  <si>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</si>
  <si>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</si>
  <si>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</si>
  <si>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</si>
  <si>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</si>
  <si>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</si>
  <si>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</si>
  <si>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</si>
  <si>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</si>
  <si>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</si>
  <si>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</si>
  <si>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</si>
  <si>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</si>
  <si>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</si>
  <si>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</si>
  <si>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</si>
  <si>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</si>
  <si>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</si>
  <si>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</si>
  <si>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</si>
  <si>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</si>
  <si>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</si>
  <si>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</si>
  <si>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</si>
  <si>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</si>
  <si>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</si>
  <si>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</si>
  <si>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</si>
  <si>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</si>
  <si>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</si>
  <si>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</si>
  <si>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</si>
  <si>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</si>
  <si>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</si>
  <si>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</si>
  <si>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</si>
  <si>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</si>
  <si>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</si>
  <si>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</si>
  <si>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</si>
  <si>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</si>
  <si>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</si>
  <si>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</si>
  <si>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</si>
  <si>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</si>
  <si>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</si>
  <si>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</si>
  <si>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</si>
  <si>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</si>
  <si>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</si>
  <si>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</si>
  <si>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</si>
  <si>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</si>
  <si>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</si>
  <si>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</si>
  <si>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</si>
  <si>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</si>
  <si>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</si>
  <si>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</si>
  <si>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</si>
  <si>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</si>
  <si>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</si>
  <si>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</si>
  <si>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</si>
  <si>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</si>
  <si>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</si>
  <si>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</si>
  <si>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</si>
  <si>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</si>
  <si>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</si>
  <si>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</si>
  <si>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</si>
  <si>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</si>
  <si>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</si>
  <si>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</si>
  <si>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</si>
  <si>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</si>
  <si>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</si>
  <si>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</si>
  <si>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</si>
  <si>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</si>
  <si>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</si>
  <si>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</si>
  <si>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</si>
  <si>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</si>
  <si>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</si>
  <si>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</si>
  <si>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</si>
  <si>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</si>
  <si>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</si>
  <si>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</si>
  <si>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</si>
  <si>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</si>
  <si>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</si>
  <si>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</si>
  <si>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</si>
  <si>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</si>
  <si>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</si>
  <si>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</si>
  <si>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</si>
  <si>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</si>
  <si>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</si>
  <si>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</si>
  <si>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</si>
  <si>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</si>
  <si>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</si>
  <si>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</si>
  <si>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</si>
  <si>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</si>
  <si>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</si>
  <si>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</si>
  <si>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</si>
  <si>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</si>
  <si>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</si>
  <si>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</si>
  <si>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</si>
  <si>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</si>
  <si>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</si>
  <si>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</si>
  <si>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</si>
  <si>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</si>
  <si>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</si>
  <si>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</si>
  <si>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</si>
  <si>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</si>
  <si>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</si>
  <si>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</si>
  <si>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</si>
  <si>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</si>
  <si>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</si>
  <si>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</si>
  <si>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</si>
  <si>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</si>
  <si>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</si>
  <si>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</si>
  <si>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</si>
  <si>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</si>
  <si>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</si>
  <si>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</si>
  <si>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</si>
  <si>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</si>
  <si>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</si>
  <si>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</si>
  <si>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</si>
  <si>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</si>
  <si>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</si>
  <si>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</si>
  <si>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</si>
  <si>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</si>
  <si>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</si>
  <si>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</si>
  <si>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</si>
  <si>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</si>
  <si>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</si>
  <si>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</si>
  <si>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</si>
  <si>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</si>
  <si>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</si>
  <si>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</si>
  <si>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</si>
  <si>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</si>
  <si>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</si>
  <si>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</si>
  <si>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</si>
  <si>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</si>
  <si>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</si>
  <si>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</si>
  <si>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</si>
  <si>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</si>
  <si>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</si>
  <si>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</si>
  <si>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</si>
  <si>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</si>
  <si>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</si>
  <si>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</si>
  <si>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</si>
  <si>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</si>
  <si>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</si>
  <si>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</si>
  <si>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</si>
  <si>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</si>
  <si>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</si>
  <si>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</si>
  <si>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</si>
  <si>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</si>
  <si>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</si>
  <si>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</si>
  <si>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</si>
  <si>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</si>
  <si>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</si>
  <si>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</si>
  <si>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</si>
  <si>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</si>
  <si>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</si>
  <si>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</si>
  <si>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</si>
  <si>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</si>
  <si>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</si>
  <si>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</si>
  <si>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</si>
  <si>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</si>
  <si>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</si>
  <si>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</si>
  <si>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</si>
  <si>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</si>
  <si>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</si>
  <si>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</si>
  <si>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</si>
  <si>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</si>
  <si>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</si>
  <si>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</si>
  <si>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</si>
  <si>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</si>
  <si>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</si>
  <si>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</si>
  <si>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</si>
  <si>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</si>
  <si>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</si>
  <si>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</si>
  <si>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</si>
  <si>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</si>
  <si>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</si>
  <si>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</si>
  <si>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</si>
  <si>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</si>
  <si>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</si>
  <si>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</si>
  <si>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</si>
  <si>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</si>
  <si>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</si>
  <si>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</si>
  <si>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</si>
  <si>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</si>
  <si>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</si>
  <si>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</si>
  <si>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</si>
  <si>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</si>
  <si>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</si>
  <si>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</si>
  <si>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</si>
  <si>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</si>
  <si>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</si>
  <si>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</si>
  <si>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</si>
  <si>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</si>
  <si>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</si>
  <si>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</si>
  <si>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</si>
  <si>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</si>
  <si>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</si>
  <si>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</si>
  <si>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</si>
  <si>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</si>
  <si>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</si>
  <si>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</si>
  <si>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</si>
  <si>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</si>
  <si>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</si>
  <si>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</si>
  <si>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</si>
  <si>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</si>
  <si>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</si>
  <si>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</si>
  <si>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</si>
  <si>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</si>
  <si>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</si>
  <si>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</si>
  <si>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</si>
  <si>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</si>
  <si>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</si>
  <si>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</si>
  <si>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</si>
  <si>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</si>
  <si>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</si>
  <si>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</si>
  <si>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</si>
  <si>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</si>
  <si>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</si>
  <si>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</si>
  <si>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</si>
  <si>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</si>
  <si>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</si>
  <si>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</si>
  <si>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</si>
  <si>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</si>
  <si>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</si>
  <si>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</si>
  <si>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</si>
  <si>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</si>
  <si>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</si>
  <si>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</si>
  <si>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</si>
  <si>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</si>
  <si>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</si>
  <si>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</si>
  <si>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</si>
  <si>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</si>
  <si>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</si>
  <si>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</si>
  <si>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</si>
  <si>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</si>
  <si>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</si>
  <si>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</si>
  <si>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</si>
  <si>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</si>
  <si>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</si>
  <si>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</si>
  <si>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</si>
  <si>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</si>
  <si>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</si>
  <si>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</si>
  <si>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</si>
  <si>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</si>
  <si>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</si>
  <si>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</si>
  <si>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</si>
  <si>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</si>
  <si>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</si>
  <si>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</si>
  <si>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</si>
  <si>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</si>
  <si>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</si>
  <si>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</si>
  <si>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</si>
  <si>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</si>
  <si>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</si>
  <si>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</si>
  <si>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</si>
  <si>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</si>
  <si>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</si>
  <si>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</si>
  <si>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</si>
  <si>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</si>
  <si>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</si>
  <si>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</si>
  <si>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</si>
  <si>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</si>
  <si>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</si>
  <si>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</si>
  <si>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</si>
  <si>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</si>
  <si>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</si>
  <si>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</si>
  <si>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</si>
  <si>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</si>
  <si>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</si>
  <si>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</si>
  <si>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</si>
  <si>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</si>
  <si>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</si>
  <si>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</si>
  <si>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</si>
  <si>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</si>
  <si>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</si>
  <si>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</si>
  <si>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</si>
  <si>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</si>
  <si>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</si>
  <si>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</si>
  <si>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</si>
  <si>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</si>
  <si>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</si>
  <si>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</si>
  <si>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</si>
  <si>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</si>
  <si>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</si>
  <si>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</si>
  <si>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</si>
  <si>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</si>
  <si>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</si>
  <si>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</si>
  <si>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</si>
  <si>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</si>
  <si>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</si>
  <si>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</si>
  <si>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</si>
  <si>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</si>
  <si>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</si>
  <si>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</si>
  <si>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</si>
  <si>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</si>
  <si>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</si>
  <si>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</si>
  <si>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</si>
  <si>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</si>
  <si>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</si>
  <si>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</si>
  <si>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Address: Killa Gujjar Singh </t>
  </si>
  <si>
    <t>Haji Abdul Store</t>
  </si>
  <si>
    <t xml:space="preserve">Al Fatah Bakers </t>
  </si>
  <si>
    <t>786 Khan Store</t>
  </si>
  <si>
    <t>Nazeer Sons Store</t>
  </si>
  <si>
    <t>Sohail Store</t>
  </si>
  <si>
    <t xml:space="preserve">Address: Ganda Engin Chowk </t>
  </si>
  <si>
    <t xml:space="preserve">Shell Pump </t>
  </si>
  <si>
    <t xml:space="preserve">Address: Press Club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</si>
</sst>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" workbookViewId="0">
      <selection activeCell="Q9" sqref="Q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Haji Abdul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Fatah Bakers </v>
      </c>
      <c r="T4" s="301">
        <f>+'2'!P35</f>
        <v>1514.1044315974575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786 Khan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Nazeer Sons Store</v>
      </c>
      <c r="T6" s="301">
        <f>+'4'!P35</f>
        <v>5401.2631679237293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24</v>
      </c>
      <c r="I7" s="235">
        <f>(G7*D7)*F7+H7*F7</f>
        <v>1259.0999999999999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100.72799999999999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44.0685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1114.3035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237.96610169491515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6.7613480084745756</v>
      </c>
      <c r="P7" s="310">
        <f>M7+N7+O7</f>
        <v>1359.0309497033898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Sohail Store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</v>
      </c>
      <c r="I8" s="236">
        <f t="shared" ref="I8:I14" si="0">(G8*D8)*F8+H8*F8</f>
        <v>209.85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16.788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7.3447500000000003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185.71724999999998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39.661016949152526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1.1268913347457625</v>
      </c>
      <c r="P8" s="311">
        <f t="shared" ref="P8:P15" si="2">M8+N8+O8</f>
        <v>226.50515828389825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Shell Pump 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</v>
      </c>
      <c r="I9" s="236">
        <f t="shared" si="0"/>
        <v>1259.0999999999999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100.72799999999999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44.0685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1114.3035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237.96610169491515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6.7613480084745756</v>
      </c>
      <c r="P9" s="311">
        <f t="shared" si="2"/>
        <v>1359.0309497033898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52</v>
      </c>
      <c r="I10" s="236">
        <f t="shared" si="0"/>
        <v>3777.28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302.18240000000003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132.20480000000001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3342.8928000000001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713.89830508474574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20.283955525423728</v>
      </c>
      <c r="P10" s="311">
        <f t="shared" si="2"/>
        <v>4077.0750606101697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5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5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72</v>
      </c>
      <c r="I12" s="236">
        <f t="shared" si="0"/>
        <v>5230.08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418.40640000000002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183.05280000000002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4628.6207999999997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988.47457627118649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28.085476881355934</v>
      </c>
      <c r="P12" s="311">
        <f t="shared" si="2"/>
        <v>5645.1808531525421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</v>
      </c>
      <c r="I13" s="236">
        <f t="shared" si="0"/>
        <v>784.60000000000014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39.230000000000011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27.461000000000006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40.014600000000002</v>
      </c>
      <c r="M13" s="230">
        <f t="shared" si="1"/>
        <v>677.89440000000013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152.54237288135585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4.1521838644067799</v>
      </c>
      <c r="P13" s="311">
        <f t="shared" si="2"/>
        <v>834.58895674576274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18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5.4</v>
      </c>
      <c r="H16" s="113">
        <f t="shared" ref="H16:M16" si="3">SUM(H7:H15)</f>
        <v>216</v>
      </c>
      <c r="I16" s="114">
        <f t="shared" si="3"/>
        <v>13972.81</v>
      </c>
      <c r="J16" s="274">
        <f>SUM(J7:J15)</f>
        <v>1094.2868000000001</v>
      </c>
      <c r="K16" s="275">
        <f t="shared" si="3"/>
        <v>489.04835000000003</v>
      </c>
      <c r="L16" s="276">
        <f t="shared" si="3"/>
        <v>40.014600000000002</v>
      </c>
      <c r="M16" s="232">
        <f t="shared" si="3"/>
        <v>12349.46025</v>
      </c>
      <c r="N16" s="233">
        <f>SUM(N7:N15)</f>
        <v>2645.0847457627115</v>
      </c>
      <c r="O16" s="101">
        <f>SUM(O7:O15)</f>
        <v>74.972724978813559</v>
      </c>
      <c r="P16" s="113">
        <f>SUM(P7:P15)</f>
        <v>15069.517720741525</v>
      </c>
      <c r="Q16" s="128">
        <f>SUM(Q7:Q15)</f>
        <v>33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13972.81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1094.2868000000001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529.06295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12349.46025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2645.0847457627115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14994.544995762712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74.972724978813559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15069.517720741525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15069.517720741525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22" sqref="H19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32</v>
      </c>
      <c r="I25" s="114">
        <f t="shared" si="7"/>
        <v>1414.15</v>
      </c>
      <c r="J25" s="274">
        <f>SUM(J16:J24)</f>
        <v>89.594000000000023</v>
      </c>
      <c r="K25" s="275">
        <f t="shared" si="7"/>
        <v>49.495250000000006</v>
      </c>
      <c r="L25" s="276">
        <f t="shared" si="7"/>
        <v>40.014600000000002</v>
      </c>
      <c r="M25" s="232">
        <f t="shared" si="7"/>
        <v>1235.0461500000001</v>
      </c>
      <c r="N25" s="233">
        <f>SUM(N16:N24)</f>
        <v>271.52542372881339</v>
      </c>
      <c r="O25" s="101">
        <f>SUM(O16:O24)</f>
        <v>7.5328578686440677</v>
      </c>
      <c r="P25" s="234">
        <f>SUM(P16:P24)</f>
        <v>1514.1044315974575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1414.15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89.594000000000023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89.50985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1235.0461500000001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271.52542372881339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1506.5715737288135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7.5328578686440677</v>
      </c>
    </row>
    <row r="35" spans="2:16" ht="15.75" customHeight="1" thickBot="1" x14ac:dyDescent="0.4">
      <c r="N35" s="345" t="s">
        <v>88</v>
      </c>
      <c r="O35" s="346"/>
      <c r="P35" s="297">
        <f>+P33+P34</f>
        <v>1514.1044315974575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activeCell="H22" sqref="H19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3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2026-09-09T10:57:54Z</dcterms:modified>
</cp:coreProperties>
</file>