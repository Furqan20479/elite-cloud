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C5A0B1-76E5-413D-A33D-0C638E0F1E13}" xr6:coauthVersionLast="47" xr6:coauthVersionMax="47" xr10:uidLastSave="{00000000-0000-0000-0000-000000000000}"/>
  <bookViews>
    <workbookView xWindow="-110" yWindow="-110" windowWidth="19420" windowHeight="10420" tabRatio="948" firstSheet="3" activeTab="11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<sst xmlns="http://schemas.openxmlformats.org/spreadsheetml/2006/main" count="3948" uniqueCount="527">
  <si>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</si>
  <si>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</si>
  <si>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</si>
  <si>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</si>
  <si>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</si>
  <si>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</si>
  <si>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</si>
  <si>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</si>
  <si>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</si>
  <si>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</si>
  <si>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</si>
  <si>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</si>
  <si>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</si>
  <si>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</si>
  <si>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</si>
  <si>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</si>
  <si>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</si>
  <si>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</si>
  <si>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</si>
  <si>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</si>
  <si>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</si>
  <si>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</si>
  <si>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</si>
  <si>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</si>
  <si>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</si>
  <si>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</si>
  <si>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</si>
  <si>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</si>
  <si>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</si>
  <si>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</si>
  <si>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</si>
  <si>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</si>
  <si>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</si>
  <si>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</si>
  <si>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</si>
  <si>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</si>
  <si>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</si>
  <si>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</si>
  <si>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</si>
  <si>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</si>
  <si>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</si>
  <si>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</si>
  <si>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</si>
  <si>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</si>
  <si>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</si>
  <si>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</si>
  <si>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</si>
  <si>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</si>
  <si>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</si>
  <si>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</si>
  <si>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</si>
  <si>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</si>
  <si>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</si>
  <si>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</si>
  <si>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</si>
  <si>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</si>
  <si>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</si>
  <si>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</si>
  <si>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</si>
  <si>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</si>
  <si>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</si>
  <si>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</si>
  <si>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</si>
  <si>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</si>
  <si>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</si>
  <si>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</si>
  <si>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</si>
  <si>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</si>
  <si>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</si>
  <si>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</si>
  <si>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</si>
  <si>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</si>
  <si>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</si>
  <si>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</si>
  <si>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</si>
  <si>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</si>
  <si>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</si>
  <si>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</si>
  <si>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</si>
  <si>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</si>
  <si>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</si>
  <si>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</si>
  <si>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</si>
  <si>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</si>
  <si>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</si>
  <si>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</si>
  <si>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</si>
  <si>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</si>
  <si>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</si>
  <si>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</si>
  <si>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</si>
  <si>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</si>
  <si>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</si>
  <si>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</si>
  <si>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</si>
  <si>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</si>
  <si>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</si>
  <si>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</si>
  <si>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</si>
  <si>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</si>
  <si>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</si>
  <si>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</si>
  <si>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</si>
  <si>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</si>
  <si>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</si>
  <si>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</si>
  <si>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</si>
  <si>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</si>
  <si>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</si>
  <si>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</si>
  <si>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</si>
  <si>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</si>
  <si>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</si>
  <si>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</si>
  <si>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</si>
  <si>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</si>
  <si>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</si>
  <si>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</si>
  <si>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</si>
  <si>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</si>
  <si>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</si>
  <si>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</si>
  <si>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</si>
  <si>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</si>
  <si>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</si>
  <si>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</si>
  <si>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</si>
  <si>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</si>
  <si>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</si>
  <si>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</si>
  <si>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</si>
  <si>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</si>
  <si>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</si>
  <si>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</si>
  <si>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</si>
  <si>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</si>
  <si>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</si>
  <si>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</si>
  <si>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</si>
  <si>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</si>
  <si>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</si>
  <si>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</si>
  <si>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</si>
  <si>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</si>
  <si>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</si>
  <si>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</si>
  <si>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</si>
  <si>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</si>
  <si>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</si>
  <si>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</si>
  <si>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</si>
  <si>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</si>
  <si>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</si>
  <si>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</si>
  <si>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</si>
  <si>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</si>
  <si>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</si>
  <si>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</si>
  <si>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</si>
  <si>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</si>
  <si>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</si>
  <si>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</si>
  <si>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</si>
  <si>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</si>
  <si>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</si>
  <si>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</si>
  <si>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</si>
  <si>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</si>
  <si>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</si>
  <si>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</si>
  <si>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</si>
  <si>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</si>
  <si>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</si>
  <si>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</si>
  <si>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</si>
  <si>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</si>
  <si>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</si>
  <si>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</si>
  <si>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</si>
  <si>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</si>
  <si>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</si>
  <si>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</si>
  <si>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</si>
  <si>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</si>
  <si>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</si>
  <si>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</si>
  <si>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</si>
  <si>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</si>
  <si>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</si>
  <si>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</si>
  <si>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</si>
  <si>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</si>
  <si>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</si>
  <si>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</si>
  <si>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</si>
  <si>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</si>
  <si>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</si>
  <si>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</si>
  <si>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</si>
  <si>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</si>
  <si>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</si>
  <si>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</si>
  <si>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</si>
  <si>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</si>
  <si>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</si>
  <si>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</si>
  <si>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</si>
  <si>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</si>
  <si>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</si>
  <si>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</si>
  <si>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</si>
  <si>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</si>
  <si>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</si>
  <si>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</si>
  <si>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</si>
  <si>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</si>
  <si>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</si>
  <si>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</si>
  <si>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</si>
  <si>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</si>
  <si>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</si>
  <si>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</si>
  <si>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</si>
  <si>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</si>
  <si>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</si>
  <si>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</si>
  <si>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</si>
  <si>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</si>
  <si>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</si>
  <si>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</si>
  <si>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</si>
  <si>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</si>
  <si>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</si>
  <si>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</si>
  <si>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</si>
  <si>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</si>
  <si>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</si>
  <si>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</si>
  <si>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</si>
  <si>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</si>
  <si>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</si>
  <si>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</si>
  <si>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</si>
  <si>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</si>
  <si>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</si>
  <si>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</si>
  <si>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</si>
  <si>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</si>
  <si>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</si>
  <si>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</si>
  <si>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</si>
  <si>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</si>
  <si>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</si>
  <si>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</si>
  <si>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</si>
  <si>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</si>
  <si>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</si>
  <si>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</si>
  <si>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</si>
  <si>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</si>
  <si>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</si>
  <si>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</si>
  <si>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</si>
  <si>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</si>
  <si>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</si>
  <si>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</si>
  <si>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</si>
  <si>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</si>
  <si>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</si>
  <si>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</si>
  <si>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</si>
  <si>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</si>
  <si>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</si>
  <si>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</si>
  <si>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</si>
  <si>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</si>
  <si>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</si>
  <si>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</si>
  <si>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</si>
  <si>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</si>
  <si>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</si>
  <si>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</si>
  <si>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</si>
  <si>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</si>
  <si>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</si>
  <si>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</si>
  <si>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</si>
  <si>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</si>
  <si>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</si>
  <si>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</si>
  <si>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</si>
  <si>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</si>
  <si>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</si>
  <si>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</si>
  <si>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</si>
  <si>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</si>
  <si>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</si>
  <si>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</si>
  <si>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</si>
  <si>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</si>
  <si>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</si>
  <si>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</si>
  <si>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</si>
  <si>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</si>
  <si>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</si>
  <si>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</si>
  <si>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</si>
  <si>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</si>
  <si>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</si>
  <si>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</si>
  <si>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</si>
  <si>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</si>
  <si>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</si>
  <si>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</si>
  <si>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</si>
  <si>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</si>
  <si>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</si>
  <si>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</si>
  <si>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</si>
  <si>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</si>
  <si>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</si>
  <si>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</si>
  <si>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</si>
  <si>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</si>
  <si>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</si>
  <si>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</si>
  <si>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</si>
  <si>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</si>
  <si>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</si>
  <si>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</si>
  <si>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</si>
  <si>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</si>
  <si>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</si>
  <si>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</si>
  <si>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</si>
  <si>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</si>
  <si>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</si>
  <si>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</si>
  <si>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</si>
  <si>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</si>
  <si>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</si>
  <si>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</si>
  <si>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</si>
  <si>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</si>
  <si>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</si>
  <si>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</si>
  <si>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</si>
  <si>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</si>
  <si>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</si>
  <si>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</si>
  <si>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</si>
  <si>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</si>
  <si>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</si>
  <si>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</si>
  <si>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</si>
  <si>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</si>
  <si>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</si>
  <si>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</si>
  <si>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</si>
  <si>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</si>
  <si>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</si>
  <si>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</si>
  <si>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</si>
  <si>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</si>
  <si>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</si>
  <si>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</si>
  <si>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</si>
  <si>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</si>
  <si>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</si>
  <si>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</si>
  <si>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</si>
  <si>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</si>
  <si>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</si>
  <si>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</si>
  <si>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</si>
  <si>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</si>
  <si>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</si>
  <si>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</si>
  <si>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</si>
  <si>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</si>
  <si>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</si>
  <si>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</si>
  <si>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</si>
  <si>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</si>
  <si>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</si>
  <si>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</si>
  <si>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</si>
  <si>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</si>
  <si>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</si>
  <si>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</si>
  <si>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</si>
  <si>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</si>
  <si>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</si>
  <si>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</si>
  <si>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</si>
  <si>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</si>
  <si>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</si>
  <si>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</si>
  <si>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</si>
  <si>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</si>
  <si>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</si>
  <si>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</si>
  <si>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</si>
  <si>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</si>
  <si>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</si>
  <si>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</si>
  <si>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</si>
  <si>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</si>
  <si>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</si>
  <si>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</si>
  <si>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</si>
  <si>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</si>
  <si>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</si>
  <si>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</si>
  <si>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</si>
  <si>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</si>
  <si>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</si>
  <si>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</si>
  <si>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</si>
  <si>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</si>
  <si>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</si>
  <si>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</si>
  <si>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</si>
  <si>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</si>
  <si>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</si>
  <si>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</si>
  <si>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</si>
  <si>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</si>
  <si>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</si>
  <si>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</si>
  <si>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</si>
  <si>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</si>
  <si>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</si>
  <si>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</si>
  <si>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</si>
  <si>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</si>
  <si>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</si>
  <si>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</si>
  <si>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</si>
  <si>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</si>
  <si>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</si>
  <si>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</si>
  <si>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</si>
  <si>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</si>
  <si>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</si>
  <si>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</si>
  <si>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</si>
  <si>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</si>
  <si>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</si>
  <si>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</si>
  <si>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</si>
  <si>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</si>
  <si>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</si>
  <si>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</si>
  <si>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</si>
  <si>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</si>
  <si>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</si>
  <si>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</si>
  <si>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</si>
  <si>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</si>
  <si>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</si>
  <si>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</si>
  <si>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</si>
  <si>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</si>
  <si>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</si>
  <si>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</si>
  <si>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</si>
  <si>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</si>
  <si>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</si>
  <si>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</si>
  <si>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</si>
  <si>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</si>
  <si>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</si>
  <si>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</si>
  <si>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</si>
  <si>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</si>
  <si>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</si>
  <si>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</si>
  <si>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</si>
  <si>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</si>
  <si>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</si>
  <si>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</si>
  <si>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</si>
  <si>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</si>
  <si>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</si>
  <si>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</si>
  <si>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</si>
  <si>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</si>
  <si>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</si>
  <si>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</si>
  <si>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</si>
  <si>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</si>
  <si>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</si>
  <si>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</si>
  <si>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</si>
  <si>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</si>
  <si>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</si>
  <si>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</si>
  <si>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</si>
  <si>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</si>
  <si>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</si>
  <si>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</si>
  <si>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</si>
  <si>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</si>
  <si>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</si>
  <si>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</si>
  <si>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</si>
  <si>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</si>
  <si>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</si>
  <si>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</si>
  <si>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</si>
  <si>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</si>
  <si>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</si>
  <si>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</si>
  <si>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Ghazi Road</t>
  </si>
  <si>
    <t xml:space="preserve">China Sale Mela </t>
  </si>
  <si>
    <t>Imran Kareyana Store</t>
  </si>
  <si>
    <t>Ravi Kareyana Store</t>
  </si>
  <si>
    <t>Dua Book Store</t>
  </si>
  <si>
    <t xml:space="preserve">Arban Mart </t>
  </si>
  <si>
    <t xml:space="preserve">Address: Punjab Society </t>
  </si>
  <si>
    <t>Ibraheem GS</t>
  </si>
  <si>
    <t>Punjab Store</t>
  </si>
  <si>
    <t>HK Store</t>
  </si>
  <si>
    <t>Hussnain Store</t>
  </si>
  <si>
    <t>Marhaba Store</t>
  </si>
  <si>
    <t xml:space="preserve">Ajwa Ata Chaki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</si>
</sst>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2" workbookViewId="0">
      <selection activeCell="S10" sqref="S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China Sale Mela </v>
      </c>
      <c r="T3" s="301">
        <f>+'1'!P35</f>
        <v>6957.1885022733049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Imran Kareyana Store</v>
      </c>
      <c r="T4" s="301">
        <f>+'2'!P35</f>
        <v>940.86347552542372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Ravi Kareyana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Dua Book Store</v>
      </c>
      <c r="T6" s="301">
        <f>+'4'!P35</f>
        <v>1441.6168495728814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49</v>
      </c>
      <c r="I7" s="235">
        <f>(G7*D7)*F7+H7*F7</f>
        <v>2570.6624999999999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205.65299999999999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89.973187500000009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2275.0363124999999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485.84745762711844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13.804418850635592</v>
      </c>
      <c r="P7" s="310">
        <f>M7+N7+O7</f>
        <v>2774.6881889777537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</v>
      </c>
      <c r="R7" s="313">
        <v>5</v>
      </c>
      <c r="S7" s="300" t="str">
        <f>+'5'!A6:A6</f>
        <v xml:space="preserve">Arban Mart </v>
      </c>
      <c r="T7" s="301">
        <f>+'5'!P35</f>
        <v>17872.967417262709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49</v>
      </c>
      <c r="I8" s="236">
        <f t="shared" ref="I8:I14" si="0">(G8*D8)*F8+H8*F8</f>
        <v>2570.6624999999999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205.65299999999999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89.973187500000009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2275.0363124999999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485.84745762711844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13.804418850635592</v>
      </c>
      <c r="P8" s="311">
        <f t="shared" ref="P8:P15" si="2">M8+N8+O8</f>
        <v>2774.6881889777537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</v>
      </c>
      <c r="R8" s="313">
        <v>6</v>
      </c>
      <c r="S8" s="300" t="str">
        <f>+'6'!A6:A6</f>
        <v>Ibraheem GS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60</v>
      </c>
      <c r="I9" s="236">
        <f t="shared" si="0"/>
        <v>3147.75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110.17125000000001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2785.75875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594.91525423728785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16.90337002118644</v>
      </c>
      <c r="P9" s="311">
        <f t="shared" si="2"/>
        <v>3397.5773742584738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Punjab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127</v>
      </c>
      <c r="I10" s="236">
        <f t="shared" si="0"/>
        <v>9225.2800000000007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738.02240000000006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322.88480000000004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8164.372800000001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1743.5593220338983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49.539660610169491</v>
      </c>
      <c r="P10" s="311">
        <f t="shared" si="2"/>
        <v>9957.4717826440683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HK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170</v>
      </c>
      <c r="I11" s="236">
        <f t="shared" si="0"/>
        <v>12348.8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987.904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432.20800000000003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10928.687999999998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2333.898305084746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66.312931525423735</v>
      </c>
      <c r="P11" s="311">
        <f t="shared" si="2"/>
        <v>13328.899236610168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Hussnain Store</v>
      </c>
      <c r="T11" s="301">
        <f>+'9'!P35</f>
        <v>834.58895674576274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147</v>
      </c>
      <c r="I12" s="236">
        <f t="shared" si="0"/>
        <v>10678.08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854.24639999999999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373.73280000000005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9450.1008000000002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2018.1355932203392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57.341181966101701</v>
      </c>
      <c r="P12" s="311">
        <f t="shared" si="2"/>
        <v>11525.57757518644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Marhaba Store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112</v>
      </c>
      <c r="I13" s="236">
        <f t="shared" si="0"/>
        <v>4393.76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219.68800000000005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153.78160000000003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224.08176</v>
      </c>
      <c r="M13" s="230">
        <f t="shared" si="1"/>
        <v>3796.2086400000003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854.23728813559273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23.252229640677967</v>
      </c>
      <c r="P13" s="311">
        <f t="shared" si="2"/>
        <v>4673.6981577762708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3">
        <v>11</v>
      </c>
      <c r="S13" s="300" t="str">
        <f>+'11'!A6:A6</f>
        <v xml:space="preserve">Ajwa Ata Chaki </v>
      </c>
      <c r="T13" s="301">
        <f>+'11'!P35</f>
        <v>9408.6347552542375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17.850000000000001</v>
      </c>
      <c r="H16" s="113">
        <f t="shared" ref="H16:M16" si="3">SUM(H7:H15)</f>
        <v>714</v>
      </c>
      <c r="I16" s="114">
        <f t="shared" si="3"/>
        <v>44934.995000000003</v>
      </c>
      <c r="J16" s="274">
        <f>SUM(J7:J15)</f>
        <v>3462.9868000000001</v>
      </c>
      <c r="K16" s="275">
        <f t="shared" si="3"/>
        <v>1572.7248250000002</v>
      </c>
      <c r="L16" s="276">
        <f t="shared" si="3"/>
        <v>224.08176</v>
      </c>
      <c r="M16" s="232">
        <f t="shared" si="3"/>
        <v>39675.201614999998</v>
      </c>
      <c r="N16" s="233">
        <f>SUM(N7:N15)</f>
        <v>8516.4406779661003</v>
      </c>
      <c r="O16" s="101">
        <f>SUM(O7:O15)</f>
        <v>240.95821146483053</v>
      </c>
      <c r="P16" s="113">
        <f>SUM(P7:P15)</f>
        <v>48432.600504430928</v>
      </c>
      <c r="Q16" s="128">
        <f>SUM(Q7:Q15)</f>
        <v>42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44934.995000000003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3462.9868000000001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1796.8065850000003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39675.201615000005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8516.4406779661003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48191.642292966106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240.95821146483053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48432.600504430935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48432.600504430935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9</v>
      </c>
      <c r="I16" s="235">
        <f>(G16*D16)*F16+H16*F16</f>
        <v>472.16249999999997</v>
      </c>
      <c r="J16" s="271">
        <f>$I16*S16</f>
        <v>37.772999999999996</v>
      </c>
      <c r="K16" s="127">
        <f>$I16*T16</f>
        <v>16.5256875</v>
      </c>
      <c r="L16" s="118">
        <f>$I16*U16</f>
        <v>0</v>
      </c>
      <c r="M16" s="229">
        <f>I16-SUM(J16:L16)</f>
        <v>417.86381249999999</v>
      </c>
      <c r="N16" s="248">
        <f>+(G16*D16+H16)*V16</f>
        <v>89.23728813559319</v>
      </c>
      <c r="O16" s="238">
        <f>(N16+M16)*$O$15</f>
        <v>2.5355055031779661</v>
      </c>
      <c r="P16" s="118">
        <f>M16+N16+O16</f>
        <v>509.63660613877113</v>
      </c>
      <c r="Q16" s="318">
        <v>1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9</v>
      </c>
      <c r="I17" s="236">
        <f t="shared" ref="I17:I23" si="0">(G17*D17)*F17+H17*F17</f>
        <v>472.16249999999997</v>
      </c>
      <c r="J17" s="272">
        <f t="shared" ref="J17:L24" si="1">$I17*S17</f>
        <v>37.772999999999996</v>
      </c>
      <c r="K17" s="128">
        <f>$I17*T17</f>
        <v>16.5256875</v>
      </c>
      <c r="L17" s="119">
        <f>$I17*U17</f>
        <v>0</v>
      </c>
      <c r="M17" s="230">
        <f t="shared" ref="M17:M24" si="2">I17-SUM(J17:L17)</f>
        <v>417.86381249999999</v>
      </c>
      <c r="N17" s="277">
        <f t="shared" ref="N17:N24" si="3">+(G17*D17+H17)*V17</f>
        <v>89.23728813559319</v>
      </c>
      <c r="O17" s="239">
        <f t="shared" ref="O17:O24" si="4">(N17+M17)*$O$15</f>
        <v>2.5355055031779661</v>
      </c>
      <c r="P17" s="119">
        <f t="shared" ref="P17:P24" si="5">M17+N17+O17</f>
        <v>509.63660613877113</v>
      </c>
      <c r="Q17" s="319">
        <v>1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118</v>
      </c>
      <c r="I25" s="114">
        <f t="shared" ref="I25:M25" si="10">SUM(I16:I24)</f>
        <v>6468.375</v>
      </c>
      <c r="J25" s="274">
        <f>SUM(J16:J24)</f>
        <v>470.39400000000006</v>
      </c>
      <c r="K25" s="275">
        <f t="shared" si="10"/>
        <v>226.393125</v>
      </c>
      <c r="L25" s="276">
        <f t="shared" si="10"/>
        <v>80.029200000000003</v>
      </c>
      <c r="M25" s="232">
        <f t="shared" si="10"/>
        <v>5691.5586750000002</v>
      </c>
      <c r="N25" s="233">
        <f>SUM(N16:N24)</f>
        <v>1231.0169491525421</v>
      </c>
      <c r="O25" s="101">
        <f>SUM(O16:O24)</f>
        <v>34.612878120762716</v>
      </c>
      <c r="P25" s="234">
        <f>SUM(P16:P24)</f>
        <v>6957.188502273304</v>
      </c>
      <c r="Q25" s="239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6468.375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470.39400000000006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306.422325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5691.5586750000002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1231.0169491525421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6922.5756241525423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34.612878120762716</v>
      </c>
    </row>
    <row r="35" spans="2:16" ht="15.75" customHeight="1" thickBot="1" x14ac:dyDescent="0.4">
      <c r="N35" s="345" t="s">
        <v>88</v>
      </c>
      <c r="O35" s="346"/>
      <c r="P35" s="297">
        <f>+P33+P34</f>
        <v>6957.1885022733049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1342.44</v>
      </c>
      <c r="J25" s="274">
        <f>SUM(J16:J24)</f>
        <v>93.272400000000005</v>
      </c>
      <c r="K25" s="275">
        <f t="shared" si="7"/>
        <v>46.985400000000013</v>
      </c>
      <c r="L25" s="276">
        <f t="shared" si="7"/>
        <v>24.008760000000002</v>
      </c>
      <c r="M25" s="232">
        <f t="shared" si="7"/>
        <v>1178.17344</v>
      </c>
      <c r="N25" s="233">
        <f>SUM(N16:N24)</f>
        <v>256.27118644067792</v>
      </c>
      <c r="O25" s="101">
        <f>SUM(O16:O24)</f>
        <v>7.1722231322033903</v>
      </c>
      <c r="P25" s="234">
        <f>SUM(P16:P24)</f>
        <v>1441.6168495728814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1342.44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93.272400000000005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70.994160000000022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1178.17344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256.27118644067792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1434.4446264406779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7.1722231322033894</v>
      </c>
    </row>
    <row r="35" spans="2:16" ht="15.75" customHeight="1" thickBot="1" x14ac:dyDescent="0.4">
      <c r="N35" s="345" t="s">
        <v>88</v>
      </c>
      <c r="O35" s="346"/>
      <c r="P35" s="297">
        <f>+P33+P34</f>
        <v>1441.6168495728814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280</v>
      </c>
      <c r="I25" s="114">
        <f t="shared" si="7"/>
        <v>16581.5</v>
      </c>
      <c r="J25" s="274">
        <f>SUM(J16:J24)</f>
        <v>1279.444</v>
      </c>
      <c r="K25" s="275">
        <f t="shared" si="7"/>
        <v>580.35250000000008</v>
      </c>
      <c r="L25" s="276">
        <f t="shared" si="7"/>
        <v>80.029200000000003</v>
      </c>
      <c r="M25" s="232">
        <f t="shared" si="7"/>
        <v>14641.674300000001</v>
      </c>
      <c r="N25" s="233">
        <f>SUM(N16:N24)</f>
        <v>3142.372881355931</v>
      </c>
      <c r="O25" s="101">
        <f>SUM(O16:O24)</f>
        <v>88.920235906779652</v>
      </c>
      <c r="P25" s="234">
        <f>SUM(P16:P24)</f>
        <v>17872.967417262713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16581.5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1279.444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660.38170000000014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14641.674300000001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3142.372881355931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17784.047181355931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88.920235906779652</v>
      </c>
    </row>
    <row r="35" spans="2:16" ht="15.75" customHeight="1" thickBot="1" x14ac:dyDescent="0.4">
      <c r="N35" s="345" t="s">
        <v>88</v>
      </c>
      <c r="O35" s="346"/>
      <c r="P35" s="297">
        <f>+P33+P34</f>
        <v>17872.967417262709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116.22399999999999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116.22399999999999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784.60000000000014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39.230000000000011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67.475600000000014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677.89440000000013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830.43677288135598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5" t="s">
        <v>88</v>
      </c>
      <c r="O35" s="346"/>
      <c r="P35" s="297">
        <f>+P33+P34</f>
        <v>834.58895674576274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2026-09-09T11:03:28Z</dcterms:modified>
</cp:coreProperties>
</file>