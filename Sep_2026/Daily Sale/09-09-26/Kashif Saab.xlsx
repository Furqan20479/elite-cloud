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4B609F1B-3F24-4BB9-BC74-5B4CC8CECC68}" xr6:coauthVersionLast="47" xr6:coauthVersionMax="47" xr10:uidLastSave="{00000000-0000-0000-0000-000000000000}"/>
  <bookViews>
    <workbookView xWindow="-110" yWindow="-110" windowWidth="19420" windowHeight="10420" tabRatio="948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<sst xmlns="http://schemas.openxmlformats.org/spreadsheetml/2006/main" count="3949" uniqueCount="517">
  <si>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</si>
  <si>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</si>
  <si>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</si>
  <si>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</si>
  <si>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</si>
  <si>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</si>
  <si>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</si>
  <si>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</si>
  <si>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</si>
  <si>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</si>
  <si>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</si>
  <si>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</si>
  <si>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</si>
  <si>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</si>
  <si>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</si>
  <si>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</si>
  <si>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</si>
  <si>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</si>
  <si>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</si>
  <si>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</si>
  <si>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</si>
  <si>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</si>
  <si>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</si>
  <si>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</si>
  <si>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</si>
  <si>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</si>
  <si>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</si>
  <si>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</si>
  <si>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</si>
  <si>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</si>
  <si>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</si>
  <si>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</si>
  <si>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</si>
  <si>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</si>
  <si>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</si>
  <si>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</si>
  <si>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</si>
  <si>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</si>
  <si>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</si>
  <si>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</si>
  <si>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</si>
  <si>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</si>
  <si>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</si>
  <si>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</si>
  <si>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</si>
  <si>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</si>
  <si>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</si>
  <si>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</si>
  <si>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</si>
  <si>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</si>
  <si>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</si>
  <si>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</si>
  <si>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</si>
  <si>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</si>
  <si>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</si>
  <si>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</si>
  <si>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</si>
  <si>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</si>
  <si>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</si>
  <si>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</si>
  <si>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</si>
  <si>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</si>
  <si>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</si>
  <si>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</si>
  <si>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</si>
  <si>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</si>
  <si>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</si>
  <si>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</si>
  <si>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</si>
  <si>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</si>
  <si>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</si>
  <si>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</si>
  <si>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</si>
  <si>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</si>
  <si>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</si>
  <si>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</si>
  <si>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</si>
  <si>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</si>
  <si>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</si>
  <si>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</si>
  <si>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</si>
  <si>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</si>
  <si>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</si>
  <si>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</si>
  <si>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</si>
  <si>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</si>
  <si>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</si>
  <si>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</si>
  <si>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</si>
  <si>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</si>
  <si>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</si>
  <si>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</si>
  <si>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</si>
  <si>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</si>
  <si>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</si>
  <si>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</si>
  <si>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</si>
  <si>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</si>
  <si>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</si>
  <si>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</si>
  <si>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</si>
  <si>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</si>
  <si>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</si>
  <si>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</si>
  <si>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</si>
  <si>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</si>
  <si>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</si>
  <si>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</si>
  <si>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</si>
  <si>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</si>
  <si>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</si>
  <si>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</si>
  <si>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</si>
  <si>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</si>
  <si>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</si>
  <si>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</si>
  <si>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</si>
  <si>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</si>
  <si>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</si>
  <si>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</si>
  <si>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</si>
  <si>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</si>
  <si>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</si>
  <si>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</si>
  <si>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</si>
  <si>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</si>
  <si>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</si>
  <si>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</si>
  <si>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</si>
  <si>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</si>
  <si>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</si>
  <si>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</si>
  <si>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</si>
  <si>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</si>
  <si>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</si>
  <si>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</si>
  <si>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</si>
  <si>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</si>
  <si>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</si>
  <si>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</si>
  <si>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</si>
  <si>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</si>
  <si>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</si>
  <si>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</si>
  <si>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</si>
  <si>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</si>
  <si>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</si>
  <si>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</si>
  <si>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</si>
  <si>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</si>
  <si>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</si>
  <si>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</si>
  <si>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</si>
  <si>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</si>
  <si>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</si>
  <si>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</si>
  <si>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</si>
  <si>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</si>
  <si>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</si>
  <si>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</si>
  <si>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</si>
  <si>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</si>
  <si>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</si>
  <si>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</si>
  <si>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</si>
  <si>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</si>
  <si>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</si>
  <si>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</si>
  <si>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</si>
  <si>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</si>
  <si>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</si>
  <si>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</si>
  <si>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</si>
  <si>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</si>
  <si>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</si>
  <si>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</si>
  <si>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</si>
  <si>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</si>
  <si>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</si>
  <si>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</si>
  <si>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</si>
  <si>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</si>
  <si>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</si>
  <si>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</si>
  <si>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</si>
  <si>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</si>
  <si>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</si>
  <si>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</si>
  <si>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</si>
  <si>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</si>
  <si>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</si>
  <si>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</si>
  <si>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</si>
  <si>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</si>
  <si>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</si>
  <si>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</si>
  <si>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</si>
  <si>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</si>
  <si>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</si>
  <si>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</si>
  <si>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</si>
  <si>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</si>
  <si>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</si>
  <si>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</si>
  <si>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</si>
  <si>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</si>
  <si>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</si>
  <si>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</si>
  <si>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</si>
  <si>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</si>
  <si>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</si>
  <si>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</si>
  <si>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</si>
  <si>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</si>
  <si>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</si>
  <si>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</si>
  <si>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</si>
  <si>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</si>
  <si>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</si>
  <si>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</si>
  <si>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</si>
  <si>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</si>
  <si>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</si>
  <si>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</si>
  <si>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</si>
  <si>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</si>
  <si>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</si>
  <si>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</si>
  <si>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</si>
  <si>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</si>
  <si>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</si>
  <si>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</si>
  <si>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</si>
  <si>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</si>
  <si>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</si>
  <si>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</si>
  <si>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</si>
  <si>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</si>
  <si>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</si>
  <si>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</si>
  <si>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</si>
  <si>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</si>
  <si>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</si>
  <si>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</si>
  <si>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</si>
  <si>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</si>
  <si>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</si>
  <si>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</si>
  <si>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</si>
  <si>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</si>
  <si>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</si>
  <si>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</si>
  <si>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</si>
  <si>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</si>
  <si>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</si>
  <si>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</si>
  <si>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</si>
  <si>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</si>
  <si>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</si>
  <si>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</si>
  <si>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</si>
  <si>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</si>
  <si>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</si>
  <si>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</si>
  <si>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</si>
  <si>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</si>
  <si>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</si>
  <si>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</si>
  <si>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</si>
  <si>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</si>
  <si>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</si>
  <si>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</si>
  <si>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</si>
  <si>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</si>
  <si>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</si>
  <si>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</si>
  <si>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</si>
  <si>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</si>
  <si>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</si>
  <si>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</si>
  <si>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</si>
  <si>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</si>
  <si>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</si>
  <si>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</si>
  <si>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</si>
  <si>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</si>
  <si>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</si>
  <si>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</si>
  <si>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</si>
  <si>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</si>
  <si>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</si>
  <si>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</si>
  <si>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</si>
  <si>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</si>
  <si>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</si>
  <si>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</si>
  <si>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</si>
  <si>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</si>
  <si>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</si>
  <si>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</si>
  <si>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</si>
  <si>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</si>
  <si>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</si>
  <si>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</si>
  <si>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</si>
  <si>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</si>
  <si>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</si>
  <si>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</si>
  <si>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</si>
  <si>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</si>
  <si>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</si>
  <si>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</si>
  <si>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</si>
  <si>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</si>
  <si>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</si>
  <si>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</si>
  <si>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</si>
  <si>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</si>
  <si>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</si>
  <si>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</si>
  <si>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</si>
  <si>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</si>
  <si>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</si>
  <si>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</si>
  <si>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</si>
  <si>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</si>
  <si>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</si>
  <si>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</si>
  <si>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</si>
  <si>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</si>
  <si>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</si>
  <si>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</si>
  <si>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</si>
  <si>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</si>
  <si>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</si>
  <si>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</si>
  <si>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</si>
  <si>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</si>
  <si>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</si>
  <si>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</si>
  <si>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</si>
  <si>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</si>
  <si>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</si>
  <si>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</si>
  <si>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</si>
  <si>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</si>
  <si>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</si>
  <si>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</si>
  <si>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</si>
  <si>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</si>
  <si>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</si>
  <si>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</si>
  <si>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</si>
  <si>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</si>
  <si>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</si>
  <si>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</si>
  <si>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</si>
  <si>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</si>
  <si>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</si>
  <si>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</si>
  <si>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</si>
  <si>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</si>
  <si>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</si>
  <si>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</si>
  <si>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</si>
  <si>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</si>
  <si>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</si>
  <si>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</si>
  <si>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</si>
  <si>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</si>
  <si>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</si>
  <si>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</si>
  <si>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</si>
  <si>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</si>
  <si>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</si>
  <si>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</si>
  <si>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</si>
  <si>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</si>
  <si>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</si>
  <si>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</si>
  <si>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</si>
  <si>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</si>
  <si>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</si>
  <si>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</si>
  <si>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</si>
  <si>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</si>
  <si>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</si>
  <si>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</si>
  <si>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</si>
  <si>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</si>
  <si>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</si>
  <si>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</si>
  <si>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</si>
  <si>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</si>
  <si>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</si>
  <si>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</si>
  <si>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</si>
  <si>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</si>
  <si>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</si>
  <si>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</si>
  <si>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</si>
  <si>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</si>
  <si>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</si>
  <si>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</si>
  <si>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</si>
  <si>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</si>
  <si>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</si>
  <si>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</si>
  <si>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</si>
  <si>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</si>
  <si>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</si>
  <si>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</si>
  <si>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</si>
  <si>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</si>
  <si>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</si>
  <si>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</si>
  <si>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</si>
  <si>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</si>
  <si>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</si>
  <si>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</si>
  <si>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</si>
  <si>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</si>
  <si>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</si>
  <si>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</si>
  <si>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</si>
  <si>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</si>
  <si>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</si>
  <si>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</si>
  <si>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</si>
  <si>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</si>
  <si>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</si>
  <si>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</si>
  <si>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</si>
  <si>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</si>
  <si>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</si>
  <si>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</si>
  <si>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</si>
  <si>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</si>
  <si>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</si>
  <si>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</si>
  <si>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</si>
  <si>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</si>
  <si>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</si>
  <si>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</si>
  <si>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</si>
  <si>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</si>
  <si>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</si>
  <si>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</si>
  <si>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</si>
  <si>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</si>
  <si>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</si>
  <si>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</si>
  <si>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</si>
  <si>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</si>
  <si>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</si>
  <si>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</si>
  <si>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</si>
  <si>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</si>
  <si>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</si>
  <si>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</si>
  <si>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</si>
  <si>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</si>
  <si>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</si>
  <si>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</si>
  <si>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</si>
  <si>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</si>
  <si>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</si>
  <si>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</si>
  <si>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</si>
  <si>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</si>
  <si>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</si>
  <si>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</si>
  <si>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</si>
  <si>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</si>
  <si>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</si>
  <si>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</si>
  <si>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</si>
  <si>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</si>
  <si>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</si>
  <si>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</si>
  <si>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</si>
  <si>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</si>
  <si>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</si>
  <si>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</si>
  <si>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</si>
  <si>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</si>
  <si>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</si>
  <si>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</si>
  <si>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</si>
  <si>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</si>
  <si>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</si>
  <si>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</si>
  <si>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</si>
  <si>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</si>
  <si>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</si>
  <si>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</si>
  <si>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</si>
  <si>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</si>
  <si>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</si>
  <si>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</si>
  <si>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</si>
  <si>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</si>
  <si>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</si>
  <si>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</si>
  <si>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</si>
  <si>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</si>
  <si>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</si>
  <si>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</si>
  <si>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</si>
  <si>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</si>
  <si>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</si>
  <si>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</si>
  <si>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</si>
  <si>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</si>
  <si>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Jabbar</t>
  </si>
  <si>
    <t>Kashif SB (BDM)</t>
  </si>
  <si>
    <t>Qamar 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</si>
</sst>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H4" sqref="H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514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46274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Kashif SB (BDM)</v>
      </c>
      <c r="T3" s="301">
        <f>+'1'!P35</f>
        <v>9060.206331355932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Shop Name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Shop Name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Shop Name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60</v>
      </c>
      <c r="I7" s="235">
        <f>(G7*D7)*F7+H7*F7</f>
        <v>3147.75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251.82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110.17125000000001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2785.75875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594.91525423728785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16.90337002118644</v>
      </c>
      <c r="P7" s="310">
        <f>M7+N7+O7</f>
        <v>3397.5773742584738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Shop Name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50</v>
      </c>
      <c r="I8" s="236">
        <f t="shared" ref="I8:I14" si="0">(G8*D8)*F8+H8*F8</f>
        <v>2623.125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209.85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91.809375000000003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2321.4656249999998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495.76271186440658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14.086141684322033</v>
      </c>
      <c r="P8" s="311">
        <f t="shared" ref="P8:P15" si="2">M8+N8+O8</f>
        <v>2831.3144785487289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50</v>
      </c>
      <c r="I9" s="236">
        <f t="shared" si="0"/>
        <v>2623.125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209.85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91.809375000000003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2321.4656249999998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495.76271186440658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14.086141684322033</v>
      </c>
      <c r="P9" s="311">
        <f t="shared" si="2"/>
        <v>2831.3144785487289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311">
        <f t="shared" si="2"/>
        <v>0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4</v>
      </c>
      <c r="H16" s="113">
        <f t="shared" ref="H16:M16" si="3">SUM(H7:H15)</f>
        <v>160</v>
      </c>
      <c r="I16" s="114">
        <f t="shared" si="3"/>
        <v>8394</v>
      </c>
      <c r="J16" s="274">
        <f>SUM(J7:J15)</f>
        <v>671.52</v>
      </c>
      <c r="K16" s="275">
        <f t="shared" si="3"/>
        <v>293.79000000000002</v>
      </c>
      <c r="L16" s="276">
        <f t="shared" si="3"/>
        <v>0</v>
      </c>
      <c r="M16" s="232">
        <f t="shared" si="3"/>
        <v>7428.69</v>
      </c>
      <c r="N16" s="233">
        <f>SUM(N7:N15)</f>
        <v>1586.440677966101</v>
      </c>
      <c r="O16" s="101">
        <f>SUM(O7:O15)</f>
        <v>45.075653389830507</v>
      </c>
      <c r="P16" s="113">
        <f>SUM(P7:P15)</f>
        <v>9060.206331355932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8394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671.52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293.79000000000002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7428.69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1586.440677966101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9015.1306779661008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45.075653389830507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9060.206331355932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9060.206331355932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7" workbookViewId="0">
      <selection activeCell="Q10" sqref="Q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46274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46273</v>
      </c>
      <c r="O5" s="394"/>
      <c r="P5" s="394"/>
      <c r="R5" s="85"/>
      <c r="S5" s="266"/>
    </row>
    <row r="6" spans="1:22 16383:16384" ht="17.25" customHeight="1" x14ac:dyDescent="0.4">
      <c r="A6" s="400" t="s">
        <v>515</v>
      </c>
      <c r="B6" s="400"/>
      <c r="C6" s="400"/>
      <c r="F6" s="85"/>
      <c r="G6" s="86"/>
      <c r="K6" s="395" t="s">
        <v>69</v>
      </c>
      <c r="L6" s="395"/>
      <c r="M6" s="395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60</v>
      </c>
      <c r="I16" s="235">
        <f>(G16*D16)*F16+H16*F16</f>
        <v>3147.75</v>
      </c>
      <c r="J16" s="271">
        <f>$I16*S16</f>
        <v>251.82</v>
      </c>
      <c r="K16" s="127">
        <f>$I16*T16</f>
        <v>110.17125000000001</v>
      </c>
      <c r="L16" s="118">
        <f>$I16*U16</f>
        <v>0</v>
      </c>
      <c r="M16" s="229">
        <f>I16-SUM(J16:L16)</f>
        <v>2785.75875</v>
      </c>
      <c r="N16" s="248">
        <f>+(G16*D16+H16)*V16</f>
        <v>594.91525423728785</v>
      </c>
      <c r="O16" s="238">
        <f>(N16+M16)*$O$15</f>
        <v>16.90337002118644</v>
      </c>
      <c r="P16" s="118">
        <f>M16+N16+O16</f>
        <v>3397.5773742584738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50</v>
      </c>
      <c r="I17" s="236">
        <f t="shared" ref="I17:I23" si="0">(G17*D17)*F17+H17*F17</f>
        <v>2623.125</v>
      </c>
      <c r="J17" s="272">
        <f t="shared" ref="J17:L24" si="1">$I17*S17</f>
        <v>209.85</v>
      </c>
      <c r="K17" s="128">
        <f>$I17*T17</f>
        <v>91.809375000000003</v>
      </c>
      <c r="L17" s="119">
        <f>$I17*U17</f>
        <v>0</v>
      </c>
      <c r="M17" s="230">
        <f t="shared" ref="M17:M24" si="2">I17-SUM(J17:L17)</f>
        <v>2321.4656249999998</v>
      </c>
      <c r="N17" s="277">
        <f t="shared" ref="N17:N24" si="3">+(G17*D17+H17)*V17</f>
        <v>495.76271186440658</v>
      </c>
      <c r="O17" s="239">
        <f t="shared" ref="O17:O24" si="4">(N17+M17)*$O$15</f>
        <v>14.086141684322033</v>
      </c>
      <c r="P17" s="119">
        <f t="shared" ref="P17:P24" si="5">M17+N17+O17</f>
        <v>2831.3144785487289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50</v>
      </c>
      <c r="I18" s="236">
        <f t="shared" ref="I18:I21" si="7">(G18*D18)*F18+H18*F18</f>
        <v>2623.125</v>
      </c>
      <c r="J18" s="272">
        <f t="shared" si="1"/>
        <v>209.85</v>
      </c>
      <c r="K18" s="128">
        <f t="shared" si="1"/>
        <v>91.809375000000003</v>
      </c>
      <c r="L18" s="119">
        <f t="shared" si="1"/>
        <v>0</v>
      </c>
      <c r="M18" s="230">
        <f t="shared" si="2"/>
        <v>2321.4656249999998</v>
      </c>
      <c r="N18" s="277">
        <f t="shared" si="3"/>
        <v>495.76271186440658</v>
      </c>
      <c r="O18" s="239">
        <f t="shared" si="4"/>
        <v>14.086141684322033</v>
      </c>
      <c r="P18" s="119">
        <f t="shared" si="5"/>
        <v>2831.3144785487289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160</v>
      </c>
      <c r="I25" s="114">
        <f t="shared" ref="I25:M25" si="10">SUM(I16:I24)</f>
        <v>8394</v>
      </c>
      <c r="J25" s="274">
        <f>SUM(J16:J24)</f>
        <v>671.52</v>
      </c>
      <c r="K25" s="275">
        <f t="shared" si="10"/>
        <v>293.79000000000002</v>
      </c>
      <c r="L25" s="276">
        <f t="shared" si="10"/>
        <v>0</v>
      </c>
      <c r="M25" s="232">
        <f t="shared" si="10"/>
        <v>7428.69</v>
      </c>
      <c r="N25" s="233">
        <f>SUM(N16:N24)</f>
        <v>1586.440677966101</v>
      </c>
      <c r="O25" s="101">
        <f>SUM(O16:O24)</f>
        <v>45.075653389830507</v>
      </c>
      <c r="P25" s="234">
        <f>SUM(P16:P24)</f>
        <v>9060.206331355932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8394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671.52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293.79000000000002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7428.69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1586.440677966101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9015.1306779661008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45.075653389830507</v>
      </c>
    </row>
    <row r="35" spans="2:16" ht="15.75" customHeight="1" thickBot="1" x14ac:dyDescent="0.4">
      <c r="N35" s="374" t="s">
        <v>88</v>
      </c>
      <c r="O35" s="375"/>
      <c r="P35" s="297">
        <f>+P33+P34</f>
        <v>9060.206331355932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46273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46274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46273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46275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46274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2026-09-09T10:32:56Z</dcterms:modified>
</cp:coreProperties>
</file>