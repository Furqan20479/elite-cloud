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848468-4CE6-4732-8CA0-163EAED56E2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2" i="43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<sst xmlns="http://schemas.openxmlformats.org/spreadsheetml/2006/main" count="3948" uniqueCount="527">
  <si>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</si>
  <si>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</si>
  <si>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</si>
  <si>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</si>
  <si>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</si>
  <si>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</si>
  <si>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</si>
  <si>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</si>
  <si>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</si>
  <si>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</si>
  <si>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</si>
  <si>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</si>
  <si>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</si>
  <si>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</si>
  <si>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</si>
  <si>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</si>
  <si>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</si>
  <si>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</si>
  <si>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</si>
  <si>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</si>
  <si>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</si>
  <si>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</si>
  <si>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</si>
  <si>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</si>
  <si>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</si>
  <si>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</si>
  <si>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</si>
  <si>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</si>
  <si>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</si>
  <si>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</si>
  <si>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</si>
  <si>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</si>
  <si>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</si>
  <si>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</si>
  <si>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</si>
  <si>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</si>
  <si>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</si>
  <si>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</si>
  <si>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</si>
  <si>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</si>
  <si>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</si>
  <si>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</si>
  <si>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</si>
  <si>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</si>
  <si>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</si>
  <si>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</si>
  <si>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</si>
  <si>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</si>
  <si>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</si>
  <si>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</si>
  <si>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</si>
  <si>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</si>
  <si>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</si>
  <si>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</si>
  <si>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</si>
  <si>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</si>
  <si>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</si>
  <si>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</si>
  <si>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</si>
  <si>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</si>
  <si>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</si>
  <si>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</si>
  <si>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</si>
  <si>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</si>
  <si>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</si>
  <si>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</si>
  <si>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</si>
  <si>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</si>
  <si>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</si>
  <si>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</si>
  <si>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</si>
  <si>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</si>
  <si>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</si>
  <si>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</si>
  <si>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</si>
  <si>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</si>
  <si>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</si>
  <si>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</si>
  <si>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</si>
  <si>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</si>
  <si>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</si>
  <si>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</si>
  <si>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</si>
  <si>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</si>
  <si>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</si>
  <si>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</si>
  <si>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</si>
  <si>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</si>
  <si>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</si>
  <si>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</si>
  <si>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</si>
  <si>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</si>
  <si>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</si>
  <si>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</si>
  <si>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</si>
  <si>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</si>
  <si>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</si>
  <si>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</si>
  <si>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</si>
  <si>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</si>
  <si>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</si>
  <si>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</si>
  <si>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</si>
  <si>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</si>
  <si>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</si>
  <si>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</si>
  <si>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</si>
  <si>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</si>
  <si>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</si>
  <si>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</si>
  <si>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</si>
  <si>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</si>
  <si>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</si>
  <si>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</si>
  <si>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</si>
  <si>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</si>
  <si>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</si>
  <si>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</si>
  <si>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</si>
  <si>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</si>
  <si>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</si>
  <si>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</si>
  <si>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</si>
  <si>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</si>
  <si>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</si>
  <si>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</si>
  <si>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</si>
  <si>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</si>
  <si>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</si>
  <si>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</si>
  <si>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</si>
  <si>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</si>
  <si>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</si>
  <si>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</si>
  <si>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</si>
  <si>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</si>
  <si>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</si>
  <si>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</si>
  <si>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</si>
  <si>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</si>
  <si>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</si>
  <si>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</si>
  <si>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</si>
  <si>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</si>
  <si>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</si>
  <si>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</si>
  <si>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</si>
  <si>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</si>
  <si>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</si>
  <si>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</si>
  <si>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</si>
  <si>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</si>
  <si>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</si>
  <si>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</si>
  <si>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</si>
  <si>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</si>
  <si>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</si>
  <si>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</si>
  <si>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</si>
  <si>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</si>
  <si>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</si>
  <si>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</si>
  <si>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</si>
  <si>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</si>
  <si>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</si>
  <si>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</si>
  <si>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</si>
  <si>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</si>
  <si>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</si>
  <si>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</si>
  <si>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</si>
  <si>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</si>
  <si>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</si>
  <si>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</si>
  <si>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</si>
  <si>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</si>
  <si>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</si>
  <si>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</si>
  <si>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</si>
  <si>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</si>
  <si>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</si>
  <si>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</si>
  <si>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</si>
  <si>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</si>
  <si>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</si>
  <si>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</si>
  <si>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</si>
  <si>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</si>
  <si>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</si>
  <si>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</si>
  <si>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</si>
  <si>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</si>
  <si>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</si>
  <si>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</si>
  <si>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</si>
  <si>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</si>
  <si>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</si>
  <si>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</si>
  <si>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</si>
  <si>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</si>
  <si>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</si>
  <si>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</si>
  <si>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</si>
  <si>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</si>
  <si>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</si>
  <si>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</si>
  <si>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</si>
  <si>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</si>
  <si>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</si>
  <si>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</si>
  <si>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</si>
  <si>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</si>
  <si>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</si>
  <si>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</si>
  <si>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</si>
  <si>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</si>
  <si>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</si>
  <si>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</si>
  <si>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</si>
  <si>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</si>
  <si>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</si>
  <si>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</si>
  <si>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</si>
  <si>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</si>
  <si>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</si>
  <si>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</si>
  <si>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</si>
  <si>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</si>
  <si>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</si>
  <si>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</si>
  <si>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</si>
  <si>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</si>
  <si>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</si>
  <si>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</si>
  <si>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</si>
  <si>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</si>
  <si>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</si>
  <si>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</si>
  <si>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</si>
  <si>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</si>
  <si>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</si>
  <si>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</si>
  <si>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</si>
  <si>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</si>
  <si>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</si>
  <si>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</si>
  <si>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</si>
  <si>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</si>
  <si>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</si>
  <si>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</si>
  <si>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</si>
  <si>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</si>
  <si>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</si>
  <si>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</si>
  <si>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</si>
  <si>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</si>
  <si>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</si>
  <si>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</si>
  <si>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</si>
  <si>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</si>
  <si>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</si>
  <si>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</si>
  <si>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</si>
  <si>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</si>
  <si>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</si>
  <si>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</si>
  <si>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</si>
  <si>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</si>
  <si>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</si>
  <si>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</si>
  <si>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</si>
  <si>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</si>
  <si>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</si>
  <si>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</si>
  <si>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</si>
  <si>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</si>
  <si>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</si>
  <si>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</si>
  <si>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</si>
  <si>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</si>
  <si>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</si>
  <si>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</si>
  <si>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</si>
  <si>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</si>
  <si>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</si>
  <si>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</si>
  <si>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</si>
  <si>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</si>
  <si>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</si>
  <si>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</si>
  <si>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</si>
  <si>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</si>
  <si>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</si>
  <si>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</si>
  <si>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</si>
  <si>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</si>
  <si>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</si>
  <si>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</si>
  <si>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</si>
  <si>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</si>
  <si>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</si>
  <si>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</si>
  <si>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</si>
  <si>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</si>
  <si>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</si>
  <si>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</si>
  <si>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</si>
  <si>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</si>
  <si>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</si>
  <si>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</si>
  <si>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</si>
  <si>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</si>
  <si>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</si>
  <si>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</si>
  <si>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</si>
  <si>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</si>
  <si>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</si>
  <si>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</si>
  <si>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</si>
  <si>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</si>
  <si>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</si>
  <si>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</si>
  <si>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</si>
  <si>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</si>
  <si>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</si>
  <si>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</si>
  <si>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</si>
  <si>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</si>
  <si>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</si>
  <si>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</si>
  <si>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</si>
  <si>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</si>
  <si>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</si>
  <si>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</si>
  <si>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</si>
  <si>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</si>
  <si>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</si>
  <si>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</si>
  <si>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</si>
  <si>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</si>
  <si>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</si>
  <si>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</si>
  <si>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</si>
  <si>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</si>
  <si>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</si>
  <si>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</si>
  <si>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</si>
  <si>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</si>
  <si>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</si>
  <si>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</si>
  <si>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</si>
  <si>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</si>
  <si>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</si>
  <si>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</si>
  <si>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</si>
  <si>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</si>
  <si>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</si>
  <si>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</si>
  <si>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</si>
  <si>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</si>
  <si>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</si>
  <si>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</si>
  <si>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</si>
  <si>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</si>
  <si>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</si>
  <si>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</si>
  <si>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</si>
  <si>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</si>
  <si>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</si>
  <si>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</si>
  <si>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</si>
  <si>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</si>
  <si>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</si>
  <si>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</si>
  <si>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</si>
  <si>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</si>
  <si>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</si>
  <si>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</si>
  <si>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</si>
  <si>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</si>
  <si>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</si>
  <si>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</si>
  <si>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</si>
  <si>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</si>
  <si>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</si>
  <si>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</si>
  <si>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</si>
  <si>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</si>
  <si>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</si>
  <si>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</si>
  <si>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</si>
  <si>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</si>
  <si>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</si>
  <si>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</si>
  <si>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</si>
  <si>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</si>
  <si>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</si>
  <si>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</si>
  <si>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</si>
  <si>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</si>
  <si>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</si>
  <si>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</si>
  <si>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</si>
  <si>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</si>
  <si>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</si>
  <si>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</si>
  <si>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</si>
  <si>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</si>
  <si>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</si>
  <si>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</si>
  <si>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</si>
  <si>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</si>
  <si>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</si>
  <si>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</si>
  <si>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</si>
  <si>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</si>
  <si>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</si>
  <si>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</si>
  <si>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</si>
  <si>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</si>
  <si>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</si>
  <si>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</si>
  <si>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</si>
  <si>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</si>
  <si>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</si>
  <si>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</si>
  <si>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</si>
  <si>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</si>
  <si>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</si>
  <si>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</si>
  <si>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</si>
  <si>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</si>
  <si>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</si>
  <si>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</si>
  <si>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</si>
  <si>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</si>
  <si>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</si>
  <si>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</si>
  <si>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</si>
  <si>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</si>
  <si>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</si>
  <si>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</si>
  <si>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</si>
  <si>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</si>
  <si>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</si>
  <si>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</si>
  <si>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</si>
  <si>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</si>
  <si>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</si>
  <si>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</si>
  <si>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</si>
  <si>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</si>
  <si>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</si>
  <si>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</si>
  <si>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</si>
  <si>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</si>
  <si>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</si>
  <si>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</si>
  <si>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</si>
  <si>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</si>
  <si>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</si>
  <si>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</si>
  <si>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</si>
  <si>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</si>
  <si>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</si>
  <si>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</si>
  <si>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</si>
  <si>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</si>
  <si>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</si>
  <si>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</si>
  <si>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</si>
  <si>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</si>
  <si>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</si>
  <si>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</si>
  <si>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</si>
  <si>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</si>
  <si>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</si>
  <si>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</si>
  <si>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</si>
  <si>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</si>
  <si>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</si>
  <si>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</si>
  <si>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</si>
  <si>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</si>
  <si>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</si>
  <si>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</si>
  <si>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</si>
  <si>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</si>
  <si>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</si>
  <si>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</si>
  <si>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</si>
  <si>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</si>
  <si>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</si>
  <si>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</si>
  <si>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</si>
  <si>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</si>
  <si>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</si>
  <si>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</si>
  <si>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</si>
  <si>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</si>
  <si>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</si>
  <si>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</si>
  <si>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</si>
  <si>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</si>
  <si>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</si>
  <si>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</si>
  <si>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</si>
  <si>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</si>
  <si>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</si>
  <si>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</si>
  <si>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</si>
  <si>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</si>
  <si>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</si>
  <si>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</si>
  <si>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</si>
  <si>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Yousaf Store</t>
  </si>
  <si>
    <t xml:space="preserve">Address: Gullberg 2 Canal Park </t>
  </si>
  <si>
    <t xml:space="preserve">Farma Mini Mart </t>
  </si>
  <si>
    <t>Address: Gullberg 2</t>
  </si>
  <si>
    <t>Baba Latif Store</t>
  </si>
  <si>
    <t xml:space="preserve">Shamas Traders </t>
  </si>
  <si>
    <t>Address: Canal Park Bazar</t>
  </si>
  <si>
    <t xml:space="preserve">Umer Bakery </t>
  </si>
  <si>
    <t>Address: canal Park Opsite Al Makkah Milk Shop \</t>
  </si>
  <si>
    <t>Khan G Store</t>
  </si>
  <si>
    <t xml:space="preserve">Address: Canal Park </t>
  </si>
  <si>
    <t>New Shahi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</si>
</sst>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R9" sqref="R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Yousaf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Farma Mini Mart </v>
      </c>
      <c r="T4" s="301">
        <f>+'2'!P35</f>
        <v>1520.0265863250002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Baba Latif Store</v>
      </c>
      <c r="T5" s="301">
        <f>+'3'!P35</f>
        <v>530.2830811061441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Shamas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</v>
      </c>
      <c r="I7" s="235">
        <f>(G7*D7)*F7+H7*F7</f>
        <v>839.4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67.152000000000001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29.379000000000001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742.86899999999991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158.6440677966101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4.507565338983051</v>
      </c>
      <c r="P7" s="310">
        <f>M7+N7+O7</f>
        <v>906.02063313559302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Umer Bakery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19</v>
      </c>
      <c r="I8" s="236">
        <f t="shared" ref="I8:I14" si="0">(G8*D8)*F8+H8*F8</f>
        <v>996.78750000000002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79.742999999999995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34.887562500000001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882.15693750000003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188.38983050847452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5.3527338400423723</v>
      </c>
      <c r="P8" s="311">
        <f t="shared" ref="P8:P15" si="2">M8+N8+O8</f>
        <v>1075.899501848517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4">
        <v>6</v>
      </c>
      <c r="S8" s="300" t="str">
        <f>+'6'!A6:A6</f>
        <v>Khan G Store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26</v>
      </c>
      <c r="I9" s="236">
        <f t="shared" si="0"/>
        <v>1364.0249999999999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109.122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47.740875000000003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1207.1621249999998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257.79661016949143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7.3247936758474577</v>
      </c>
      <c r="P9" s="311">
        <f t="shared" si="2"/>
        <v>1472.2835288453389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4">
        <v>7</v>
      </c>
      <c r="S9" s="300" t="str">
        <f>+'7'!A6:A6</f>
        <v>New Shahi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</v>
      </c>
      <c r="I10" s="236">
        <f t="shared" si="0"/>
        <v>944.32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75.545600000000007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33.051200000000001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835.72320000000002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178.47457627118644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5.0709888813559321</v>
      </c>
      <c r="P10" s="311">
        <f t="shared" si="2"/>
        <v>1019.2687651525424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87.167999999999992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5.8511410169491525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55</v>
      </c>
      <c r="I13" s="236">
        <f t="shared" si="0"/>
        <v>2157.65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107.88250000000002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75.517750000000021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110.04015000000001</v>
      </c>
      <c r="M13" s="230">
        <f t="shared" si="1"/>
        <v>1864.2096000000001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419.4915254237286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11.418505627118645</v>
      </c>
      <c r="P13" s="311">
        <f t="shared" si="2"/>
        <v>2295.1196310508471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3.9750000000000001</v>
      </c>
      <c r="H16" s="113">
        <f t="shared" ref="H16:M16" si="3">SUM(H7:H15)</f>
        <v>159</v>
      </c>
      <c r="I16" s="114">
        <f t="shared" si="3"/>
        <v>8481.3824999999997</v>
      </c>
      <c r="J16" s="274">
        <f>SUM(J7:J15)</f>
        <v>613.78110000000004</v>
      </c>
      <c r="K16" s="275">
        <f t="shared" si="3"/>
        <v>296.8483875</v>
      </c>
      <c r="L16" s="276">
        <f t="shared" si="3"/>
        <v>110.04015000000001</v>
      </c>
      <c r="M16" s="232">
        <f t="shared" si="3"/>
        <v>7460.7128625000005</v>
      </c>
      <c r="N16" s="233">
        <f>SUM(N7:N15)</f>
        <v>1614.6610169491523</v>
      </c>
      <c r="O16" s="101">
        <f>SUM(O7:O15)</f>
        <v>45.37686939724577</v>
      </c>
      <c r="P16" s="113">
        <f>SUM(P7:P15)</f>
        <v>9120.750748846398</v>
      </c>
      <c r="Q16" s="128">
        <f>SUM(Q7:Q15)</f>
        <v>24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8481.3824999999997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613.78110000000004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406.88853749999998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7460.7128624999996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1614.6610169491523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9075.373879449151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45.37686939724577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9120.7507488463962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9120.750748846398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2" workbookViewId="0">
      <selection activeCell="H18" sqref="H17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30</v>
      </c>
      <c r="I25" s="114">
        <f t="shared" si="7"/>
        <v>1415.085</v>
      </c>
      <c r="J25" s="274">
        <f>SUM(J16:J24)</f>
        <v>99.084000000000003</v>
      </c>
      <c r="K25" s="275">
        <f t="shared" si="7"/>
        <v>49.527975000000005</v>
      </c>
      <c r="L25" s="276">
        <f t="shared" si="7"/>
        <v>24.008760000000002</v>
      </c>
      <c r="M25" s="232">
        <f t="shared" si="7"/>
        <v>1242.4642650000001</v>
      </c>
      <c r="N25" s="233">
        <f>SUM(N16:N24)</f>
        <v>269.99999999999989</v>
      </c>
      <c r="O25" s="101">
        <f>SUM(O16:O24)</f>
        <v>7.5623213249999992</v>
      </c>
      <c r="P25" s="113">
        <f>SUM(P16:P24)</f>
        <v>1520.0265863249999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1415.085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99.084000000000003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73.536735000000007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1242.4642650000001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269.99999999999989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1512.4642650000001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7.5623213250000001</v>
      </c>
    </row>
    <row r="35" spans="2:16" ht="15.75" customHeight="1" thickBot="1" x14ac:dyDescent="0.4">
      <c r="N35" s="373" t="s">
        <v>88</v>
      </c>
      <c r="O35" s="374"/>
      <c r="P35" s="297">
        <f>+P33+P34</f>
        <v>1520.0265863250002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9</v>
      </c>
      <c r="I25" s="114">
        <f t="shared" si="7"/>
        <v>492.9975</v>
      </c>
      <c r="J25" s="274">
        <f>SUM(J16:J24)</f>
        <v>35.909100000000002</v>
      </c>
      <c r="K25" s="275">
        <f t="shared" si="7"/>
        <v>17.254912500000003</v>
      </c>
      <c r="L25" s="276">
        <f t="shared" si="7"/>
        <v>6.0021900000000006</v>
      </c>
      <c r="M25" s="232">
        <f t="shared" si="7"/>
        <v>433.83129750000001</v>
      </c>
      <c r="N25" s="233">
        <f>SUM(N16:N24)</f>
        <v>93.813559322033882</v>
      </c>
      <c r="O25" s="101">
        <f>SUM(O16:O24)</f>
        <v>2.6382242841101693</v>
      </c>
      <c r="P25" s="113">
        <f>SUM(P16:P24)</f>
        <v>530.2830811061441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492.9975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35.909100000000002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23.257102500000002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433.83129750000001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93.813559322033882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527.64485682203394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2.6382242841101697</v>
      </c>
    </row>
    <row r="35" spans="2:16" ht="15.75" customHeight="1" thickBot="1" x14ac:dyDescent="0.4">
      <c r="N35" s="373" t="s">
        <v>88</v>
      </c>
      <c r="O35" s="374"/>
      <c r="P35" s="297">
        <f>+P33+P34</f>
        <v>530.2830811061441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2026-09-07T12:45:03Z</dcterms:modified>
</cp:coreProperties>
</file>