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A0D7DD4-AD1D-4AEC-BAB3-5848BA05A9E5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44"/>
  <c r="N4" i="52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72" l="1"/>
  <c r="N5" i="72" s="1"/>
  <c r="N4" i="71"/>
  <c r="N5" i="71" s="1"/>
  <c r="N4" i="54"/>
  <c r="N4" i="66"/>
  <c r="N5" i="66" s="1"/>
  <c r="N4" i="49"/>
  <c r="N4" i="43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<sst xmlns="http://schemas.openxmlformats.org/spreadsheetml/2006/main" count="3948" uniqueCount="516">
  <si>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</si>
  <si>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</si>
  <si>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</si>
  <si>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</si>
  <si>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</si>
  <si>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</si>
  <si>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</si>
  <si>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</si>
  <si>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</si>
  <si>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</si>
  <si>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</si>
  <si>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</si>
  <si>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</si>
  <si>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</si>
  <si>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</si>
  <si>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</si>
  <si>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</si>
  <si>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</si>
  <si>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</si>
  <si>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</si>
  <si>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</si>
  <si>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</si>
  <si>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</si>
  <si>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</si>
  <si>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</si>
  <si>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</si>
  <si>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</si>
  <si>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</si>
  <si>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</si>
  <si>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</si>
  <si>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</si>
  <si>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</si>
  <si>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</si>
  <si>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</si>
  <si>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</si>
  <si>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</si>
  <si>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</si>
  <si>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</si>
  <si>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</si>
  <si>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</si>
  <si>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</si>
  <si>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</si>
  <si>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</si>
  <si>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</si>
  <si>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</si>
  <si>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</si>
  <si>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</si>
  <si>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</si>
  <si>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</si>
  <si>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</si>
  <si>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</si>
  <si>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</si>
  <si>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</si>
  <si>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</si>
  <si>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</si>
  <si>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</si>
  <si>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</si>
  <si>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</si>
  <si>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</si>
  <si>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</si>
  <si>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</si>
  <si>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</si>
  <si>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</si>
  <si>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</si>
  <si>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</si>
  <si>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</si>
  <si>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</si>
  <si>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</si>
  <si>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</si>
  <si>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</si>
  <si>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</si>
  <si>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</si>
  <si>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</si>
  <si>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</si>
  <si>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</si>
  <si>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</si>
  <si>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</si>
  <si>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</si>
  <si>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</si>
  <si>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</si>
  <si>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</si>
  <si>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</si>
  <si>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</si>
  <si>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</si>
  <si>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</si>
  <si>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</si>
  <si>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</si>
  <si>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</si>
  <si>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</si>
  <si>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</si>
  <si>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</si>
  <si>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</si>
  <si>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</si>
  <si>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</si>
  <si>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</si>
  <si>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</si>
  <si>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</si>
  <si>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</si>
  <si>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</si>
  <si>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</si>
  <si>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</si>
  <si>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</si>
  <si>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</si>
  <si>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</si>
  <si>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</si>
  <si>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</si>
  <si>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</si>
  <si>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</si>
  <si>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</si>
  <si>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</si>
  <si>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</si>
  <si>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</si>
  <si>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</si>
  <si>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</si>
  <si>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</si>
  <si>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</si>
  <si>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</si>
  <si>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</si>
  <si>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</si>
  <si>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</si>
  <si>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</si>
  <si>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</si>
  <si>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</si>
  <si>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</si>
  <si>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</si>
  <si>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</si>
  <si>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</si>
  <si>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</si>
  <si>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</si>
  <si>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</si>
  <si>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</si>
  <si>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</si>
  <si>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</si>
  <si>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</si>
  <si>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</si>
  <si>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</si>
  <si>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</si>
  <si>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</si>
  <si>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</si>
  <si>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</si>
  <si>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</si>
  <si>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</si>
  <si>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</si>
  <si>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</si>
  <si>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</si>
  <si>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</si>
  <si>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</si>
  <si>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</si>
  <si>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</si>
  <si>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</si>
  <si>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</si>
  <si>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</si>
  <si>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</si>
  <si>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</si>
  <si>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</si>
  <si>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</si>
  <si>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</si>
  <si>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</si>
  <si>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</si>
  <si>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</si>
  <si>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</si>
  <si>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</si>
  <si>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</si>
  <si>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</si>
  <si>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</si>
  <si>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</si>
  <si>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</si>
  <si>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</si>
  <si>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</si>
  <si>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</si>
  <si>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</si>
  <si>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</si>
  <si>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</si>
  <si>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</si>
  <si>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</si>
  <si>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</si>
  <si>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</si>
  <si>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</si>
  <si>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</si>
  <si>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</si>
  <si>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</si>
  <si>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</si>
  <si>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</si>
  <si>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</si>
  <si>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</si>
  <si>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</si>
  <si>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</si>
  <si>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</si>
  <si>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</si>
  <si>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</si>
  <si>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</si>
  <si>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</si>
  <si>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</si>
  <si>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</si>
  <si>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</si>
  <si>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</si>
  <si>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</si>
  <si>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</si>
  <si>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</si>
  <si>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</si>
  <si>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</si>
  <si>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</si>
  <si>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</si>
  <si>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</si>
  <si>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</si>
  <si>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</si>
  <si>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</si>
  <si>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</si>
  <si>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</si>
  <si>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</si>
  <si>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</si>
  <si>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</si>
  <si>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</si>
  <si>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</si>
  <si>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</si>
  <si>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</si>
  <si>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</si>
  <si>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</si>
  <si>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</si>
  <si>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</si>
  <si>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</si>
  <si>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</si>
  <si>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</si>
  <si>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</si>
  <si>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</si>
  <si>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</si>
  <si>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</si>
  <si>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</si>
  <si>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</si>
  <si>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</si>
  <si>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</si>
  <si>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</si>
  <si>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</si>
  <si>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</si>
  <si>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</si>
  <si>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</si>
  <si>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</si>
  <si>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</si>
  <si>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</si>
  <si>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</si>
  <si>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</si>
  <si>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</si>
  <si>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</si>
  <si>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</si>
  <si>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</si>
  <si>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</si>
  <si>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</si>
  <si>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</si>
  <si>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</si>
  <si>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</si>
  <si>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</si>
  <si>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</si>
  <si>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</si>
  <si>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</si>
  <si>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</si>
  <si>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</si>
  <si>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</si>
  <si>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</si>
  <si>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</si>
  <si>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</si>
  <si>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</si>
  <si>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</si>
  <si>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</si>
  <si>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</si>
  <si>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</si>
  <si>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</si>
  <si>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</si>
  <si>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</si>
  <si>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</si>
  <si>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</si>
  <si>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</si>
  <si>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</si>
  <si>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</si>
  <si>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</si>
  <si>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</si>
  <si>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</si>
  <si>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</si>
  <si>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</si>
  <si>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</si>
  <si>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</si>
  <si>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</si>
  <si>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</si>
  <si>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</si>
  <si>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</si>
  <si>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</si>
  <si>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</si>
  <si>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</si>
  <si>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</si>
  <si>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</si>
  <si>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</si>
  <si>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</si>
  <si>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</si>
  <si>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</si>
  <si>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</si>
  <si>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</si>
  <si>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</si>
  <si>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</si>
  <si>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</si>
  <si>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</si>
  <si>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</si>
  <si>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</si>
  <si>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</si>
  <si>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</si>
  <si>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</si>
  <si>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</si>
  <si>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</si>
  <si>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</si>
  <si>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</si>
  <si>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</si>
  <si>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</si>
  <si>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</si>
  <si>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</si>
  <si>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</si>
  <si>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</si>
  <si>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</si>
  <si>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</si>
  <si>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</si>
  <si>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</si>
  <si>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</si>
  <si>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</si>
  <si>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</si>
  <si>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</si>
  <si>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</si>
  <si>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</si>
  <si>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</si>
  <si>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</si>
  <si>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</si>
  <si>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</si>
  <si>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</si>
  <si>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</si>
  <si>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</si>
  <si>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</si>
  <si>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</si>
  <si>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</si>
  <si>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</si>
  <si>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</si>
  <si>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</si>
  <si>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</si>
  <si>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</si>
  <si>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</si>
  <si>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</si>
  <si>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</si>
  <si>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</si>
  <si>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</si>
  <si>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</si>
  <si>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</si>
  <si>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</si>
  <si>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</si>
  <si>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</si>
  <si>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</si>
  <si>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</si>
  <si>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</si>
  <si>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</si>
  <si>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</si>
  <si>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</si>
  <si>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</si>
  <si>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</si>
  <si>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</si>
  <si>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</si>
  <si>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</si>
  <si>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</si>
  <si>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</si>
  <si>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</si>
  <si>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</si>
  <si>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</si>
  <si>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</si>
  <si>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</si>
  <si>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</si>
  <si>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</si>
  <si>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</si>
  <si>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</si>
  <si>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</si>
  <si>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</si>
  <si>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</si>
  <si>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</si>
  <si>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</si>
  <si>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</si>
  <si>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</si>
  <si>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</si>
  <si>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</si>
  <si>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</si>
  <si>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</si>
  <si>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</si>
  <si>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</si>
  <si>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</si>
  <si>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</si>
  <si>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</si>
  <si>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</si>
  <si>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</si>
  <si>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</si>
  <si>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</si>
  <si>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</si>
  <si>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</si>
  <si>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</si>
  <si>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</si>
  <si>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</si>
  <si>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</si>
  <si>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</si>
  <si>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</si>
  <si>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</si>
  <si>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</si>
  <si>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</si>
  <si>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</si>
  <si>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</si>
  <si>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</si>
  <si>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</si>
  <si>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</si>
  <si>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</si>
  <si>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</si>
  <si>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</si>
  <si>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</si>
  <si>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</si>
  <si>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</si>
  <si>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</si>
  <si>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</si>
  <si>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</si>
  <si>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</si>
  <si>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</si>
  <si>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</si>
  <si>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</si>
  <si>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</si>
  <si>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</si>
  <si>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</si>
  <si>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</si>
  <si>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</si>
  <si>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</si>
  <si>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</si>
  <si>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</si>
  <si>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</si>
  <si>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</si>
  <si>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</si>
  <si>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</si>
  <si>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</si>
  <si>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</si>
  <si>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</si>
  <si>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</si>
  <si>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</si>
  <si>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</si>
  <si>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</si>
  <si>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</si>
  <si>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</si>
  <si>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</si>
  <si>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</si>
  <si>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</si>
  <si>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</si>
  <si>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</si>
  <si>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</si>
  <si>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</si>
  <si>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</si>
  <si>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</si>
  <si>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</si>
  <si>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</si>
  <si>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</si>
  <si>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</si>
  <si>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</si>
  <si>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</si>
  <si>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</si>
  <si>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</si>
  <si>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</si>
  <si>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</si>
  <si>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</si>
  <si>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</si>
  <si>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</si>
  <si>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</si>
  <si>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</si>
  <si>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</si>
  <si>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</si>
  <si>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</si>
  <si>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</si>
  <si>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</si>
  <si>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</si>
  <si>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</si>
  <si>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</si>
  <si>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</si>
  <si>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</si>
  <si>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</si>
  <si>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</si>
  <si>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</si>
  <si>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</si>
  <si>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</si>
  <si>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</si>
  <si>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</si>
  <si>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</si>
  <si>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</si>
  <si>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</si>
  <si>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</si>
  <si>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</si>
  <si>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</si>
  <si>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</si>
  <si>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</si>
  <si>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</si>
  <si>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</si>
  <si>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</si>
  <si>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</si>
  <si>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</si>
  <si>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</si>
  <si>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</si>
  <si>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</si>
  <si>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</si>
  <si>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</si>
  <si>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</si>
  <si>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</si>
  <si>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</si>
  <si>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</si>
  <si>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</si>
  <si>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</si>
  <si>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</si>
  <si>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</si>
  <si>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</si>
  <si>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</si>
  <si>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</si>
  <si>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</si>
  <si>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</si>
  <si>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</si>
  <si>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 xml:space="preserve">Asif Brother </t>
  </si>
  <si>
    <t>Shehzad (Asif Sahb)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</si>
</sst>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514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46272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Shehzad (Asif Sahb)</v>
      </c>
      <c r="T3" s="301">
        <f>+'1'!P35</f>
        <v>16065.837417355931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385</v>
      </c>
      <c r="I13" s="236">
        <f t="shared" si="0"/>
        <v>15103.550000000001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755.17750000000012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528.62425000000007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770.28105000000005</v>
      </c>
      <c r="M13" s="230">
        <f t="shared" si="1"/>
        <v>13049.467200000001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2936.4406779660999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79.929539389830509</v>
      </c>
      <c r="P13" s="311">
        <f t="shared" si="2"/>
        <v>16065.837417355931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9.625</v>
      </c>
      <c r="H16" s="113">
        <f t="shared" ref="H16:M16" si="3">SUM(H7:H15)</f>
        <v>385</v>
      </c>
      <c r="I16" s="114">
        <f t="shared" si="3"/>
        <v>15103.550000000001</v>
      </c>
      <c r="J16" s="274">
        <f>SUM(J7:J15)</f>
        <v>755.17750000000012</v>
      </c>
      <c r="K16" s="275">
        <f t="shared" si="3"/>
        <v>528.62425000000007</v>
      </c>
      <c r="L16" s="276">
        <f t="shared" si="3"/>
        <v>770.28105000000005</v>
      </c>
      <c r="M16" s="232">
        <f t="shared" si="3"/>
        <v>13049.467200000001</v>
      </c>
      <c r="N16" s="233">
        <f>SUM(N7:N15)</f>
        <v>2936.4406779660999</v>
      </c>
      <c r="O16" s="101">
        <f>SUM(O7:O15)</f>
        <v>79.929539389830509</v>
      </c>
      <c r="P16" s="113">
        <f>SUM(P7:P15)</f>
        <v>16065.837417355931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15103.550000000001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755.17750000000012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1298.9053000000001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13049.467200000001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2936.4406779660999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15985.907877966101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79.929539389830509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16065.837417355931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16065.837417355931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0" workbookViewId="0">
      <selection activeCell="G8" sqref="G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385</v>
      </c>
      <c r="I22" s="236">
        <f t="shared" si="0"/>
        <v>15103.550000000001</v>
      </c>
      <c r="J22" s="272">
        <f t="shared" si="1"/>
        <v>755.17750000000012</v>
      </c>
      <c r="K22" s="128">
        <f t="shared" si="1"/>
        <v>528.62425000000007</v>
      </c>
      <c r="L22" s="119">
        <f t="shared" si="1"/>
        <v>770.28105000000005</v>
      </c>
      <c r="M22" s="230">
        <f t="shared" si="2"/>
        <v>13049.467200000001</v>
      </c>
      <c r="N22" s="277">
        <f t="shared" si="3"/>
        <v>2936.4406779660999</v>
      </c>
      <c r="O22" s="239">
        <f t="shared" si="4"/>
        <v>79.929539389830509</v>
      </c>
      <c r="P22" s="311">
        <f t="shared" si="5"/>
        <v>16065.837417355931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385</v>
      </c>
      <c r="I25" s="114">
        <f t="shared" ref="I25:M25" si="10">SUM(I16:I24)</f>
        <v>15103.550000000001</v>
      </c>
      <c r="J25" s="274">
        <f>SUM(J16:J24)</f>
        <v>755.17750000000012</v>
      </c>
      <c r="K25" s="275">
        <f t="shared" si="10"/>
        <v>528.62425000000007</v>
      </c>
      <c r="L25" s="276">
        <f t="shared" si="10"/>
        <v>770.28105000000005</v>
      </c>
      <c r="M25" s="232">
        <f t="shared" si="10"/>
        <v>13049.467200000001</v>
      </c>
      <c r="N25" s="233">
        <f>SUM(N16:N24)</f>
        <v>2936.4406779660999</v>
      </c>
      <c r="O25" s="101">
        <f>SUM(O16:O24)</f>
        <v>79.929539389830509</v>
      </c>
      <c r="P25" s="113">
        <f>SUM(P16:P24)</f>
        <v>16065.837417355931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15103.550000000001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755.17750000000012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1298.9053000000001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13049.467200000001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2936.4406779660999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15985.907877966101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79.929539389830509</v>
      </c>
    </row>
    <row r="35" spans="2:16" ht="15.75" customHeight="1" thickBot="1" x14ac:dyDescent="0.4">
      <c r="N35" s="373" t="s">
        <v>88</v>
      </c>
      <c r="O35" s="374"/>
      <c r="P35" s="297">
        <f>+P33+P34</f>
        <v>16065.837417355931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E4:P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'1'!N4:P5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46272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 xml:space="preserve">Asif Brother 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46274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46273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2026-09-08T05:04:34Z</dcterms:modified>
</cp:coreProperties>
</file>