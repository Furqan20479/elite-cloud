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87A4571-4EBB-43A7-BD9E-22AA5B7767F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<sst xmlns="http://schemas.openxmlformats.org/spreadsheetml/2006/main" count="3948" uniqueCount="520">
  <si>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</si>
  <si>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</si>
  <si>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</si>
  <si>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</si>
  <si>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</si>
  <si>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</si>
  <si>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</si>
  <si>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</si>
  <si>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</si>
  <si>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</si>
  <si>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</si>
  <si>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</si>
  <si>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</si>
  <si>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</si>
  <si>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</si>
  <si>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</si>
  <si>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</si>
  <si>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</si>
  <si>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</si>
  <si>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</si>
  <si>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</si>
  <si>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</si>
  <si>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</si>
  <si>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</si>
  <si>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</si>
  <si>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</si>
  <si>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</si>
  <si>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</si>
  <si>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</si>
  <si>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</si>
  <si>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</si>
  <si>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</si>
  <si>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</si>
  <si>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</si>
  <si>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</si>
  <si>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</si>
  <si>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</si>
  <si>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</si>
  <si>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</si>
  <si>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</si>
  <si>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</si>
  <si>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</si>
  <si>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</si>
  <si>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</si>
  <si>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</si>
  <si>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</si>
  <si>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</si>
  <si>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</si>
  <si>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</si>
  <si>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</si>
  <si>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</si>
  <si>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</si>
  <si>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</si>
  <si>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</si>
  <si>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</si>
  <si>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</si>
  <si>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</si>
  <si>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</si>
  <si>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</si>
  <si>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</si>
  <si>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</si>
  <si>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</si>
  <si>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</si>
  <si>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</si>
  <si>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</si>
  <si>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</si>
  <si>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</si>
  <si>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</si>
  <si>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</si>
  <si>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</si>
  <si>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</si>
  <si>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</si>
  <si>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</si>
  <si>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</si>
  <si>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</si>
  <si>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</si>
  <si>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</si>
  <si>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</si>
  <si>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</si>
  <si>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</si>
  <si>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</si>
  <si>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</si>
  <si>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</si>
  <si>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</si>
  <si>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</si>
  <si>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</si>
  <si>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</si>
  <si>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</si>
  <si>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</si>
  <si>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</si>
  <si>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</si>
  <si>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</si>
  <si>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</si>
  <si>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</si>
  <si>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</si>
  <si>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</si>
  <si>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</si>
  <si>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</si>
  <si>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</si>
  <si>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</si>
  <si>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</si>
  <si>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</si>
  <si>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</si>
  <si>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</si>
  <si>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</si>
  <si>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</si>
  <si>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</si>
  <si>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</si>
  <si>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</si>
  <si>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</si>
  <si>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</si>
  <si>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</si>
  <si>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</si>
  <si>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</si>
  <si>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</si>
  <si>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</si>
  <si>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</si>
  <si>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</si>
  <si>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</si>
  <si>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</si>
  <si>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</si>
  <si>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</si>
  <si>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</si>
  <si>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</si>
  <si>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</si>
  <si>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</si>
  <si>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</si>
  <si>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</si>
  <si>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</si>
  <si>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</si>
  <si>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</si>
  <si>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</si>
  <si>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</si>
  <si>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</si>
  <si>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</si>
  <si>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</si>
  <si>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</si>
  <si>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</si>
  <si>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</si>
  <si>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</si>
  <si>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</si>
  <si>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</si>
  <si>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</si>
  <si>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</si>
  <si>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</si>
  <si>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</si>
  <si>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</si>
  <si>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</si>
  <si>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</si>
  <si>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</si>
  <si>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</si>
  <si>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</si>
  <si>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</si>
  <si>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</si>
  <si>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</si>
  <si>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</si>
  <si>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</si>
  <si>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</si>
  <si>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</si>
  <si>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</si>
  <si>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</si>
  <si>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</si>
  <si>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</si>
  <si>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</si>
  <si>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</si>
  <si>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</si>
  <si>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</si>
  <si>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</si>
  <si>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</si>
  <si>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</si>
  <si>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</si>
  <si>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</si>
  <si>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</si>
  <si>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</si>
  <si>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</si>
  <si>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</si>
  <si>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</si>
  <si>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</si>
  <si>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</si>
  <si>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</si>
  <si>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</si>
  <si>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</si>
  <si>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</si>
  <si>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</si>
  <si>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</si>
  <si>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</si>
  <si>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</si>
  <si>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</si>
  <si>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</si>
  <si>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</si>
  <si>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</si>
  <si>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</si>
  <si>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</si>
  <si>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</si>
  <si>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</si>
  <si>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</si>
  <si>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</si>
  <si>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</si>
  <si>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</si>
  <si>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</si>
  <si>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</si>
  <si>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</si>
  <si>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</si>
  <si>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</si>
  <si>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</si>
  <si>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</si>
  <si>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</si>
  <si>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</si>
  <si>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</si>
  <si>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</si>
  <si>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</si>
  <si>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</si>
  <si>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</si>
  <si>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</si>
  <si>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</si>
  <si>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</si>
  <si>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</si>
  <si>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</si>
  <si>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</si>
  <si>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</si>
  <si>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</si>
  <si>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</si>
  <si>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</si>
  <si>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</si>
  <si>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</si>
  <si>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</si>
  <si>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</si>
  <si>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</si>
  <si>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</si>
  <si>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</si>
  <si>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</si>
  <si>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</si>
  <si>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</si>
  <si>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</si>
  <si>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</si>
  <si>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</si>
  <si>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</si>
  <si>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</si>
  <si>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</si>
  <si>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</si>
  <si>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</si>
  <si>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</si>
  <si>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</si>
  <si>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</si>
  <si>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</si>
  <si>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</si>
  <si>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</si>
  <si>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</si>
  <si>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</si>
  <si>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</si>
  <si>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</si>
  <si>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</si>
  <si>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</si>
  <si>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</si>
  <si>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</si>
  <si>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</si>
  <si>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</si>
  <si>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</si>
  <si>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</si>
  <si>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</si>
  <si>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</si>
  <si>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</si>
  <si>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</si>
  <si>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</si>
  <si>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</si>
  <si>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</si>
  <si>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</si>
  <si>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</si>
  <si>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</si>
  <si>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</si>
  <si>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</si>
  <si>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</si>
  <si>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</si>
  <si>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</si>
  <si>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</si>
  <si>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</si>
  <si>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</si>
  <si>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</si>
  <si>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</si>
  <si>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</si>
  <si>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</si>
  <si>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</si>
  <si>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</si>
  <si>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</si>
  <si>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</si>
  <si>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</si>
  <si>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</si>
  <si>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</si>
  <si>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</si>
  <si>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</si>
  <si>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</si>
  <si>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</si>
  <si>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</si>
  <si>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</si>
  <si>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</si>
  <si>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</si>
  <si>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</si>
  <si>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</si>
  <si>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</si>
  <si>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</si>
  <si>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</si>
  <si>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</si>
  <si>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</si>
  <si>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</si>
  <si>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</si>
  <si>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</si>
  <si>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</si>
  <si>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</si>
  <si>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</si>
  <si>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</si>
  <si>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</si>
  <si>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</si>
  <si>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</si>
  <si>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</si>
  <si>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</si>
  <si>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</si>
  <si>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</si>
  <si>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</si>
  <si>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</si>
  <si>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</si>
  <si>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</si>
  <si>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</si>
  <si>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</si>
  <si>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</si>
  <si>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</si>
  <si>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</si>
  <si>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</si>
  <si>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</si>
  <si>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</si>
  <si>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</si>
  <si>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</si>
  <si>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</si>
  <si>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</si>
  <si>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</si>
  <si>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</si>
  <si>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</si>
  <si>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</si>
  <si>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</si>
  <si>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</si>
  <si>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</si>
  <si>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</si>
  <si>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</si>
  <si>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</si>
  <si>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</si>
  <si>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</si>
  <si>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</si>
  <si>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</si>
  <si>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</si>
  <si>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</si>
  <si>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</si>
  <si>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</si>
  <si>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</si>
  <si>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</si>
  <si>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</si>
  <si>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</si>
  <si>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</si>
  <si>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</si>
  <si>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</si>
  <si>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</si>
  <si>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</si>
  <si>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</si>
  <si>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</si>
  <si>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</si>
  <si>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</si>
  <si>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</si>
  <si>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</si>
  <si>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</si>
  <si>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</si>
  <si>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</si>
  <si>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</si>
  <si>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</si>
  <si>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</si>
  <si>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</si>
  <si>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</si>
  <si>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</si>
  <si>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</si>
  <si>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</si>
  <si>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</si>
  <si>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</si>
  <si>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</si>
  <si>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</si>
  <si>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</si>
  <si>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</si>
  <si>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</si>
  <si>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</si>
  <si>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</si>
  <si>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</si>
  <si>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</si>
  <si>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</si>
  <si>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</si>
  <si>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</si>
  <si>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</si>
  <si>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</si>
  <si>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</si>
  <si>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</si>
  <si>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</si>
  <si>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</si>
  <si>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</si>
  <si>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</si>
  <si>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</si>
  <si>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</si>
  <si>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</si>
  <si>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</si>
  <si>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</si>
  <si>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</si>
  <si>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</si>
  <si>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</si>
  <si>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</si>
  <si>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</si>
  <si>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</si>
  <si>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</si>
  <si>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</si>
  <si>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</si>
  <si>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</si>
  <si>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</si>
  <si>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</si>
  <si>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</si>
  <si>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</si>
  <si>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</si>
  <si>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</si>
  <si>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</si>
  <si>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</si>
  <si>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</si>
  <si>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</si>
  <si>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</si>
  <si>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</si>
  <si>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</si>
  <si>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</si>
  <si>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</si>
  <si>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</si>
  <si>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</si>
  <si>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</si>
  <si>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</si>
  <si>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</si>
  <si>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</si>
  <si>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</si>
  <si>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</si>
  <si>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</si>
  <si>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</si>
  <si>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</si>
  <si>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</si>
  <si>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</si>
  <si>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</si>
  <si>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</si>
  <si>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</si>
  <si>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</si>
  <si>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</si>
  <si>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</si>
  <si>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</si>
  <si>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</si>
  <si>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</si>
  <si>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</si>
  <si>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</si>
  <si>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</si>
  <si>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</si>
  <si>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</si>
  <si>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</si>
  <si>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</si>
  <si>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</si>
  <si>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</si>
  <si>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</si>
  <si>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</si>
  <si>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</si>
  <si>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</si>
  <si>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</si>
  <si>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</si>
  <si>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</si>
  <si>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</si>
  <si>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</si>
  <si>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</si>
  <si>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</si>
  <si>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</si>
  <si>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</si>
  <si>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</si>
  <si>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</si>
  <si>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</si>
  <si>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</si>
  <si>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</si>
  <si>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</si>
  <si>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</si>
  <si>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</si>
  <si>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</si>
  <si>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</si>
  <si>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</si>
  <si>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</si>
  <si>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</si>
  <si>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</si>
  <si>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</si>
  <si>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</si>
  <si>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</si>
  <si>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</si>
  <si>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</si>
  <si>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</si>
  <si>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</si>
  <si>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</si>
  <si>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</si>
  <si>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</si>
  <si>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</si>
  <si>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</si>
  <si>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</si>
  <si>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</si>
  <si>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</si>
  <si>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</si>
  <si>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</si>
  <si>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</si>
  <si>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</si>
  <si>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</si>
  <si>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</si>
  <si>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</si>
  <si>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</si>
  <si>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</si>
  <si>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</si>
  <si>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</si>
  <si>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</si>
  <si>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MS Mart </t>
  </si>
  <si>
    <t>Address: Shadab Colony</t>
  </si>
  <si>
    <t xml:space="preserve">KK Mart </t>
  </si>
  <si>
    <t>Khatak Store</t>
  </si>
  <si>
    <t xml:space="preserve">Tahir GS </t>
  </si>
  <si>
    <t>Address: Qanchi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</si>
</sst>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H30" sqref="H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MS Mart </v>
      </c>
      <c r="T3" s="301">
        <f>+'1'!P35</f>
        <v>2979.4010058305089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KK Mart </v>
      </c>
      <c r="T4" s="301">
        <f>+'2'!P35</f>
        <v>1568.1057925423729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Khatak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Tahir GS </v>
      </c>
      <c r="T6" s="301">
        <f>+'4'!P35</f>
        <v>9060.206331355932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</v>
      </c>
      <c r="I12" s="236">
        <f t="shared" si="0"/>
        <v>944.32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75.545600000000007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33.051200000000001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835.72320000000002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178.47457627118644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5.070988881355933</v>
      </c>
      <c r="P12" s="311">
        <f t="shared" si="2"/>
        <v>1019.2687651525424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5.45</v>
      </c>
      <c r="H16" s="113">
        <f t="shared" ref="H16:M16" si="3">SUM(H7:H15)</f>
        <v>218</v>
      </c>
      <c r="I16" s="114">
        <f t="shared" si="3"/>
        <v>12607.119999999999</v>
      </c>
      <c r="J16" s="274">
        <f>SUM(J7:J15)</f>
        <v>1008.5696</v>
      </c>
      <c r="K16" s="275">
        <f t="shared" si="3"/>
        <v>441.24920000000003</v>
      </c>
      <c r="L16" s="276">
        <f t="shared" si="3"/>
        <v>0</v>
      </c>
      <c r="M16" s="232">
        <f t="shared" si="3"/>
        <v>11157.301200000002</v>
      </c>
      <c r="N16" s="233">
        <f>SUM(N7:N15)</f>
        <v>2382.7118644067787</v>
      </c>
      <c r="O16" s="101">
        <f>SUM(O7:O15)</f>
        <v>67.700065322033893</v>
      </c>
      <c r="P16" s="113">
        <f>SUM(P7:P15)</f>
        <v>13607.713129728814</v>
      </c>
      <c r="Q16" s="128">
        <f>SUM(Q7:Q15)</f>
        <v>20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12607.119999999999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1008.5696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441.24920000000003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11157.301199999998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2382.7118644067787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13540.013064406776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67.700065322033893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13607.713129728811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13607.713129728814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B26" sqref="B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7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311">
        <f t="shared" si="5"/>
        <v>1019.2687651525424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38</v>
      </c>
      <c r="I25" s="114">
        <f t="shared" ref="I25:M25" si="10">SUM(I16:I24)</f>
        <v>2760.32</v>
      </c>
      <c r="J25" s="274">
        <f>SUM(J16:J24)</f>
        <v>220.82560000000001</v>
      </c>
      <c r="K25" s="275">
        <f t="shared" si="10"/>
        <v>96.611199999999997</v>
      </c>
      <c r="L25" s="276">
        <f t="shared" si="10"/>
        <v>0</v>
      </c>
      <c r="M25" s="232">
        <f t="shared" si="10"/>
        <v>2442.8831999999998</v>
      </c>
      <c r="N25" s="233">
        <f>SUM(N16:N24)</f>
        <v>521.69491525423723</v>
      </c>
      <c r="O25" s="101">
        <f>SUM(O16:O24)</f>
        <v>14.822890576271188</v>
      </c>
      <c r="P25" s="113">
        <f>SUM(P16:P24)</f>
        <v>2979.4010058305084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2760.32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220.82560000000001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96.611199999999997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2442.8832000000002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521.69491525423723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2964.5781152542377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14.822890576271188</v>
      </c>
    </row>
    <row r="35" spans="2:16" ht="15.75" customHeight="1" thickBot="1" x14ac:dyDescent="0.4">
      <c r="N35" s="373" t="s">
        <v>88</v>
      </c>
      <c r="O35" s="374"/>
      <c r="P35" s="297">
        <f>+P33+P34</f>
        <v>2979.4010058305089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B26" sqref="B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1452.8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116.224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50.848000000000006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1285.7280000000001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1560.3042711864407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3" t="s">
        <v>88</v>
      </c>
      <c r="O35" s="374"/>
      <c r="P35" s="297">
        <f>+P33+P34</f>
        <v>1568.1057925423729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1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B26" sqref="B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311">
        <f t="shared" ref="P17:P24" si="5">M17+N17+O17</f>
        <v>4530.103165677966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311">
        <f t="shared" si="5"/>
        <v>4530.103165677966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8394</v>
      </c>
      <c r="J25" s="274">
        <f>SUM(J16:J24)</f>
        <v>671.52</v>
      </c>
      <c r="K25" s="275">
        <f t="shared" si="7"/>
        <v>293.79000000000002</v>
      </c>
      <c r="L25" s="276">
        <f t="shared" si="7"/>
        <v>0</v>
      </c>
      <c r="M25" s="232">
        <f t="shared" si="7"/>
        <v>7428.6900000000005</v>
      </c>
      <c r="N25" s="233">
        <f>SUM(N16:N24)</f>
        <v>1586.440677966101</v>
      </c>
      <c r="O25" s="101">
        <f>SUM(O16:O24)</f>
        <v>45.075653389830507</v>
      </c>
      <c r="P25" s="113">
        <f>SUM(P16:P24)</f>
        <v>9060.206331355932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8394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671.52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293.79000000000002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7428.69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1586.440677966101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9015.1306779661008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45.075653389830507</v>
      </c>
    </row>
    <row r="35" spans="2:16" ht="15.75" customHeight="1" thickBot="1" x14ac:dyDescent="0.4">
      <c r="N35" s="373" t="s">
        <v>88</v>
      </c>
      <c r="O35" s="374"/>
      <c r="P35" s="297">
        <f>+P33+P34</f>
        <v>9060.206331355932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22" sqref="E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Umair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2026-09-07T11:12:06Z</dcterms:modified>
</cp:coreProperties>
</file>