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E2072FF-CB78-499B-80D8-54E42B938A4E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H13" i="62" l="1"/>
  <c r="H14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<sst xmlns="http://schemas.openxmlformats.org/spreadsheetml/2006/main" count="3974" uniqueCount="519">
  <si>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</si>
  <si>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</si>
  <si>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</si>
  <si>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</si>
  <si>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</si>
  <si>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</si>
  <si>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</si>
  <si>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</si>
  <si>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</si>
  <si>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</si>
  <si>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</si>
  <si>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</si>
  <si>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</si>
  <si>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</si>
  <si>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</si>
  <si>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</si>
  <si>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</si>
  <si>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</si>
  <si>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</si>
  <si>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</si>
  <si>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</si>
  <si>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</si>
  <si>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</si>
  <si>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</si>
  <si>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</si>
  <si>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</si>
  <si>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</si>
  <si>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</si>
  <si>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</si>
  <si>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</si>
  <si>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</si>
  <si>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</si>
  <si>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</si>
  <si>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</si>
  <si>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</si>
  <si>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</si>
  <si>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</si>
  <si>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</si>
  <si>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</si>
  <si>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</si>
  <si>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</si>
  <si>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</si>
  <si>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</si>
  <si>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</si>
  <si>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</si>
  <si>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</si>
  <si>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</si>
  <si>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</si>
  <si>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</si>
  <si>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</si>
  <si>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</si>
  <si>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</si>
  <si>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</si>
  <si>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</si>
  <si>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</si>
  <si>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</si>
  <si>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</si>
  <si>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</si>
  <si>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</si>
  <si>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</si>
  <si>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</si>
  <si>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</si>
  <si>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</si>
  <si>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</si>
  <si>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</si>
  <si>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</si>
  <si>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</si>
  <si>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</si>
  <si>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</si>
  <si>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</si>
  <si>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</si>
  <si>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</si>
  <si>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</si>
  <si>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</si>
  <si>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</si>
  <si>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</si>
  <si>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</si>
  <si>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</si>
  <si>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</si>
  <si>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</si>
  <si>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</si>
  <si>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</si>
  <si>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</si>
  <si>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</si>
  <si>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</si>
  <si>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</si>
  <si>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</si>
  <si>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</si>
  <si>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</si>
  <si>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</si>
  <si>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</si>
  <si>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</si>
  <si>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</si>
  <si>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</si>
  <si>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</si>
  <si>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</si>
  <si>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</si>
  <si>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</si>
  <si>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</si>
  <si>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</si>
  <si>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</si>
  <si>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</si>
  <si>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</si>
  <si>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</si>
  <si>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</si>
  <si>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</si>
  <si>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</si>
  <si>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</si>
  <si>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</si>
  <si>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</si>
  <si>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</si>
  <si>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</si>
  <si>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</si>
  <si>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</si>
  <si>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</si>
  <si>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</si>
  <si>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</si>
  <si>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</si>
  <si>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</si>
  <si>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</si>
  <si>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</si>
  <si>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</si>
  <si>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</si>
  <si>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</si>
  <si>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</si>
  <si>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</si>
  <si>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</si>
  <si>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</si>
  <si>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</si>
  <si>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</si>
  <si>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</si>
  <si>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</si>
  <si>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</si>
  <si>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</si>
  <si>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</si>
  <si>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</si>
  <si>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</si>
  <si>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</si>
  <si>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</si>
  <si>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</si>
  <si>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</si>
  <si>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</si>
  <si>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</si>
  <si>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</si>
  <si>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</si>
  <si>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</si>
  <si>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</si>
  <si>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</si>
  <si>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</si>
  <si>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</si>
  <si>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</si>
  <si>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</si>
  <si>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</si>
  <si>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</si>
  <si>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</si>
  <si>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</si>
  <si>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</si>
  <si>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</si>
  <si>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</si>
  <si>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</si>
  <si>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</si>
  <si>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</si>
  <si>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</si>
  <si>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</si>
  <si>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</si>
  <si>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</si>
  <si>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</si>
  <si>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</si>
  <si>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</si>
  <si>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</si>
  <si>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</si>
  <si>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</si>
  <si>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</si>
  <si>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</si>
  <si>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</si>
  <si>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</si>
  <si>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</si>
  <si>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</si>
  <si>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</si>
  <si>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</si>
  <si>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</si>
  <si>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</si>
  <si>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</si>
  <si>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</si>
  <si>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</si>
  <si>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</si>
  <si>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</si>
  <si>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</si>
  <si>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</si>
  <si>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</si>
  <si>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</si>
  <si>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</si>
  <si>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</si>
  <si>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</si>
  <si>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</si>
  <si>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</si>
  <si>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</si>
  <si>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</si>
  <si>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</si>
  <si>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</si>
  <si>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</si>
  <si>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</si>
  <si>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</si>
  <si>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</si>
  <si>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</si>
  <si>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</si>
  <si>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</si>
  <si>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</si>
  <si>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</si>
  <si>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</si>
  <si>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</si>
  <si>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</si>
  <si>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</si>
  <si>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</si>
  <si>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</si>
  <si>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</si>
  <si>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</si>
  <si>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</si>
  <si>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</si>
  <si>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</si>
  <si>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</si>
  <si>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</si>
  <si>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</si>
  <si>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</si>
  <si>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</si>
  <si>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</si>
  <si>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</si>
  <si>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</si>
  <si>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</si>
  <si>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</si>
  <si>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</si>
  <si>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</si>
  <si>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</si>
  <si>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</si>
  <si>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</si>
  <si>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</si>
  <si>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</si>
  <si>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</si>
  <si>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</si>
  <si>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</si>
  <si>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</si>
  <si>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</si>
  <si>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</si>
  <si>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</si>
  <si>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</si>
  <si>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</si>
  <si>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</si>
  <si>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</si>
  <si>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</si>
  <si>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</si>
  <si>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</si>
  <si>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</si>
  <si>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</si>
  <si>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</si>
  <si>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</si>
  <si>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</si>
  <si>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</si>
  <si>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</si>
  <si>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</si>
  <si>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</si>
  <si>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</si>
  <si>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</si>
  <si>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</si>
  <si>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</si>
  <si>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</si>
  <si>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</si>
  <si>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</si>
  <si>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</si>
  <si>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</si>
  <si>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</si>
  <si>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</si>
  <si>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</si>
  <si>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</si>
  <si>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</si>
  <si>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</si>
  <si>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</si>
  <si>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</si>
  <si>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</si>
  <si>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</si>
  <si>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</si>
  <si>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</si>
  <si>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</si>
  <si>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</si>
  <si>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</si>
  <si>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</si>
  <si>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</si>
  <si>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</si>
  <si>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</si>
  <si>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</si>
  <si>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</si>
  <si>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</si>
  <si>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</si>
  <si>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</si>
  <si>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</si>
  <si>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</si>
  <si>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</si>
  <si>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</si>
  <si>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</si>
  <si>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</si>
  <si>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</si>
  <si>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</si>
  <si>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</si>
  <si>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</si>
  <si>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</si>
  <si>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</si>
  <si>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</si>
  <si>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</si>
  <si>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</si>
  <si>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</si>
  <si>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</si>
  <si>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</si>
  <si>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</si>
  <si>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</si>
  <si>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</si>
  <si>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</si>
  <si>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</si>
  <si>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</si>
  <si>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</si>
  <si>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</si>
  <si>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</si>
  <si>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</si>
  <si>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</si>
  <si>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</si>
  <si>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</si>
  <si>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</si>
  <si>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</si>
  <si>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</si>
  <si>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</si>
  <si>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</si>
  <si>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</si>
  <si>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</si>
  <si>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</si>
  <si>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</si>
  <si>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</si>
  <si>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</si>
  <si>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</si>
  <si>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</si>
  <si>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</si>
  <si>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</si>
  <si>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</si>
  <si>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</si>
  <si>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</si>
  <si>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</si>
  <si>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</si>
  <si>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</si>
  <si>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</si>
  <si>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</si>
  <si>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</si>
  <si>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</si>
  <si>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</si>
  <si>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</si>
  <si>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</si>
  <si>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</si>
  <si>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</si>
  <si>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</si>
  <si>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</si>
  <si>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</si>
  <si>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</si>
  <si>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</si>
  <si>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</si>
  <si>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</si>
  <si>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</si>
  <si>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</si>
  <si>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</si>
  <si>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</si>
  <si>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</si>
  <si>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</si>
  <si>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</si>
  <si>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</si>
  <si>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</si>
  <si>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</si>
  <si>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</si>
  <si>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</si>
  <si>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</si>
  <si>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</si>
  <si>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</si>
  <si>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</si>
  <si>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</si>
  <si>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</si>
  <si>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</si>
  <si>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</si>
  <si>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</si>
  <si>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</si>
  <si>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</si>
  <si>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</si>
  <si>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</si>
  <si>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</si>
  <si>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</si>
  <si>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</si>
  <si>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</si>
  <si>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</si>
  <si>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</si>
  <si>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</si>
  <si>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</si>
  <si>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</si>
  <si>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</si>
  <si>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</si>
  <si>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</si>
  <si>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</si>
  <si>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</si>
  <si>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</si>
  <si>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</si>
  <si>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</si>
  <si>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</si>
  <si>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</si>
  <si>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</si>
  <si>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</si>
  <si>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</si>
  <si>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</si>
  <si>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</si>
  <si>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</si>
  <si>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</si>
  <si>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</si>
  <si>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</si>
  <si>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</si>
  <si>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</si>
  <si>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</si>
  <si>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</si>
  <si>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</si>
  <si>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</si>
  <si>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</si>
  <si>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</si>
  <si>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</si>
  <si>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</si>
  <si>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</si>
  <si>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</si>
  <si>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</si>
  <si>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</si>
  <si>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</si>
  <si>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</si>
  <si>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</si>
  <si>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</si>
  <si>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</si>
  <si>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</si>
  <si>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</si>
  <si>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</si>
  <si>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</si>
  <si>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</si>
  <si>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</si>
  <si>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</si>
  <si>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</si>
  <si>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</si>
  <si>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</si>
  <si>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</si>
  <si>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</si>
  <si>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</si>
  <si>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</si>
  <si>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</si>
  <si>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</si>
  <si>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</si>
  <si>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</si>
  <si>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</si>
  <si>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</si>
  <si>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</si>
  <si>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</si>
  <si>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</si>
  <si>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</si>
  <si>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</si>
  <si>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</si>
  <si>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</si>
  <si>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</si>
  <si>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</si>
  <si>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</si>
  <si>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</si>
  <si>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</si>
  <si>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</si>
  <si>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</si>
  <si>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</si>
  <si>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</si>
  <si>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</si>
  <si>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</si>
  <si>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</si>
  <si>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</si>
  <si>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</si>
  <si>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</si>
  <si>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</si>
  <si>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</si>
  <si>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</si>
  <si>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</si>
  <si>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</si>
  <si>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</si>
  <si>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</si>
  <si>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</si>
  <si>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</si>
  <si>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</si>
  <si>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</si>
  <si>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</si>
  <si>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</si>
  <si>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</si>
  <si>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</si>
  <si>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</si>
  <si>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</si>
  <si>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</si>
  <si>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</si>
  <si>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</si>
  <si>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</si>
  <si>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</si>
  <si>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</si>
  <si>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</si>
  <si>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</si>
  <si>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</si>
  <si>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</si>
  <si>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</si>
  <si>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</si>
  <si>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</si>
  <si>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</si>
  <si>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</si>
  <si>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</si>
  <si>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</si>
  <si>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</si>
  <si>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</si>
  <si>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</si>
  <si>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</si>
  <si>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</si>
  <si>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</si>
  <si>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 xml:space="preserve">Sohail Traders </t>
  </si>
  <si>
    <t>Sohail Traders (SD)</t>
  </si>
  <si>
    <t>NTN #: 1013549-9</t>
  </si>
  <si>
    <t>Address: Kasoor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</si>
</sst>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499</v>
      </c>
      <c r="F2" s="355"/>
      <c r="G2" s="355"/>
      <c r="H2" s="352" t="s">
        <v>515</v>
      </c>
      <c r="I2" s="352"/>
      <c r="J2" s="353"/>
      <c r="R2" s="349" t="s">
        <v>498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514</v>
      </c>
      <c r="F3" s="359"/>
      <c r="G3" s="359"/>
      <c r="H3" s="356">
        <v>46237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>Sohail Traders (SD)</v>
      </c>
      <c r="T3" s="301">
        <f>+'1'!P35</f>
        <v>237769.10524474576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15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43584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6973.4400000000005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1525.44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35085.119999999995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8237.2881355932204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216.61204067796606</v>
      </c>
      <c r="P10" s="311">
        <f t="shared" si="2"/>
        <v>43539.02017627118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25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72640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11622.4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2542.4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58475.199999999997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13728.813559322034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361.02006779661019</v>
      </c>
      <c r="P11" s="311">
        <f t="shared" si="2"/>
        <v>72565.033627118639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20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58112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9297.92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2033.9200000000003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46780.160000000003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10983.050847457627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288.81605423728814</v>
      </c>
      <c r="P12" s="311">
        <f t="shared" si="2"/>
        <v>58052.026901694917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40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62768.000000000007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6276.8000000000011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2196.8800000000006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3201.1680000000001</v>
      </c>
      <c r="M13" s="230">
        <f t="shared" si="1"/>
        <v>51093.152000000002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12203.389830508468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316.48270915254233</v>
      </c>
      <c r="P13" s="311">
        <f t="shared" si="2"/>
        <v>63613.024539661012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0</v>
      </c>
      <c r="H16" s="113">
        <f t="shared" ref="H16:M16" si="3">SUM(H7:H15)</f>
        <v>0</v>
      </c>
      <c r="I16" s="114">
        <f t="shared" si="3"/>
        <v>237104</v>
      </c>
      <c r="J16" s="274">
        <f>SUM(J7:J15)</f>
        <v>34170.560000000005</v>
      </c>
      <c r="K16" s="275">
        <f t="shared" si="3"/>
        <v>8298.6400000000012</v>
      </c>
      <c r="L16" s="276">
        <f t="shared" si="3"/>
        <v>3201.1680000000001</v>
      </c>
      <c r="M16" s="232">
        <f t="shared" si="3"/>
        <v>191433.63199999998</v>
      </c>
      <c r="N16" s="233">
        <f>SUM(N7:N15)</f>
        <v>45152.542372881348</v>
      </c>
      <c r="O16" s="101">
        <f>SUM(O7:O15)</f>
        <v>1182.9308718644068</v>
      </c>
      <c r="P16" s="113">
        <f>SUM(P7:P15)</f>
        <v>237769.10524474573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237104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34170.560000000005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11499.808000000001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191433.63200000001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45152.542372881348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236586.17437288136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1182.9308718644068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237769.10524474576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237769.10524474576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7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10" width="8.36328125" bestFit="1" customWidth="1"/>
    <col min="11" max="12" width="7.36328125" bestFit="1" customWidth="1"/>
    <col min="13" max="13" width="6.81640625" bestFit="1" customWidth="1"/>
    <col min="14" max="14" width="8.36328125" style="61" bestFit="1" customWidth="1"/>
    <col min="15" max="15" width="7.36328125" bestFit="1" customWidth="1"/>
    <col min="16" max="16" width="8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46272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46271</v>
      </c>
      <c r="O5" s="368"/>
      <c r="P5" s="368"/>
      <c r="R5" s="85"/>
      <c r="S5" s="266"/>
    </row>
    <row r="6" spans="1:22 16383:16384" ht="17.25" customHeight="1" x14ac:dyDescent="0.4">
      <c r="A6" s="397" t="s">
        <v>516</v>
      </c>
      <c r="B6" s="397"/>
      <c r="C6" s="397"/>
      <c r="F6" s="85"/>
      <c r="G6" s="86"/>
      <c r="K6" s="369" t="s">
        <v>69</v>
      </c>
      <c r="L6" s="369"/>
      <c r="M6" s="369"/>
      <c r="N6" s="398" t="s">
        <v>510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518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0.16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15</v>
      </c>
      <c r="H19" s="96"/>
      <c r="I19" s="236">
        <f t="shared" si="7"/>
        <v>43584</v>
      </c>
      <c r="J19" s="272">
        <f t="shared" si="1"/>
        <v>6973.4400000000005</v>
      </c>
      <c r="K19" s="128">
        <f t="shared" si="1"/>
        <v>1525.44</v>
      </c>
      <c r="L19" s="119">
        <f t="shared" si="1"/>
        <v>0</v>
      </c>
      <c r="M19" s="230">
        <f t="shared" si="2"/>
        <v>35085.119999999995</v>
      </c>
      <c r="N19" s="277">
        <f t="shared" si="3"/>
        <v>8237.2881355932204</v>
      </c>
      <c r="O19" s="239">
        <f t="shared" si="4"/>
        <v>216.61204067796606</v>
      </c>
      <c r="P19" s="311">
        <f t="shared" si="5"/>
        <v>43539.02017627118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25</v>
      </c>
      <c r="H20" s="96"/>
      <c r="I20" s="236">
        <f t="shared" si="7"/>
        <v>72640</v>
      </c>
      <c r="J20" s="272">
        <f t="shared" si="1"/>
        <v>11622.4</v>
      </c>
      <c r="K20" s="128">
        <f t="shared" si="1"/>
        <v>2542.4</v>
      </c>
      <c r="L20" s="119">
        <f t="shared" si="1"/>
        <v>0</v>
      </c>
      <c r="M20" s="230">
        <f t="shared" si="2"/>
        <v>58475.199999999997</v>
      </c>
      <c r="N20" s="277">
        <f t="shared" si="3"/>
        <v>13728.813559322034</v>
      </c>
      <c r="O20" s="239">
        <f t="shared" si="4"/>
        <v>361.02006779661019</v>
      </c>
      <c r="P20" s="311">
        <f t="shared" si="5"/>
        <v>72565.033627118639</v>
      </c>
      <c r="Q20" s="156"/>
      <c r="R20">
        <f>P20/21</f>
        <v>3455.4777917675542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20</v>
      </c>
      <c r="H21" s="96"/>
      <c r="I21" s="236">
        <f t="shared" si="7"/>
        <v>58112</v>
      </c>
      <c r="J21" s="272">
        <f t="shared" si="1"/>
        <v>9297.92</v>
      </c>
      <c r="K21" s="128">
        <f t="shared" si="1"/>
        <v>2033.9200000000003</v>
      </c>
      <c r="L21" s="119">
        <f t="shared" si="1"/>
        <v>0</v>
      </c>
      <c r="M21" s="230">
        <f t="shared" si="2"/>
        <v>46780.160000000003</v>
      </c>
      <c r="N21" s="277">
        <f t="shared" si="3"/>
        <v>10983.050847457627</v>
      </c>
      <c r="O21" s="239">
        <f t="shared" si="4"/>
        <v>288.81605423728814</v>
      </c>
      <c r="P21" s="311">
        <f t="shared" si="5"/>
        <v>58052.026901694917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>
        <v>40</v>
      </c>
      <c r="H22" s="96"/>
      <c r="I22" s="236">
        <f t="shared" si="0"/>
        <v>62768.000000000007</v>
      </c>
      <c r="J22" s="272">
        <f t="shared" si="1"/>
        <v>6276.8000000000011</v>
      </c>
      <c r="K22" s="128">
        <f t="shared" si="1"/>
        <v>2196.8800000000006</v>
      </c>
      <c r="L22" s="119">
        <f t="shared" si="1"/>
        <v>3201.1680000000001</v>
      </c>
      <c r="M22" s="230">
        <f t="shared" si="2"/>
        <v>51093.152000000002</v>
      </c>
      <c r="N22" s="277">
        <f t="shared" si="3"/>
        <v>12203.389830508468</v>
      </c>
      <c r="O22" s="239">
        <f t="shared" si="4"/>
        <v>316.48270915254233</v>
      </c>
      <c r="P22" s="311">
        <f t="shared" si="5"/>
        <v>63613.024539661012</v>
      </c>
      <c r="Q22" s="156"/>
      <c r="S22" s="269">
        <v>0.1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100</v>
      </c>
      <c r="H25" s="113">
        <f t="shared" ref="H25" si="9">SUM(H16:H24)</f>
        <v>0</v>
      </c>
      <c r="I25" s="114">
        <f t="shared" ref="I25:M25" si="10">SUM(I16:I24)</f>
        <v>237104</v>
      </c>
      <c r="J25" s="274">
        <f>SUM(J16:J24)</f>
        <v>34170.560000000005</v>
      </c>
      <c r="K25" s="275">
        <f t="shared" si="10"/>
        <v>8298.6400000000012</v>
      </c>
      <c r="L25" s="276">
        <f t="shared" si="10"/>
        <v>3201.1680000000001</v>
      </c>
      <c r="M25" s="232">
        <f t="shared" si="10"/>
        <v>191433.63199999998</v>
      </c>
      <c r="N25" s="233">
        <f>SUM(N16:N24)</f>
        <v>45152.542372881348</v>
      </c>
      <c r="O25" s="101">
        <f>SUM(O16:O24)</f>
        <v>1182.9308718644068</v>
      </c>
      <c r="P25" s="113">
        <f>SUM(P16:P24)</f>
        <v>237769.10524474573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237104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34170.560000000005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11499.808000000001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191433.63200000001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45152.542372881348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236586.17437288136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1182.9308718644068</v>
      </c>
    </row>
    <row r="35" spans="2:16" ht="15.75" customHeight="1" thickBot="1" x14ac:dyDescent="0.4">
      <c r="N35" s="343" t="s">
        <v>88</v>
      </c>
      <c r="O35" s="344"/>
      <c r="P35" s="297">
        <f>+P33+P34</f>
        <v>237769.10524474576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46237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46236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508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3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46237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46236</v>
      </c>
      <c r="O5" s="368"/>
      <c r="P5" s="368"/>
      <c r="R5" s="85"/>
      <c r="S5" s="266"/>
    </row>
    <row r="6" spans="1:22 16383:16384" ht="18.75" customHeight="1" x14ac:dyDescent="0.4">
      <c r="A6" s="397" t="s">
        <v>500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46237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46236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46237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46236</v>
      </c>
      <c r="O5" s="368"/>
      <c r="P5" s="368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46237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46236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46237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46236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46237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46236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7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46237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46236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7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46237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46236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13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46237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46236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46237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46236</v>
      </c>
      <c r="O5" s="368"/>
      <c r="P5" s="368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46237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46236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46237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46236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46237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46236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46237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46236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46237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46236</v>
      </c>
      <c r="O5" s="368"/>
      <c r="P5" s="368"/>
      <c r="R5" s="85"/>
      <c r="S5" s="266"/>
    </row>
    <row r="6" spans="1:22 16383:16384" ht="15" customHeight="1" x14ac:dyDescent="0.4">
      <c r="A6" s="397" t="s">
        <v>503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46237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46236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46237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46236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46237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46236</v>
      </c>
      <c r="O5" s="368"/>
      <c r="P5" s="368"/>
      <c r="R5" s="85"/>
      <c r="S5" s="266"/>
    </row>
    <row r="6" spans="1:22 16383:16384" ht="18.75" customHeight="1" x14ac:dyDescent="0.4">
      <c r="A6" s="397" t="s">
        <v>504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46237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46236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46237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46236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46237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46236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46237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46236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46237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46236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46237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46236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46237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46236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46237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46236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46237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46236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46237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46236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46274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46273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2026-09-08T08:04:53Z</dcterms:modified>
</cp:coreProperties>
</file>