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B6BC9DD-D4BF-4573-9A78-2D2876993509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0" i="69" l="1"/>
  <c r="N4" i="45"/>
  <c r="N24" i="70"/>
  <c r="N4" i="64"/>
  <c r="N5" i="64" s="1"/>
  <c r="N4" i="63"/>
  <c r="N5" i="63" s="1"/>
  <c r="N4" i="70"/>
  <c r="N5" i="70" s="1"/>
  <c r="N24" i="68"/>
  <c r="N4" i="58"/>
  <c r="N4" i="68"/>
  <c r="N5" i="68" s="1"/>
  <c r="N5" i="11"/>
  <c r="N4" i="50"/>
  <c r="N4" i="55"/>
  <c r="N4" i="46"/>
  <c r="N4" i="69"/>
  <c r="N5" i="69" s="1"/>
  <c r="N4" i="65"/>
  <c r="N5" i="65" s="1"/>
  <c r="N24" i="66"/>
  <c r="N4" i="59"/>
  <c r="N4" i="61"/>
  <c r="N5" i="61" s="1"/>
  <c r="N4" i="60"/>
  <c r="N4" i="51"/>
  <c r="N5" i="51" s="1"/>
  <c r="N4" i="57"/>
  <c r="N5" i="57" s="1"/>
  <c r="N4" i="52"/>
  <c r="N4" i="67"/>
  <c r="N5" i="67" s="1"/>
  <c r="N4" i="53"/>
  <c r="N4" i="44"/>
  <c r="N4" i="72"/>
  <c r="N5" i="72" s="1"/>
  <c r="N4" i="71"/>
  <c r="N5" i="71" s="1"/>
  <c r="N4" i="54"/>
  <c r="N5" i="54" s="1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6" l="1"/>
  <c r="N16" i="44"/>
  <c r="N24" i="46"/>
  <c r="N24" i="48"/>
  <c r="N16" i="50"/>
  <c r="N16" i="59"/>
  <c r="N16" i="63"/>
  <c r="N16" i="48"/>
  <c r="N16" i="53"/>
  <c r="N24" i="50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O50" i="41" s="1"/>
  <c r="P50" i="41" s="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5" i="41"/>
  <c r="P5" i="41" s="1"/>
  <c r="O35" i="41"/>
  <c r="P35" i="41" s="1"/>
  <c r="O47" i="41"/>
  <c r="P47" i="41" s="1"/>
  <c r="O39" i="41"/>
  <c r="P39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3" i="11" l="1"/>
  <c r="N14" i="62" s="1"/>
  <c r="N18" i="1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M24" i="72" s="1"/>
  <c r="K20" i="48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72" l="1"/>
  <c r="M24" i="66"/>
  <c r="O24" i="66" s="1"/>
  <c r="P24" i="66" s="1"/>
  <c r="L21" i="16"/>
  <c r="M23" i="49"/>
  <c r="O23" i="49" s="1"/>
  <c r="P23" i="49" s="1"/>
  <c r="M21" i="53"/>
  <c r="O21" i="53" s="1"/>
  <c r="P21" i="53" s="1"/>
  <c r="M23" i="69"/>
  <c r="M23" i="53"/>
  <c r="O23" i="53" s="1"/>
  <c r="P23" i="53" s="1"/>
  <c r="M24" i="63"/>
  <c r="O24" i="63" s="1"/>
  <c r="P24" i="63" s="1"/>
  <c r="M21" i="68"/>
  <c r="O21" i="68" s="1"/>
  <c r="P21" i="68" s="1"/>
  <c r="J15" i="62"/>
  <c r="L20" i="16"/>
  <c r="M20" i="16" s="1"/>
  <c r="N20" i="16" s="1"/>
  <c r="O20" i="16" s="1"/>
  <c r="L23" i="16"/>
  <c r="L22" i="16"/>
  <c r="M17" i="56"/>
  <c r="O17" i="56" s="1"/>
  <c r="P17" i="56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16" i="64"/>
  <c r="M20" i="61"/>
  <c r="O20" i="61" s="1"/>
  <c r="P20" i="61" s="1"/>
  <c r="R20" i="61" s="1"/>
  <c r="M20" i="48"/>
  <c r="O20" i="48" s="1"/>
  <c r="P20" i="48" s="1"/>
  <c r="R20" i="48" s="1"/>
  <c r="M21" i="43"/>
  <c r="O21" i="43" s="1"/>
  <c r="P21" i="43" s="1"/>
  <c r="M23" i="58"/>
  <c r="O23" i="58" s="1"/>
  <c r="P23" i="58" s="1"/>
  <c r="M16" i="43"/>
  <c r="M23" i="52"/>
  <c r="O23" i="52" s="1"/>
  <c r="P23" i="52" s="1"/>
  <c r="M16" i="52"/>
  <c r="M22" i="64"/>
  <c r="O22" i="64" s="1"/>
  <c r="P22" i="64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M22" i="70"/>
  <c r="M20" i="50"/>
  <c r="O20" i="50" s="1"/>
  <c r="P20" i="50" s="1"/>
  <c r="R20" i="50" s="1"/>
  <c r="J7" i="62"/>
  <c r="J25" i="61"/>
  <c r="P29" i="61" s="1"/>
  <c r="M24" i="45"/>
  <c r="O24" i="45" s="1"/>
  <c r="P24" i="45" s="1"/>
  <c r="M17" i="61"/>
  <c r="O17" i="61" s="1"/>
  <c r="P17" i="61" s="1"/>
  <c r="M16" i="48"/>
  <c r="M20" i="71"/>
  <c r="O20" i="71" s="1"/>
  <c r="P20" i="71" s="1"/>
  <c r="R20" i="71" s="1"/>
  <c r="M24" i="53"/>
  <c r="O24" i="53" s="1"/>
  <c r="P24" i="53" s="1"/>
  <c r="M16" i="60"/>
  <c r="O16" i="60" s="1"/>
  <c r="P16" i="60" s="1"/>
  <c r="M16" i="58"/>
  <c r="M16" i="59"/>
  <c r="M21" i="51"/>
  <c r="O21" i="51" s="1"/>
  <c r="P21" i="51" s="1"/>
  <c r="M23" i="72"/>
  <c r="O23" i="72" s="1"/>
  <c r="P23" i="72" s="1"/>
  <c r="M24" i="71"/>
  <c r="M23" i="59"/>
  <c r="M16" i="66"/>
  <c r="M16" i="44"/>
  <c r="M24" i="44"/>
  <c r="O24" i="44" s="1"/>
  <c r="P24" i="44" s="1"/>
  <c r="M24" i="58"/>
  <c r="M23" i="54"/>
  <c r="O23" i="54" s="1"/>
  <c r="P23" i="54" s="1"/>
  <c r="M18" i="67"/>
  <c r="O18" i="67" s="1"/>
  <c r="P18" i="67" s="1"/>
  <c r="K15" i="62"/>
  <c r="K12" i="62"/>
  <c r="M17" i="44"/>
  <c r="O17" i="44" s="1"/>
  <c r="P17" i="44" s="1"/>
  <c r="M22" i="67"/>
  <c r="O22" i="67" s="1"/>
  <c r="P22" i="67" s="1"/>
  <c r="M24" i="50"/>
  <c r="O24" i="50" s="1"/>
  <c r="P24" i="50" s="1"/>
  <c r="M24" i="48"/>
  <c r="O24" i="48" s="1"/>
  <c r="P24" i="48" s="1"/>
  <c r="M22" i="51"/>
  <c r="O22" i="51" s="1"/>
  <c r="P22" i="51" s="1"/>
  <c r="M18" i="48"/>
  <c r="M23" i="48"/>
  <c r="M17" i="72"/>
  <c r="O17" i="72" s="1"/>
  <c r="P17" i="72" s="1"/>
  <c r="M22" i="43"/>
  <c r="M23" i="56"/>
  <c r="M16" i="65"/>
  <c r="M22" i="63"/>
  <c r="O22" i="63" s="1"/>
  <c r="P22" i="63" s="1"/>
  <c r="M24" i="47"/>
  <c r="O24" i="47" s="1"/>
  <c r="P24" i="47" s="1"/>
  <c r="M24" i="46"/>
  <c r="O24" i="46" s="1"/>
  <c r="P24" i="46" s="1"/>
  <c r="M23" i="44"/>
  <c r="O23" i="44" s="1"/>
  <c r="P23" i="44" s="1"/>
  <c r="M20" i="70"/>
  <c r="O20" i="70" s="1"/>
  <c r="P20" i="70" s="1"/>
  <c r="R20" i="70" s="1"/>
  <c r="M23" i="65"/>
  <c r="M23" i="66"/>
  <c r="O23" i="66" s="1"/>
  <c r="P23" i="66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 s="1"/>
  <c r="O23" i="59"/>
  <c r="P23" i="59"/>
  <c r="O23" i="69"/>
  <c r="P23" i="69" s="1"/>
  <c r="O16" i="67"/>
  <c r="P16" i="67" s="1"/>
  <c r="O16" i="44"/>
  <c r="O23" i="60"/>
  <c r="P23" i="60" s="1"/>
  <c r="O16" i="64"/>
  <c r="P16" i="64" s="1"/>
  <c r="O16" i="55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3" i="56" l="1"/>
  <c r="M12" i="62"/>
  <c r="O21" i="50"/>
  <c r="P21" i="50" s="1"/>
  <c r="M24" i="16"/>
  <c r="N24" i="16" s="1"/>
  <c r="O22" i="16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5" i="62" l="1"/>
  <c r="P15" i="62" s="1"/>
  <c r="P24" i="55"/>
  <c r="P16" i="53"/>
  <c r="P25" i="53" s="1"/>
  <c r="O25" i="52"/>
  <c r="O25" i="55"/>
  <c r="O25" i="69"/>
  <c r="O18" i="16"/>
  <c r="O19" i="16"/>
  <c r="O24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<sst xmlns="http://schemas.openxmlformats.org/spreadsheetml/2006/main" count="3948" uniqueCount="531">
  <si>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</si>
  <si>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</si>
  <si>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</si>
  <si>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</si>
  <si>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</si>
  <si>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</si>
  <si>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</si>
  <si>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</si>
  <si>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</si>
  <si>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</si>
  <si>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</si>
  <si>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</si>
  <si>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</si>
  <si>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</si>
  <si>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</si>
  <si>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</si>
  <si>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</si>
  <si>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</si>
  <si>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</si>
  <si>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</si>
  <si>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</si>
  <si>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</si>
  <si>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</si>
  <si>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</si>
  <si>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</si>
  <si>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</si>
  <si>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</si>
  <si>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</si>
  <si>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</si>
  <si>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</si>
  <si>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</si>
  <si>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</si>
  <si>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</si>
  <si>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</si>
  <si>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</si>
  <si>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</si>
  <si>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</si>
  <si>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</si>
  <si>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</si>
  <si>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</si>
  <si>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</si>
  <si>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</si>
  <si>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</si>
  <si>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</si>
  <si>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</si>
  <si>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</si>
  <si>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</si>
  <si>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</si>
  <si>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</si>
  <si>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</si>
  <si>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</si>
  <si>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</si>
  <si>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</si>
  <si>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</si>
  <si>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</si>
  <si>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</si>
  <si>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</si>
  <si>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</si>
  <si>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</si>
  <si>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</si>
  <si>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</si>
  <si>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</si>
  <si>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</si>
  <si>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</si>
  <si>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</si>
  <si>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</si>
  <si>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</si>
  <si>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</si>
  <si>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</si>
  <si>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</si>
  <si>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</si>
  <si>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</si>
  <si>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</si>
  <si>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</si>
  <si>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</si>
  <si>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</si>
  <si>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</si>
  <si>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</si>
  <si>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</si>
  <si>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</si>
  <si>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</si>
  <si>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</si>
  <si>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</si>
  <si>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</si>
  <si>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</si>
  <si>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</si>
  <si>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</si>
  <si>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</si>
  <si>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</si>
  <si>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</si>
  <si>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</si>
  <si>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</si>
  <si>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</si>
  <si>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</si>
  <si>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</si>
  <si>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</si>
  <si>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</si>
  <si>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</si>
  <si>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</si>
  <si>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</si>
  <si>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</si>
  <si>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</si>
  <si>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</si>
  <si>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</si>
  <si>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</si>
  <si>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</si>
  <si>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</si>
  <si>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</si>
  <si>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</si>
  <si>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</si>
  <si>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</si>
  <si>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</si>
  <si>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</si>
  <si>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</si>
  <si>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</si>
  <si>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</si>
  <si>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</si>
  <si>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</si>
  <si>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</si>
  <si>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</si>
  <si>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</si>
  <si>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</si>
  <si>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</si>
  <si>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</si>
  <si>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</si>
  <si>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</si>
  <si>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</si>
  <si>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</si>
  <si>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</si>
  <si>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</si>
  <si>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</si>
  <si>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</si>
  <si>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</si>
  <si>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</si>
  <si>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</si>
  <si>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</si>
  <si>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</si>
  <si>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</si>
  <si>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</si>
  <si>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</si>
  <si>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</si>
  <si>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</si>
  <si>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</si>
  <si>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</si>
  <si>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</si>
  <si>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</si>
  <si>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</si>
  <si>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</si>
  <si>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</si>
  <si>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</si>
  <si>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</si>
  <si>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</si>
  <si>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</si>
  <si>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</si>
  <si>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</si>
  <si>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</si>
  <si>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</si>
  <si>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</si>
  <si>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</si>
  <si>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</si>
  <si>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</si>
  <si>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</si>
  <si>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</si>
  <si>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</si>
  <si>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</si>
  <si>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</si>
  <si>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</si>
  <si>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</si>
  <si>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</si>
  <si>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</si>
  <si>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</si>
  <si>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</si>
  <si>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</si>
  <si>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</si>
  <si>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</si>
  <si>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</si>
  <si>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</si>
  <si>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</si>
  <si>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</si>
  <si>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</si>
  <si>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</si>
  <si>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</si>
  <si>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</si>
  <si>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</si>
  <si>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</si>
  <si>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</si>
  <si>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</si>
  <si>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</si>
  <si>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</si>
  <si>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</si>
  <si>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</si>
  <si>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</si>
  <si>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</si>
  <si>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</si>
  <si>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</si>
  <si>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</si>
  <si>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</si>
  <si>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</si>
  <si>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</si>
  <si>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</si>
  <si>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</si>
  <si>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</si>
  <si>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</si>
  <si>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</si>
  <si>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</si>
  <si>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</si>
  <si>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</si>
  <si>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</si>
  <si>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</si>
  <si>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</si>
  <si>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</si>
  <si>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</si>
  <si>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</si>
  <si>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</si>
  <si>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</si>
  <si>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</si>
  <si>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</si>
  <si>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</si>
  <si>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</si>
  <si>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</si>
  <si>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</si>
  <si>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</si>
  <si>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</si>
  <si>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</si>
  <si>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</si>
  <si>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</si>
  <si>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</si>
  <si>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</si>
  <si>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</si>
  <si>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</si>
  <si>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</si>
  <si>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</si>
  <si>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</si>
  <si>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</si>
  <si>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</si>
  <si>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</si>
  <si>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</si>
  <si>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</si>
  <si>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</si>
  <si>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</si>
  <si>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</si>
  <si>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</si>
  <si>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</si>
  <si>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</si>
  <si>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</si>
  <si>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</si>
  <si>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</si>
  <si>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</si>
  <si>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</si>
  <si>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</si>
  <si>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</si>
  <si>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</si>
  <si>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</si>
  <si>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</si>
  <si>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</si>
  <si>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</si>
  <si>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</si>
  <si>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</si>
  <si>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</si>
  <si>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</si>
  <si>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</si>
  <si>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</si>
  <si>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</si>
  <si>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</si>
  <si>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</si>
  <si>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</si>
  <si>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</si>
  <si>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</si>
  <si>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</si>
  <si>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</si>
  <si>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</si>
  <si>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</si>
  <si>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</si>
  <si>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</si>
  <si>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</si>
  <si>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</si>
  <si>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</si>
  <si>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</si>
  <si>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</si>
  <si>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</si>
  <si>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</si>
  <si>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</si>
  <si>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</si>
  <si>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</si>
  <si>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</si>
  <si>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</si>
  <si>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</si>
  <si>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</si>
  <si>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</si>
  <si>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</si>
  <si>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</si>
  <si>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</si>
  <si>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</si>
  <si>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</si>
  <si>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</si>
  <si>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</si>
  <si>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</si>
  <si>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</si>
  <si>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</si>
  <si>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</si>
  <si>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</si>
  <si>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</si>
  <si>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</si>
  <si>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</si>
  <si>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</si>
  <si>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</si>
  <si>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</si>
  <si>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</si>
  <si>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</si>
  <si>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</si>
  <si>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</si>
  <si>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</si>
  <si>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</si>
  <si>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</si>
  <si>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</si>
  <si>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</si>
  <si>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</si>
  <si>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</si>
  <si>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</si>
  <si>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</si>
  <si>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</si>
  <si>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</si>
  <si>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</si>
  <si>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</si>
  <si>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</si>
  <si>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</si>
  <si>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</si>
  <si>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</si>
  <si>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</si>
  <si>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</si>
  <si>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</si>
  <si>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</si>
  <si>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</si>
  <si>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</si>
  <si>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</si>
  <si>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</si>
  <si>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</si>
  <si>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</si>
  <si>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</si>
  <si>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</si>
  <si>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</si>
  <si>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</si>
  <si>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</si>
  <si>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</si>
  <si>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</si>
  <si>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</si>
  <si>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</si>
  <si>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</si>
  <si>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</si>
  <si>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</si>
  <si>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</si>
  <si>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</si>
  <si>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</si>
  <si>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</si>
  <si>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</si>
  <si>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</si>
  <si>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</si>
  <si>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</si>
  <si>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</si>
  <si>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</si>
  <si>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</si>
  <si>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</si>
  <si>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</si>
  <si>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</si>
  <si>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</si>
  <si>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</si>
  <si>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</si>
  <si>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</si>
  <si>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</si>
  <si>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</si>
  <si>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</si>
  <si>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</si>
  <si>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</si>
  <si>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</si>
  <si>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</si>
  <si>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</si>
  <si>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</si>
  <si>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</si>
  <si>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</si>
  <si>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</si>
  <si>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</si>
  <si>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</si>
  <si>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</si>
  <si>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</si>
  <si>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</si>
  <si>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</si>
  <si>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</si>
  <si>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</si>
  <si>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</si>
  <si>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</si>
  <si>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</si>
  <si>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</si>
  <si>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</si>
  <si>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</si>
  <si>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</si>
  <si>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</si>
  <si>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</si>
  <si>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</si>
  <si>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</si>
  <si>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</si>
  <si>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</si>
  <si>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</si>
  <si>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</si>
  <si>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</si>
  <si>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</si>
  <si>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</si>
  <si>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</si>
  <si>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</si>
  <si>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</si>
  <si>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</si>
  <si>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</si>
  <si>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</si>
  <si>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</si>
  <si>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</si>
  <si>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</si>
  <si>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</si>
  <si>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</si>
  <si>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</si>
  <si>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</si>
  <si>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</si>
  <si>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</si>
  <si>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</si>
  <si>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</si>
  <si>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</si>
  <si>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</si>
  <si>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</si>
  <si>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</si>
  <si>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</si>
  <si>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</si>
  <si>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</si>
  <si>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</si>
  <si>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</si>
  <si>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</si>
  <si>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</si>
  <si>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</si>
  <si>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</si>
  <si>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</si>
  <si>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</si>
  <si>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</si>
  <si>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</si>
  <si>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</si>
  <si>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</si>
  <si>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</si>
  <si>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</si>
  <si>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</si>
  <si>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</si>
  <si>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</si>
  <si>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</si>
  <si>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</si>
  <si>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</si>
  <si>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</si>
  <si>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</si>
  <si>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</si>
  <si>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</si>
  <si>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</si>
  <si>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</si>
  <si>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</si>
  <si>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</si>
  <si>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</si>
  <si>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</si>
  <si>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</si>
  <si>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</si>
  <si>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</si>
  <si>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</si>
  <si>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</si>
  <si>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</si>
  <si>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</si>
  <si>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</si>
  <si>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</si>
  <si>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</si>
  <si>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</si>
  <si>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</si>
  <si>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</si>
  <si>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</si>
  <si>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</si>
  <si>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</si>
  <si>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</si>
  <si>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</si>
  <si>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</si>
  <si>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</si>
  <si>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</si>
  <si>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</si>
  <si>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</si>
  <si>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</si>
  <si>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</si>
  <si>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</si>
  <si>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</si>
  <si>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</si>
  <si>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</si>
  <si>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</si>
  <si>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</si>
  <si>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</si>
  <si>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</si>
  <si>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</si>
  <si>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</si>
  <si>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</si>
  <si>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</si>
  <si>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</si>
  <si>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</si>
  <si>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</si>
  <si>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</si>
  <si>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</si>
  <si>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</si>
  <si>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</si>
  <si>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</si>
  <si>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</si>
  <si>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</si>
  <si>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</si>
  <si>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</si>
  <si>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</si>
  <si>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</si>
  <si>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</si>
  <si>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</si>
  <si>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</si>
  <si>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</si>
  <si>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Almalika Store</t>
  </si>
  <si>
    <t xml:space="preserve">Address: Makhan Singh </t>
  </si>
  <si>
    <t>Asif Store</t>
  </si>
  <si>
    <t>Ali Store</t>
  </si>
  <si>
    <t>Usman Store</t>
  </si>
  <si>
    <t>AJ Store</t>
  </si>
  <si>
    <t>Ch Store</t>
  </si>
  <si>
    <t>Chand Store</t>
  </si>
  <si>
    <t xml:space="preserve">4 Brothers </t>
  </si>
  <si>
    <t xml:space="preserve">Address: Boura chowk </t>
  </si>
  <si>
    <t>Farma Trade</t>
  </si>
  <si>
    <t xml:space="preserve">Address: Ghari Shahu </t>
  </si>
  <si>
    <t xml:space="preserve">Sohail Sun </t>
  </si>
  <si>
    <t>Sajan Store</t>
  </si>
  <si>
    <t xml:space="preserve">Address: Kali Chowk </t>
  </si>
  <si>
    <t>Asgher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</si>
</sst>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Almalika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Asif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Ali Store</v>
      </c>
      <c r="T5" s="301">
        <f>+'3'!P35</f>
        <v>333.83558269830507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Usman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22</v>
      </c>
      <c r="I7" s="235">
        <f>(G7*D7)*F7+H7*F7</f>
        <v>1154.175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92.334000000000003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40.396124999999998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1021.4448749999999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218.13559322033888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6.1979023411016945</v>
      </c>
      <c r="P7" s="310">
        <f>M7+N7+O7</f>
        <v>1245.7783705614406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AJ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Ch Store</v>
      </c>
      <c r="T8" s="301">
        <f>+'6'!P35</f>
        <v>491.7786870413135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Chand Store</v>
      </c>
      <c r="T9" s="301">
        <f>+'7'!P35</f>
        <v>491.7786870413135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</v>
      </c>
      <c r="I10" s="236">
        <f t="shared" si="0"/>
        <v>1888.64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151.09120000000001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66.102400000000003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1671.4464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356.94915254237287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10.141977762711864</v>
      </c>
      <c r="P10" s="311">
        <f t="shared" si="2"/>
        <v>2038.5375303050848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4 Brothers </v>
      </c>
      <c r="T10" s="301">
        <f>+'8'!P35</f>
        <v>2551.6631666250005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</v>
      </c>
      <c r="I11" s="236">
        <f t="shared" si="0"/>
        <v>1525.44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122.0352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53.390400000000007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1350.0144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288.30508474576271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8.1915974237288136</v>
      </c>
      <c r="P11" s="311">
        <f t="shared" si="2"/>
        <v>1646.5110821694916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Farma Trade</v>
      </c>
      <c r="T11" s="301">
        <f>+'9'!P35</f>
        <v>4181.6213762796615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</v>
      </c>
      <c r="I12" s="236">
        <f t="shared" si="0"/>
        <v>1525.44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122.0352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53.390400000000007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1350.0144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288.30508474576271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8.1915974237288136</v>
      </c>
      <c r="P12" s="311">
        <f t="shared" si="2"/>
        <v>1646.5110821694916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Sohail Sun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48</v>
      </c>
      <c r="I13" s="236">
        <f t="shared" si="0"/>
        <v>1883.0400000000002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94.152000000000029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65.906400000000019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96.035039999999995</v>
      </c>
      <c r="M13" s="230">
        <f t="shared" si="1"/>
        <v>1626.9465600000001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366.10169491525403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9.9652412745762717</v>
      </c>
      <c r="P13" s="311">
        <f t="shared" si="2"/>
        <v>2003.0134961898304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Sajan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Asif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Asgher Store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</v>
      </c>
      <c r="H16" s="113">
        <f t="shared" ref="H16:M16" si="3">SUM(H7:H15)</f>
        <v>160</v>
      </c>
      <c r="I16" s="114">
        <f t="shared" si="3"/>
        <v>9130.9100000000017</v>
      </c>
      <c r="J16" s="274">
        <f>SUM(J7:J15)</f>
        <v>673.98160000000007</v>
      </c>
      <c r="K16" s="275">
        <f t="shared" si="3"/>
        <v>319.58185000000003</v>
      </c>
      <c r="L16" s="276">
        <f t="shared" si="3"/>
        <v>96.035039999999995</v>
      </c>
      <c r="M16" s="232">
        <f t="shared" si="3"/>
        <v>8041.3115100000005</v>
      </c>
      <c r="N16" s="233">
        <f>SUM(N7:N15)</f>
        <v>1735.9322033898302</v>
      </c>
      <c r="O16" s="101">
        <f>SUM(O7:O15)</f>
        <v>48.886218566949154</v>
      </c>
      <c r="P16" s="113">
        <f>SUM(P7:P15)</f>
        <v>9826.1299319567806</v>
      </c>
      <c r="Q16" s="128">
        <f>SUM(Q7:Q15)</f>
        <v>80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9130.9100000000017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673.98160000000007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415.61689000000001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8041.3115100000005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1735.9322033898302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9777.2437133898311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48.886218566949154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9826.1299319567806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9826.1299319567806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</v>
      </c>
      <c r="I25" s="114">
        <f t="shared" si="7"/>
        <v>313.84000000000003</v>
      </c>
      <c r="J25" s="274">
        <f>SUM(J16:J24)</f>
        <v>15.692000000000002</v>
      </c>
      <c r="K25" s="275">
        <f t="shared" si="7"/>
        <v>10.984400000000003</v>
      </c>
      <c r="L25" s="276">
        <f t="shared" si="7"/>
        <v>16.005839999999999</v>
      </c>
      <c r="M25" s="232">
        <f t="shared" si="7"/>
        <v>271.15776000000005</v>
      </c>
      <c r="N25" s="233">
        <f>SUM(N16:N24)</f>
        <v>61.016949152542338</v>
      </c>
      <c r="O25" s="101">
        <f>SUM(O16:O24)</f>
        <v>1.660873545762712</v>
      </c>
      <c r="P25" s="113">
        <f>SUM(P16:P24)</f>
        <v>333.83558269830507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313.84000000000003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15.692000000000002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26.99024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271.15776000000005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61.016949152542338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332.17470915254239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1.660873545762712</v>
      </c>
    </row>
    <row r="35" spans="2:16" ht="15.75" customHeight="1" thickBot="1" x14ac:dyDescent="0.4">
      <c r="N35" s="344" t="s">
        <v>88</v>
      </c>
      <c r="O35" s="345"/>
      <c r="P35" s="297">
        <f>+P33+P34</f>
        <v>333.83558269830507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458.46250000000003</v>
      </c>
      <c r="J25" s="274">
        <f>SUM(J16:J24)</f>
        <v>30.792500000000004</v>
      </c>
      <c r="K25" s="275">
        <f t="shared" si="7"/>
        <v>16.046187500000002</v>
      </c>
      <c r="L25" s="276">
        <f t="shared" si="7"/>
        <v>10.00365</v>
      </c>
      <c r="M25" s="232">
        <f t="shared" si="7"/>
        <v>401.62016250000005</v>
      </c>
      <c r="N25" s="233">
        <f>SUM(N16:N24)</f>
        <v>87.711864406779625</v>
      </c>
      <c r="O25" s="101">
        <f>SUM(O16:O24)</f>
        <v>2.4466601345338983</v>
      </c>
      <c r="P25" s="113">
        <f>SUM(P16:P24)</f>
        <v>491.77868704131356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458.46250000000003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30.792500000000004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26.049837500000002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401.62016249999999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87.711864406779625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489.33202690677962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2.4466601345338983</v>
      </c>
    </row>
    <row r="35" spans="2:16" ht="15.75" customHeight="1" thickBot="1" x14ac:dyDescent="0.4">
      <c r="N35" s="344" t="s">
        <v>88</v>
      </c>
      <c r="O35" s="345"/>
      <c r="P35" s="297">
        <f>+P33+P34</f>
        <v>491.7786870413135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458.46250000000003</v>
      </c>
      <c r="J25" s="274">
        <f>SUM(J16:J24)</f>
        <v>30.792500000000004</v>
      </c>
      <c r="K25" s="275">
        <f t="shared" si="7"/>
        <v>16.046187500000002</v>
      </c>
      <c r="L25" s="276">
        <f t="shared" si="7"/>
        <v>10.00365</v>
      </c>
      <c r="M25" s="232">
        <f t="shared" si="7"/>
        <v>401.62016250000005</v>
      </c>
      <c r="N25" s="233">
        <f>SUM(N16:N24)</f>
        <v>87.711864406779625</v>
      </c>
      <c r="O25" s="101">
        <f>SUM(O16:O24)</f>
        <v>2.4466601345338983</v>
      </c>
      <c r="P25" s="113">
        <f>SUM(P16:P24)</f>
        <v>491.77868704131356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458.46250000000003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30.792500000000004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26.049837500000002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401.62016249999999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87.711864406779625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489.33202690677962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2.4466601345338983</v>
      </c>
    </row>
    <row r="35" spans="2:16" ht="15.75" customHeight="1" thickBot="1" x14ac:dyDescent="0.4">
      <c r="N35" s="344" t="s">
        <v>88</v>
      </c>
      <c r="O35" s="345"/>
      <c r="P35" s="297">
        <f>+P33+P34</f>
        <v>491.7786870413135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2369.7250000000004</v>
      </c>
      <c r="J25" s="274">
        <f>SUM(J16:J24)</f>
        <v>177.80900000000003</v>
      </c>
      <c r="K25" s="275">
        <f t="shared" si="7"/>
        <v>82.940375000000017</v>
      </c>
      <c r="L25" s="276">
        <f t="shared" si="7"/>
        <v>20.007300000000001</v>
      </c>
      <c r="M25" s="232">
        <f t="shared" si="7"/>
        <v>2088.9683250000003</v>
      </c>
      <c r="N25" s="233">
        <f>SUM(N16:N24)</f>
        <v>449.99999999999989</v>
      </c>
      <c r="O25" s="101">
        <f>SUM(O16:O24)</f>
        <v>12.694841625</v>
      </c>
      <c r="P25" s="113">
        <f>SUM(P16:P24)</f>
        <v>2551.663166625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2369.7250000000004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177.80900000000003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102.94767500000002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2088.9683250000003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449.99999999999989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2538.9683250000003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12.694841625000002</v>
      </c>
    </row>
    <row r="35" spans="2:16" ht="15.75" customHeight="1" thickBot="1" x14ac:dyDescent="0.4">
      <c r="N35" s="344" t="s">
        <v>88</v>
      </c>
      <c r="O35" s="345"/>
      <c r="P35" s="297">
        <f>+P33+P34</f>
        <v>2551.6631666250005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60</v>
      </c>
      <c r="I25" s="114">
        <f t="shared" si="7"/>
        <v>3874.1400000000003</v>
      </c>
      <c r="J25" s="274">
        <f>SUM(J16:J24)</f>
        <v>309.93119999999999</v>
      </c>
      <c r="K25" s="275">
        <f t="shared" si="7"/>
        <v>135.59490000000002</v>
      </c>
      <c r="L25" s="276">
        <f t="shared" si="7"/>
        <v>0</v>
      </c>
      <c r="M25" s="232">
        <f t="shared" si="7"/>
        <v>3428.6138999999998</v>
      </c>
      <c r="N25" s="233">
        <f>SUM(N16:N24)</f>
        <v>732.20338983050851</v>
      </c>
      <c r="O25" s="101">
        <f>SUM(O16:O24)</f>
        <v>20.804086449152543</v>
      </c>
      <c r="P25" s="113">
        <f>SUM(P16:P24)</f>
        <v>4181.6213762796606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3874.1400000000003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309.93119999999999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135.59490000000002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3428.6139000000003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732.20338983050851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4160.8172898305093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20.804086449152546</v>
      </c>
    </row>
    <row r="35" spans="2:16" ht="15.75" customHeight="1" thickBot="1" x14ac:dyDescent="0.4">
      <c r="N35" s="344" t="s">
        <v>88</v>
      </c>
      <c r="O35" s="345"/>
      <c r="P35" s="297">
        <f>+P33+P34</f>
        <v>4181.6213762796615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6" workbookViewId="0">
      <selection activeCell="H22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2026-09-07T11:12:59Z</dcterms:modified>
</cp:coreProperties>
</file>