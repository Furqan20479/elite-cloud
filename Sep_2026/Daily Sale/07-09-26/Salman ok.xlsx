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71BCCA3-23A7-4E00-BBDD-32775C77DFD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C11" i="72" s="1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5" l="1"/>
  <c r="N24" i="70"/>
  <c r="N4" i="64"/>
  <c r="N5" i="64" s="1"/>
  <c r="N4" i="63"/>
  <c r="N5" i="63" s="1"/>
  <c r="N4" i="70"/>
  <c r="N5" i="70" s="1"/>
  <c r="N24" i="68"/>
  <c r="N4" i="58"/>
  <c r="N4" i="68"/>
  <c r="N5" i="68" s="1"/>
  <c r="N5" i="11"/>
  <c r="N4" i="50"/>
  <c r="N4" i="55"/>
  <c r="N4" i="46"/>
  <c r="N5" i="46" s="1"/>
  <c r="N4" i="69"/>
  <c r="N5" i="69" s="1"/>
  <c r="N4" i="65"/>
  <c r="N5" i="65" s="1"/>
  <c r="N24" i="66"/>
  <c r="N4" i="59"/>
  <c r="N5" i="59" s="1"/>
  <c r="N4" i="61"/>
  <c r="N5" i="61" s="1"/>
  <c r="N4" i="60"/>
  <c r="N4" i="51"/>
  <c r="N5" i="51" s="1"/>
  <c r="N4" i="57"/>
  <c r="N5" i="57" s="1"/>
  <c r="N4" i="52"/>
  <c r="N4" i="67"/>
  <c r="N5" i="67" s="1"/>
  <c r="N4" i="53"/>
  <c r="N4" i="44"/>
  <c r="N5" i="44" s="1"/>
  <c r="N4" i="72"/>
  <c r="N5" i="72" s="1"/>
  <c r="N4" i="71"/>
  <c r="N5" i="71" s="1"/>
  <c r="N4" i="54"/>
  <c r="N5" i="54" s="1"/>
  <c r="N4" i="66"/>
  <c r="N5" i="66" s="1"/>
  <c r="N4" i="49"/>
  <c r="N4" i="43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6" l="1"/>
  <c r="N16" i="44"/>
  <c r="N24" i="46"/>
  <c r="N24" i="48"/>
  <c r="N16" i="50"/>
  <c r="N16" i="59"/>
  <c r="N16" i="63"/>
  <c r="N16" i="48"/>
  <c r="N16" i="53"/>
  <c r="N24" i="50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N40" i="41"/>
  <c r="M44" i="41"/>
  <c r="N46" i="41"/>
  <c r="M49" i="41"/>
  <c r="N50" i="41"/>
  <c r="O50" i="41" s="1"/>
  <c r="P50" i="41" s="1"/>
  <c r="N10" i="41"/>
  <c r="O10" i="41" s="1"/>
  <c r="P10" i="41" s="1"/>
  <c r="N23" i="41"/>
  <c r="N28" i="41"/>
  <c r="N47" i="4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4" i="41" l="1"/>
  <c r="P34" i="41" s="1"/>
  <c r="O49" i="41"/>
  <c r="P49" i="41" s="1"/>
  <c r="O5" i="41"/>
  <c r="P5" i="41" s="1"/>
  <c r="O35" i="41"/>
  <c r="P35" i="41" s="1"/>
  <c r="O47" i="41"/>
  <c r="P47" i="41" s="1"/>
  <c r="O39" i="41"/>
  <c r="P39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D22" i="11"/>
  <c r="N22" i="11" s="1"/>
  <c r="N13" i="62" s="1"/>
  <c r="D21" i="11"/>
  <c r="D20" i="11"/>
  <c r="D19" i="11"/>
  <c r="N19" i="11" s="1"/>
  <c r="N10" i="62" s="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3" i="11" l="1"/>
  <c r="N14" i="62" s="1"/>
  <c r="N18" i="11"/>
  <c r="N9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M24" i="66" s="1"/>
  <c r="O24" i="66" s="1"/>
  <c r="P24" i="66" s="1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 s="1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0" l="1"/>
  <c r="J15" i="62"/>
  <c r="L17" i="16"/>
  <c r="M17" i="56"/>
  <c r="O17" i="56" s="1"/>
  <c r="P17" i="56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1" i="47"/>
  <c r="O21" i="47" s="1"/>
  <c r="P21" i="47" s="1"/>
  <c r="M16" i="64"/>
  <c r="O16" i="64" s="1"/>
  <c r="P16" i="64" s="1"/>
  <c r="M20" i="61"/>
  <c r="O20" i="61" s="1"/>
  <c r="P20" i="61" s="1"/>
  <c r="R20" i="61" s="1"/>
  <c r="M20" i="48"/>
  <c r="O20" i="48" s="1"/>
  <c r="P20" i="48" s="1"/>
  <c r="R20" i="48" s="1"/>
  <c r="M21" i="43"/>
  <c r="O21" i="43" s="1"/>
  <c r="P21" i="43" s="1"/>
  <c r="M23" i="58"/>
  <c r="O23" i="58" s="1"/>
  <c r="P23" i="58" s="1"/>
  <c r="M16" i="43"/>
  <c r="M23" i="52"/>
  <c r="O23" i="52" s="1"/>
  <c r="P23" i="52" s="1"/>
  <c r="M16" i="52"/>
  <c r="M20" i="43"/>
  <c r="O20" i="43" s="1"/>
  <c r="P20" i="43" s="1"/>
  <c r="R20" i="43" s="1"/>
  <c r="M24" i="65"/>
  <c r="O24" i="65" s="1"/>
  <c r="P24" i="65" s="1"/>
  <c r="M16" i="72"/>
  <c r="M20" i="57"/>
  <c r="O20" i="57" s="1"/>
  <c r="P20" i="57" s="1"/>
  <c r="R20" i="57" s="1"/>
  <c r="M24" i="72"/>
  <c r="O24" i="72" s="1"/>
  <c r="P24" i="72" s="1"/>
  <c r="M24" i="43"/>
  <c r="O24" i="43" s="1"/>
  <c r="P24" i="43" s="1"/>
  <c r="M17" i="60"/>
  <c r="O17" i="60" s="1"/>
  <c r="P17" i="60" s="1"/>
  <c r="M23" i="64"/>
  <c r="M21" i="68"/>
  <c r="O21" i="68" s="1"/>
  <c r="P21" i="68" s="1"/>
  <c r="M22" i="64"/>
  <c r="O22" i="64" s="1"/>
  <c r="P22" i="64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1" i="69"/>
  <c r="O21" i="69" s="1"/>
  <c r="P21" i="69" s="1"/>
  <c r="M22" i="70"/>
  <c r="M20" i="50"/>
  <c r="O20" i="50" s="1"/>
  <c r="P20" i="50" s="1"/>
  <c r="R20" i="50" s="1"/>
  <c r="J7" i="62"/>
  <c r="J25" i="61"/>
  <c r="P29" i="61" s="1"/>
  <c r="M24" i="45"/>
  <c r="O24" i="45" s="1"/>
  <c r="P24" i="45" s="1"/>
  <c r="M17" i="61"/>
  <c r="O17" i="61" s="1"/>
  <c r="P17" i="61" s="1"/>
  <c r="M16" i="48"/>
  <c r="O16" i="48" s="1"/>
  <c r="P16" i="48" s="1"/>
  <c r="M20" i="71"/>
  <c r="O20" i="71" s="1"/>
  <c r="P20" i="71" s="1"/>
  <c r="R20" i="71" s="1"/>
  <c r="M24" i="53"/>
  <c r="O24" i="53" s="1"/>
  <c r="P24" i="53" s="1"/>
  <c r="M16" i="60"/>
  <c r="O16" i="60" s="1"/>
  <c r="P16" i="60" s="1"/>
  <c r="M16" i="58"/>
  <c r="O16" i="58" s="1"/>
  <c r="P16" i="58" s="1"/>
  <c r="M16" i="59"/>
  <c r="M21" i="51"/>
  <c r="O21" i="51" s="1"/>
  <c r="P21" i="51" s="1"/>
  <c r="M23" i="72"/>
  <c r="O23" i="72" s="1"/>
  <c r="P23" i="72" s="1"/>
  <c r="M24" i="71"/>
  <c r="O24" i="71" s="1"/>
  <c r="P24" i="71" s="1"/>
  <c r="M23" i="59"/>
  <c r="M16" i="66"/>
  <c r="M16" i="44"/>
  <c r="M24" i="44"/>
  <c r="O24" i="44" s="1"/>
  <c r="P24" i="44" s="1"/>
  <c r="M24" i="58"/>
  <c r="M23" i="54"/>
  <c r="O23" i="54" s="1"/>
  <c r="P23" i="54" s="1"/>
  <c r="M18" i="67"/>
  <c r="O18" i="67" s="1"/>
  <c r="P18" i="67" s="1"/>
  <c r="K15" i="62"/>
  <c r="K12" i="62"/>
  <c r="M17" i="44"/>
  <c r="O17" i="44" s="1"/>
  <c r="P17" i="44" s="1"/>
  <c r="M22" i="67"/>
  <c r="O22" i="67" s="1"/>
  <c r="P22" i="67" s="1"/>
  <c r="M24" i="50"/>
  <c r="O24" i="50" s="1"/>
  <c r="P24" i="50" s="1"/>
  <c r="M24" i="48"/>
  <c r="O24" i="48" s="1"/>
  <c r="P24" i="48" s="1"/>
  <c r="M22" i="51"/>
  <c r="O22" i="51" s="1"/>
  <c r="P22" i="51" s="1"/>
  <c r="M18" i="48"/>
  <c r="M23" i="48"/>
  <c r="P23" i="48" s="1"/>
  <c r="M17" i="72"/>
  <c r="O17" i="72" s="1"/>
  <c r="P17" i="72" s="1"/>
  <c r="M22" i="43"/>
  <c r="M23" i="56"/>
  <c r="M16" i="65"/>
  <c r="O16" i="65" s="1"/>
  <c r="M22" i="63"/>
  <c r="O22" i="63" s="1"/>
  <c r="P22" i="63" s="1"/>
  <c r="M24" i="47"/>
  <c r="O24" i="47" s="1"/>
  <c r="P24" i="47" s="1"/>
  <c r="M24" i="46"/>
  <c r="O24" i="46" s="1"/>
  <c r="P24" i="46" s="1"/>
  <c r="M23" i="44"/>
  <c r="O23" i="44" s="1"/>
  <c r="P23" i="44" s="1"/>
  <c r="M20" i="70"/>
  <c r="O20" i="70" s="1"/>
  <c r="P20" i="70" s="1"/>
  <c r="R20" i="70" s="1"/>
  <c r="M23" i="65"/>
  <c r="M23" i="66"/>
  <c r="O23" i="66" s="1"/>
  <c r="P23" i="66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3" i="59"/>
  <c r="P23" i="59"/>
  <c r="O23" i="69"/>
  <c r="P23" i="69" s="1"/>
  <c r="O16" i="44"/>
  <c r="O23" i="60"/>
  <c r="P23" i="60" s="1"/>
  <c r="O16" i="55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P23" i="56"/>
  <c r="M15" i="62"/>
  <c r="M12" i="62"/>
  <c r="M24" i="16"/>
  <c r="N24" i="16" s="1"/>
  <c r="O22" i="16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15" i="62"/>
  <c r="P15" i="62" s="1"/>
  <c r="P12" i="62"/>
  <c r="P24" i="55"/>
  <c r="P25" i="55" s="1"/>
  <c r="P16" i="53"/>
  <c r="P25" i="53" s="1"/>
  <c r="O25" i="52"/>
  <c r="O25" i="55"/>
  <c r="O25" i="69"/>
  <c r="O18" i="16"/>
  <c r="O19" i="16"/>
  <c r="O24" i="16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<sst xmlns="http://schemas.openxmlformats.org/spreadsheetml/2006/main" count="3948" uniqueCount="535">
  <si>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</si>
  <si>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</si>
  <si>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</si>
  <si>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</si>
  <si>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</si>
  <si>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</si>
  <si>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</si>
  <si>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</si>
  <si>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</si>
  <si>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</si>
  <si>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</si>
  <si>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</si>
  <si>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</si>
  <si>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</si>
  <si>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</si>
  <si>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</si>
  <si>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</si>
  <si>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</si>
  <si>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</si>
  <si>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</si>
  <si>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</si>
  <si>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</si>
  <si>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</si>
  <si>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</si>
  <si>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</si>
  <si>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</si>
  <si>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</si>
  <si>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</si>
  <si>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</si>
  <si>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</si>
  <si>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</si>
  <si>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</si>
  <si>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</si>
  <si>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</si>
  <si>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</si>
  <si>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</si>
  <si>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</si>
  <si>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</si>
  <si>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</si>
  <si>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</si>
  <si>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</si>
  <si>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</si>
  <si>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</si>
  <si>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</si>
  <si>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</si>
  <si>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</si>
  <si>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</si>
  <si>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</si>
  <si>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</si>
  <si>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</si>
  <si>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</si>
  <si>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</si>
  <si>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</si>
  <si>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</si>
  <si>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</si>
  <si>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</si>
  <si>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</si>
  <si>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</si>
  <si>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</si>
  <si>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</si>
  <si>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</si>
  <si>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</si>
  <si>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</si>
  <si>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</si>
  <si>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</si>
  <si>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</si>
  <si>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</si>
  <si>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</si>
  <si>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</si>
  <si>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</si>
  <si>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</si>
  <si>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</si>
  <si>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</si>
  <si>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</si>
  <si>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</si>
  <si>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</si>
  <si>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</si>
  <si>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</si>
  <si>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</si>
  <si>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</si>
  <si>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</si>
  <si>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</si>
  <si>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</si>
  <si>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</si>
  <si>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</si>
  <si>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</si>
  <si>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</si>
  <si>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</si>
  <si>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</si>
  <si>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</si>
  <si>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</si>
  <si>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</si>
  <si>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</si>
  <si>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</si>
  <si>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</si>
  <si>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</si>
  <si>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</si>
  <si>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</si>
  <si>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</si>
  <si>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</si>
  <si>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</si>
  <si>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</si>
  <si>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</si>
  <si>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</si>
  <si>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</si>
  <si>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</si>
  <si>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</si>
  <si>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</si>
  <si>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</si>
  <si>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</si>
  <si>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</si>
  <si>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</si>
  <si>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</si>
  <si>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</si>
  <si>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</si>
  <si>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</si>
  <si>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</si>
  <si>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</si>
  <si>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</si>
  <si>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</si>
  <si>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</si>
  <si>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</si>
  <si>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</si>
  <si>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</si>
  <si>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</si>
  <si>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</si>
  <si>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</si>
  <si>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</si>
  <si>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</si>
  <si>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</si>
  <si>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</si>
  <si>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</si>
  <si>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</si>
  <si>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</si>
  <si>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</si>
  <si>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</si>
  <si>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</si>
  <si>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</si>
  <si>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</si>
  <si>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</si>
  <si>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</si>
  <si>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</si>
  <si>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</si>
  <si>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</si>
  <si>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</si>
  <si>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</si>
  <si>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</si>
  <si>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</si>
  <si>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</si>
  <si>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</si>
  <si>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</si>
  <si>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</si>
  <si>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</si>
  <si>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</si>
  <si>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</si>
  <si>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</si>
  <si>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</si>
  <si>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</si>
  <si>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</si>
  <si>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</si>
  <si>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</si>
  <si>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</si>
  <si>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</si>
  <si>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</si>
  <si>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</si>
  <si>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</si>
  <si>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</si>
  <si>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</si>
  <si>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</si>
  <si>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</si>
  <si>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</si>
  <si>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</si>
  <si>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</si>
  <si>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</si>
  <si>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</si>
  <si>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</si>
  <si>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</si>
  <si>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</si>
  <si>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</si>
  <si>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</si>
  <si>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</si>
  <si>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</si>
  <si>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</si>
  <si>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</si>
  <si>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</si>
  <si>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</si>
  <si>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</si>
  <si>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</si>
  <si>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</si>
  <si>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</si>
  <si>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</si>
  <si>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</si>
  <si>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</si>
  <si>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</si>
  <si>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</si>
  <si>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</si>
  <si>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</si>
  <si>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</si>
  <si>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</si>
  <si>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</si>
  <si>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</si>
  <si>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</si>
  <si>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</si>
  <si>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</si>
  <si>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</si>
  <si>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</si>
  <si>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</si>
  <si>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</si>
  <si>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</si>
  <si>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</si>
  <si>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</si>
  <si>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</si>
  <si>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</si>
  <si>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</si>
  <si>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</si>
  <si>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</si>
  <si>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</si>
  <si>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</si>
  <si>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</si>
  <si>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</si>
  <si>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</si>
  <si>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</si>
  <si>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</si>
  <si>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</si>
  <si>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</si>
  <si>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</si>
  <si>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</si>
  <si>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</si>
  <si>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</si>
  <si>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</si>
  <si>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</si>
  <si>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</si>
  <si>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</si>
  <si>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</si>
  <si>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</si>
  <si>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</si>
  <si>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</si>
  <si>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</si>
  <si>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</si>
  <si>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</si>
  <si>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</si>
  <si>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</si>
  <si>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</si>
  <si>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</si>
  <si>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</si>
  <si>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</si>
  <si>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</si>
  <si>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</si>
  <si>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</si>
  <si>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</si>
  <si>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</si>
  <si>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</si>
  <si>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</si>
  <si>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</si>
  <si>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</si>
  <si>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</si>
  <si>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</si>
  <si>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</si>
  <si>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</si>
  <si>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</si>
  <si>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</si>
  <si>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</si>
  <si>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</si>
  <si>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</si>
  <si>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</si>
  <si>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</si>
  <si>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</si>
  <si>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</si>
  <si>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</si>
  <si>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</si>
  <si>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</si>
  <si>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</si>
  <si>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</si>
  <si>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</si>
  <si>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</si>
  <si>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</si>
  <si>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</si>
  <si>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</si>
  <si>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</si>
  <si>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</si>
  <si>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</si>
  <si>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</si>
  <si>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</si>
  <si>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</si>
  <si>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</si>
  <si>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</si>
  <si>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</si>
  <si>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</si>
  <si>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</si>
  <si>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</si>
  <si>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</si>
  <si>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</si>
  <si>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</si>
  <si>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</si>
  <si>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</si>
  <si>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</si>
  <si>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</si>
  <si>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</si>
  <si>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</si>
  <si>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</si>
  <si>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</si>
  <si>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</si>
  <si>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</si>
  <si>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</si>
  <si>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</si>
  <si>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</si>
  <si>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</si>
  <si>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</si>
  <si>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</si>
  <si>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</si>
  <si>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</si>
  <si>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</si>
  <si>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</si>
  <si>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</si>
  <si>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</si>
  <si>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</si>
  <si>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</si>
  <si>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</si>
  <si>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</si>
  <si>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</si>
  <si>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</si>
  <si>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</si>
  <si>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</si>
  <si>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</si>
  <si>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</si>
  <si>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</si>
  <si>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</si>
  <si>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</si>
  <si>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</si>
  <si>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</si>
  <si>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</si>
  <si>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</si>
  <si>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</si>
  <si>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</si>
  <si>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</si>
  <si>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</si>
  <si>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</si>
  <si>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</si>
  <si>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</si>
  <si>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</si>
  <si>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</si>
  <si>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</si>
  <si>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</si>
  <si>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</si>
  <si>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</si>
  <si>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</si>
  <si>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</si>
  <si>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</si>
  <si>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</si>
  <si>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</si>
  <si>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</si>
  <si>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</si>
  <si>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</si>
  <si>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</si>
  <si>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</si>
  <si>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</si>
  <si>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</si>
  <si>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</si>
  <si>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</si>
  <si>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</si>
  <si>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</si>
  <si>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</si>
  <si>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</si>
  <si>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</si>
  <si>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</si>
  <si>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</si>
  <si>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</si>
  <si>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</si>
  <si>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</si>
  <si>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</si>
  <si>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</si>
  <si>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</si>
  <si>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</si>
  <si>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</si>
  <si>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</si>
  <si>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</si>
  <si>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</si>
  <si>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</si>
  <si>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</si>
  <si>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</si>
  <si>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</si>
  <si>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</si>
  <si>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</si>
  <si>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</si>
  <si>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</si>
  <si>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</si>
  <si>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</si>
  <si>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</si>
  <si>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</si>
  <si>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</si>
  <si>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</si>
  <si>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</si>
  <si>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</si>
  <si>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</si>
  <si>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</si>
  <si>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</si>
  <si>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</si>
  <si>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</si>
  <si>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</si>
  <si>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</si>
  <si>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</si>
  <si>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</si>
  <si>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</si>
  <si>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</si>
  <si>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</si>
  <si>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</si>
  <si>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</si>
  <si>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</si>
  <si>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</si>
  <si>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</si>
  <si>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</si>
  <si>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</si>
  <si>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</si>
  <si>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</si>
  <si>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</si>
  <si>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</si>
  <si>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</si>
  <si>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</si>
  <si>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</si>
  <si>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</si>
  <si>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</si>
  <si>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</si>
  <si>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</si>
  <si>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</si>
  <si>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</si>
  <si>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</si>
  <si>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</si>
  <si>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</si>
  <si>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</si>
  <si>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</si>
  <si>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</si>
  <si>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</si>
  <si>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</si>
  <si>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</si>
  <si>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</si>
  <si>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</si>
  <si>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</si>
  <si>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</si>
  <si>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</si>
  <si>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</si>
  <si>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</si>
  <si>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</si>
  <si>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</si>
  <si>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</si>
  <si>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</si>
  <si>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</si>
  <si>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</si>
  <si>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</si>
  <si>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</si>
  <si>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</si>
  <si>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</si>
  <si>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</si>
  <si>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</si>
  <si>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</si>
  <si>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</si>
  <si>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</si>
  <si>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</si>
  <si>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</si>
  <si>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</si>
  <si>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</si>
  <si>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</si>
  <si>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</si>
  <si>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</si>
  <si>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</si>
  <si>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</si>
  <si>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</si>
  <si>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</si>
  <si>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</si>
  <si>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</si>
  <si>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</si>
  <si>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</si>
  <si>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</si>
  <si>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</si>
  <si>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</si>
  <si>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</si>
  <si>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</si>
  <si>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</si>
  <si>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</si>
  <si>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</si>
  <si>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</si>
  <si>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</si>
  <si>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</si>
  <si>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</si>
  <si>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</si>
  <si>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</si>
  <si>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</si>
  <si>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</si>
  <si>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</si>
  <si>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</si>
  <si>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</si>
  <si>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</si>
  <si>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</si>
  <si>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</si>
  <si>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</si>
  <si>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</si>
  <si>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</si>
  <si>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</si>
  <si>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</si>
  <si>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</si>
  <si>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</si>
  <si>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</si>
  <si>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</si>
  <si>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</si>
  <si>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</si>
  <si>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</si>
  <si>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</si>
  <si>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</si>
  <si>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</si>
  <si>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</si>
  <si>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</si>
  <si>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</si>
  <si>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</si>
  <si>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</si>
  <si>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</si>
  <si>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</si>
  <si>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Alflah Bakers</t>
  </si>
  <si>
    <t>Address: Zafar Ali Road</t>
  </si>
  <si>
    <t>Qazi Store</t>
  </si>
  <si>
    <t>Tahir Store</t>
  </si>
  <si>
    <t>Imran Store</t>
  </si>
  <si>
    <t>Mashallah Store</t>
  </si>
  <si>
    <t>Lala GS</t>
  </si>
  <si>
    <t>Makkah Store</t>
  </si>
  <si>
    <t>Ayub Store</t>
  </si>
  <si>
    <t>Rameez Store</t>
  </si>
  <si>
    <t>Shah G Store</t>
  </si>
  <si>
    <t xml:space="preserve">Bismillah Mart </t>
  </si>
  <si>
    <t>Fazal Store</t>
  </si>
  <si>
    <t>Ali GS</t>
  </si>
  <si>
    <t>Bilal Store</t>
  </si>
  <si>
    <t>Munna Store</t>
  </si>
  <si>
    <t>Zeshan Store</t>
  </si>
  <si>
    <t>Waseem Store</t>
  </si>
  <si>
    <t>Ahmad Ali Store</t>
  </si>
  <si>
    <t xml:space="preserve">Ghos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</si>
</sst>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D3" sqref="D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Alflah Bakers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Qazi Store</v>
      </c>
      <c r="T4" s="301">
        <f>+'2'!P35</f>
        <v>1132.5257914194915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Tahir Store</v>
      </c>
      <c r="T5" s="301">
        <f>+'3'!P35</f>
        <v>1132.5257914194915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Imran Store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Mashallah Store</v>
      </c>
      <c r="T7" s="301">
        <f>+'5'!P35</f>
        <v>1132.5257914194915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Lala GS</v>
      </c>
      <c r="T8" s="301">
        <f>+'6'!P35</f>
        <v>1132.5257914194915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311">
        <f t="shared" si="2"/>
        <v>6795.1547485169476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Makkah Store</v>
      </c>
      <c r="T9" s="301">
        <f>+'7'!P35</f>
        <v>1132.5257914194915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Ayub Store</v>
      </c>
      <c r="T10" s="301">
        <f>+'8'!P35</f>
        <v>1132.5257914194915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Rameez Store</v>
      </c>
      <c r="T11" s="301">
        <f>+'9'!P35</f>
        <v>1132.5257914194915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Shah G Store</v>
      </c>
      <c r="T12" s="301">
        <f>+'10'!P35</f>
        <v>1132.5257914194915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Bismillah Mart 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Fazal Store</v>
      </c>
      <c r="T14" s="301">
        <f>+'12'!P35</f>
        <v>566.26289570974575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Ali GS</v>
      </c>
      <c r="T15" s="301">
        <f>+'13'!P35</f>
        <v>834.58895674576274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8</v>
      </c>
      <c r="H16" s="113">
        <f t="shared" ref="H16:M16" si="3">SUM(H7:H15)</f>
        <v>320</v>
      </c>
      <c r="I16" s="114">
        <f t="shared" si="3"/>
        <v>16536.5</v>
      </c>
      <c r="J16" s="274">
        <f>SUM(J7:J15)</f>
        <v>1228.768</v>
      </c>
      <c r="K16" s="275">
        <f t="shared" si="3"/>
        <v>578.77750000000003</v>
      </c>
      <c r="L16" s="276">
        <f t="shared" si="3"/>
        <v>160.05840000000001</v>
      </c>
      <c r="M16" s="232">
        <f t="shared" si="3"/>
        <v>14568.896099999998</v>
      </c>
      <c r="N16" s="233">
        <f>SUM(N7:N15)</f>
        <v>3142.372881355931</v>
      </c>
      <c r="O16" s="101">
        <f>SUM(O7:O15)</f>
        <v>88.556344906779671</v>
      </c>
      <c r="P16" s="113">
        <f>SUM(P7:P15)</f>
        <v>17799.825326262711</v>
      </c>
      <c r="Q16" s="128">
        <f>SUM(Q7:Q15)</f>
        <v>0</v>
      </c>
      <c r="R16" s="314">
        <v>14</v>
      </c>
      <c r="S16" s="318" t="str">
        <f>+'14'!A6:A6</f>
        <v>Bilal Store</v>
      </c>
      <c r="T16" s="301">
        <f>+'14'!P35</f>
        <v>834.58895674576274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Munna Store</v>
      </c>
      <c r="T17" s="301">
        <f>+'15'!P35</f>
        <v>417.29447837288137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Zeshan Store</v>
      </c>
      <c r="T18" s="301">
        <f>+'16'!P35</f>
        <v>417.29447837288137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16536.5</v>
      </c>
      <c r="R19" s="299">
        <v>17</v>
      </c>
      <c r="S19" s="300" t="str">
        <f>+'17'!A6:A6</f>
        <v>Waseem Store</v>
      </c>
      <c r="T19" s="301">
        <f>+'17'!P35</f>
        <v>417.29447837288137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1228.768</v>
      </c>
      <c r="R20" s="299">
        <v>18</v>
      </c>
      <c r="S20" s="300" t="str">
        <f>+'18'!A6:A6</f>
        <v>Ahmad Ali Store</v>
      </c>
      <c r="T20" s="301">
        <f>+'18'!P35</f>
        <v>417.29447837288137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738.83590000000004</v>
      </c>
      <c r="R21" s="299">
        <v>19</v>
      </c>
      <c r="S21" s="300" t="str">
        <f>+'19'!A6:A6</f>
        <v xml:space="preserve">Ghos Bakers 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14568.8961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3142.372881355931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17711.26898135593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88.556344906779671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17799.825326262711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17799.825326262715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'1'!N4:P5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1049.25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83.94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36.723750000000003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928.58624999999995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1126.8913347457626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4" t="s">
        <v>88</v>
      </c>
      <c r="O35" s="345"/>
      <c r="P35" s="297">
        <f>+P33+P34</f>
        <v>1132.5257914194915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784.60000000000014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39.230000000000011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67.475600000000014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677.89440000000013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830.43677288135598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4" t="s">
        <v>88</v>
      </c>
      <c r="O35" s="345"/>
      <c r="P35" s="297">
        <f>+P33+P34</f>
        <v>834.58895674576274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ht="14.5" customHeigh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784.60000000000014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39.230000000000011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67.475600000000014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677.89440000000013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830.43677288135598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4" t="s">
        <v>88</v>
      </c>
      <c r="O35" s="345"/>
      <c r="P35" s="297">
        <f>+P33+P34</f>
        <v>834.58895674576274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2026-09-07T11:23:50Z</dcterms:modified>
</cp:coreProperties>
</file>