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7548348-9A31-41AF-BF39-EBBB0A9E47D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8"/>
  <c r="N5" i="68" s="1"/>
  <c r="N4" i="45"/>
  <c r="N4" i="61"/>
  <c r="N4" i="70"/>
  <c r="N5" i="70" s="1"/>
  <c r="N4" i="58"/>
  <c r="N4" i="63"/>
  <c r="N4" i="59"/>
  <c r="N4" i="64"/>
  <c r="N5" i="64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5" i="11"/>
  <c r="N4" i="51"/>
  <c r="N4" i="50"/>
  <c r="N4" i="57"/>
  <c r="N5" i="57" s="1"/>
  <c r="N4" i="55"/>
  <c r="N4" i="52"/>
  <c r="N5" i="52" s="1"/>
  <c r="N4" i="67"/>
  <c r="N5" i="67" s="1"/>
  <c r="N4" i="46"/>
  <c r="N5" i="46" s="1"/>
  <c r="N4" i="53"/>
  <c r="N4" i="69"/>
  <c r="N5" i="69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7"/>
  <c r="O21" i="47" s="1"/>
  <c r="P21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<sst xmlns="http://schemas.openxmlformats.org/spreadsheetml/2006/main" count="3948" uniqueCount="532">
  <si>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</si>
  <si>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</si>
  <si>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</si>
  <si>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</si>
  <si>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</si>
  <si>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</si>
  <si>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</si>
  <si>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</si>
  <si>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</si>
  <si>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</si>
  <si>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</si>
  <si>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</si>
  <si>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</si>
  <si>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</si>
  <si>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</si>
  <si>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</si>
  <si>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</si>
  <si>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</si>
  <si>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</si>
  <si>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</si>
  <si>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</si>
  <si>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</si>
  <si>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</si>
  <si>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</si>
  <si>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</si>
  <si>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</si>
  <si>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</si>
  <si>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</si>
  <si>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</si>
  <si>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</si>
  <si>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</si>
  <si>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</si>
  <si>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</si>
  <si>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</si>
  <si>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</si>
  <si>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</si>
  <si>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</si>
  <si>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</si>
  <si>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</si>
  <si>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</si>
  <si>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</si>
  <si>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</si>
  <si>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</si>
  <si>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</si>
  <si>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</si>
  <si>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</si>
  <si>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</si>
  <si>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</si>
  <si>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</si>
  <si>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</si>
  <si>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</si>
  <si>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</si>
  <si>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</si>
  <si>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</si>
  <si>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</si>
  <si>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</si>
  <si>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</si>
  <si>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</si>
  <si>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</si>
  <si>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</si>
  <si>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</si>
  <si>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</si>
  <si>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</si>
  <si>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</si>
  <si>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</si>
  <si>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</si>
  <si>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</si>
  <si>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</si>
  <si>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</si>
  <si>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</si>
  <si>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</si>
  <si>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</si>
  <si>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</si>
  <si>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</si>
  <si>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</si>
  <si>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</si>
  <si>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</si>
  <si>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</si>
  <si>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</si>
  <si>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</si>
  <si>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</si>
  <si>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</si>
  <si>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</si>
  <si>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</si>
  <si>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</si>
  <si>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</si>
  <si>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</si>
  <si>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</si>
  <si>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</si>
  <si>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</si>
  <si>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</si>
  <si>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</si>
  <si>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</si>
  <si>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</si>
  <si>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</si>
  <si>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</si>
  <si>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</si>
  <si>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</si>
  <si>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</si>
  <si>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</si>
  <si>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</si>
  <si>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</si>
  <si>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</si>
  <si>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</si>
  <si>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</si>
  <si>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</si>
  <si>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</si>
  <si>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</si>
  <si>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</si>
  <si>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</si>
  <si>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</si>
  <si>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</si>
  <si>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</si>
  <si>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</si>
  <si>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</si>
  <si>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</si>
  <si>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</si>
  <si>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</si>
  <si>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</si>
  <si>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</si>
  <si>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</si>
  <si>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</si>
  <si>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</si>
  <si>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</si>
  <si>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</si>
  <si>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</si>
  <si>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</si>
  <si>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</si>
  <si>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</si>
  <si>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</si>
  <si>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</si>
  <si>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</si>
  <si>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</si>
  <si>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</si>
  <si>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</si>
  <si>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</si>
  <si>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</si>
  <si>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</si>
  <si>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</si>
  <si>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</si>
  <si>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</si>
  <si>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</si>
  <si>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</si>
  <si>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</si>
  <si>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</si>
  <si>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</si>
  <si>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</si>
  <si>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</si>
  <si>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</si>
  <si>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</si>
  <si>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</si>
  <si>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</si>
  <si>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</si>
  <si>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</si>
  <si>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</si>
  <si>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</si>
  <si>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</si>
  <si>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</si>
  <si>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</si>
  <si>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</si>
  <si>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</si>
  <si>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</si>
  <si>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</si>
  <si>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</si>
  <si>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</si>
  <si>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</si>
  <si>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</si>
  <si>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</si>
  <si>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</si>
  <si>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</si>
  <si>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</si>
  <si>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</si>
  <si>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</si>
  <si>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</si>
  <si>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</si>
  <si>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</si>
  <si>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</si>
  <si>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</si>
  <si>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</si>
  <si>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</si>
  <si>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</si>
  <si>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</si>
  <si>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</si>
  <si>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</si>
  <si>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</si>
  <si>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</si>
  <si>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</si>
  <si>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</si>
  <si>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</si>
  <si>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</si>
  <si>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</si>
  <si>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</si>
  <si>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</si>
  <si>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</si>
  <si>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</si>
  <si>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</si>
  <si>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</si>
  <si>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</si>
  <si>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</si>
  <si>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</si>
  <si>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</si>
  <si>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</si>
  <si>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</si>
  <si>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</si>
  <si>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</si>
  <si>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</si>
  <si>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</si>
  <si>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</si>
  <si>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</si>
  <si>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</si>
  <si>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</si>
  <si>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</si>
  <si>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</si>
  <si>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</si>
  <si>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</si>
  <si>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</si>
  <si>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</si>
  <si>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</si>
  <si>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</si>
  <si>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</si>
  <si>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</si>
  <si>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</si>
  <si>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</si>
  <si>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</si>
  <si>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</si>
  <si>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</si>
  <si>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</si>
  <si>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</si>
  <si>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</si>
  <si>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</si>
  <si>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</si>
  <si>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</si>
  <si>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</si>
  <si>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</si>
  <si>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</si>
  <si>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</si>
  <si>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</si>
  <si>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</si>
  <si>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</si>
  <si>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</si>
  <si>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</si>
  <si>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</si>
  <si>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</si>
  <si>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</si>
  <si>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</si>
  <si>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</si>
  <si>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</si>
  <si>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</si>
  <si>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</si>
  <si>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</si>
  <si>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</si>
  <si>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</si>
  <si>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</si>
  <si>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</si>
  <si>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</si>
  <si>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</si>
  <si>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</si>
  <si>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</si>
  <si>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</si>
  <si>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</si>
  <si>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</si>
  <si>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</si>
  <si>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</si>
  <si>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</si>
  <si>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</si>
  <si>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</si>
  <si>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</si>
  <si>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</si>
  <si>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</si>
  <si>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</si>
  <si>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</si>
  <si>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</si>
  <si>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</si>
  <si>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</si>
  <si>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</si>
  <si>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</si>
  <si>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</si>
  <si>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</si>
  <si>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</si>
  <si>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</si>
  <si>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</si>
  <si>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</si>
  <si>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</si>
  <si>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</si>
  <si>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</si>
  <si>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</si>
  <si>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</si>
  <si>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</si>
  <si>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</si>
  <si>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</si>
  <si>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</si>
  <si>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</si>
  <si>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</si>
  <si>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</si>
  <si>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</si>
  <si>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</si>
  <si>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</si>
  <si>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</si>
  <si>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</si>
  <si>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</si>
  <si>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</si>
  <si>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</si>
  <si>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</si>
  <si>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</si>
  <si>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</si>
  <si>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</si>
  <si>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</si>
  <si>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</si>
  <si>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</si>
  <si>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</si>
  <si>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</si>
  <si>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</si>
  <si>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</si>
  <si>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</si>
  <si>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</si>
  <si>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</si>
  <si>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</si>
  <si>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</si>
  <si>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</si>
  <si>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</si>
  <si>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</si>
  <si>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</si>
  <si>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</si>
  <si>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</si>
  <si>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</si>
  <si>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</si>
  <si>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</si>
  <si>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</si>
  <si>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</si>
  <si>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</si>
  <si>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</si>
  <si>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</si>
  <si>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</si>
  <si>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</si>
  <si>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</si>
  <si>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</si>
  <si>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</si>
  <si>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</si>
  <si>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</si>
  <si>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</si>
  <si>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</si>
  <si>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</si>
  <si>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</si>
  <si>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</si>
  <si>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</si>
  <si>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</si>
  <si>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</si>
  <si>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</si>
  <si>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</si>
  <si>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</si>
  <si>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</si>
  <si>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</si>
  <si>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</si>
  <si>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</si>
  <si>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</si>
  <si>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</si>
  <si>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</si>
  <si>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</si>
  <si>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</si>
  <si>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</si>
  <si>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</si>
  <si>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</si>
  <si>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</si>
  <si>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</si>
  <si>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</si>
  <si>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</si>
  <si>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</si>
  <si>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</si>
  <si>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</si>
  <si>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</si>
  <si>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</si>
  <si>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</si>
  <si>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</si>
  <si>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</si>
  <si>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</si>
  <si>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</si>
  <si>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</si>
  <si>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</si>
  <si>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</si>
  <si>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</si>
  <si>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</si>
  <si>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</si>
  <si>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</si>
  <si>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</si>
  <si>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</si>
  <si>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</si>
  <si>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</si>
  <si>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</si>
  <si>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</si>
  <si>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</si>
  <si>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</si>
  <si>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</si>
  <si>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</si>
  <si>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</si>
  <si>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</si>
  <si>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</si>
  <si>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</si>
  <si>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</si>
  <si>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</si>
  <si>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</si>
  <si>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</si>
  <si>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</si>
  <si>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</si>
  <si>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</si>
  <si>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</si>
  <si>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</si>
  <si>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</si>
  <si>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</si>
  <si>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</si>
  <si>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</si>
  <si>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</si>
  <si>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</si>
  <si>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</si>
  <si>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</si>
  <si>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</si>
  <si>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</si>
  <si>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</si>
  <si>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</si>
  <si>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</si>
  <si>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</si>
  <si>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</si>
  <si>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</si>
  <si>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</si>
  <si>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</si>
  <si>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</si>
  <si>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</si>
  <si>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</si>
  <si>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</si>
  <si>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</si>
  <si>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</si>
  <si>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</si>
  <si>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</si>
  <si>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</si>
  <si>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</si>
  <si>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</si>
  <si>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</si>
  <si>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</si>
  <si>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</si>
  <si>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</si>
  <si>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</si>
  <si>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</si>
  <si>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</si>
  <si>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</si>
  <si>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</si>
  <si>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</si>
  <si>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</si>
  <si>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</si>
  <si>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</si>
  <si>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</si>
  <si>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</si>
  <si>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</si>
  <si>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</si>
  <si>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</si>
  <si>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</si>
  <si>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</si>
  <si>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</si>
  <si>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</si>
  <si>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</si>
  <si>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</si>
  <si>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</si>
  <si>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</si>
  <si>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</si>
  <si>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</si>
  <si>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</si>
  <si>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</si>
  <si>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</si>
  <si>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</si>
  <si>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</si>
  <si>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</si>
  <si>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</si>
  <si>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</si>
  <si>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</si>
  <si>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</si>
  <si>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</si>
  <si>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</si>
  <si>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</si>
  <si>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</si>
  <si>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</si>
  <si>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</si>
  <si>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</si>
  <si>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</si>
  <si>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</si>
  <si>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</si>
  <si>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</si>
  <si>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</si>
  <si>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</si>
  <si>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</si>
  <si>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</si>
  <si>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</si>
  <si>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</si>
  <si>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</si>
  <si>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</si>
  <si>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</si>
  <si>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</si>
  <si>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</si>
  <si>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</si>
  <si>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</si>
  <si>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</si>
  <si>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</si>
  <si>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</si>
  <si>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</si>
  <si>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</si>
  <si>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</si>
  <si>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</si>
  <si>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</si>
  <si>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</si>
  <si>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</si>
  <si>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</si>
  <si>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</si>
  <si>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</si>
  <si>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</si>
  <si>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</si>
  <si>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</si>
  <si>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</si>
  <si>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</si>
  <si>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>Address: Bedian Road</t>
  </si>
  <si>
    <t>Yasen Store</t>
  </si>
  <si>
    <t>786 Store</t>
  </si>
  <si>
    <t>Saleem Store</t>
  </si>
  <si>
    <t xml:space="preserve">Mian Bakers </t>
  </si>
  <si>
    <t>Nadeem Store</t>
  </si>
  <si>
    <t>Bilal Store</t>
  </si>
  <si>
    <t>Ali Store</t>
  </si>
  <si>
    <t>Hikma Store</t>
  </si>
  <si>
    <t>Address: Phase 5</t>
  </si>
  <si>
    <t xml:space="preserve">Khalil Bakers </t>
  </si>
  <si>
    <t xml:space="preserve">Ishfaq Bakers </t>
  </si>
  <si>
    <t>Ghani Store</t>
  </si>
  <si>
    <t>Tahir Store</t>
  </si>
  <si>
    <t>Rana Store</t>
  </si>
  <si>
    <t>Sharif Store</t>
  </si>
  <si>
    <t>MS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</si>
</sst>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3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Yasen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786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Saleem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Mian Bakers 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Nadeem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Bilal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Ali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305.08799999999997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7714.3679999999995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46.809128135593234</v>
      </c>
      <c r="P10" s="311">
        <f t="shared" si="2"/>
        <v>9408.6347552542375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Hikma Store</v>
      </c>
      <c r="T10" s="301">
        <f>+'8'!P35</f>
        <v>18817.269510508475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Khalil Bakers 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Ishfaq Bakers 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Ghani Store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Tahir Store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Rana Store</v>
      </c>
      <c r="T15" s="301">
        <f>+'13'!P35</f>
        <v>784.05289627118646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9</v>
      </c>
      <c r="H16" s="113">
        <f t="shared" ref="H16:M16" si="3">SUM(H7:H15)</f>
        <v>360</v>
      </c>
      <c r="I16" s="114">
        <f t="shared" si="3"/>
        <v>25343.3</v>
      </c>
      <c r="J16" s="274">
        <f>SUM(J7:J15)</f>
        <v>2027.4639999999999</v>
      </c>
      <c r="K16" s="275">
        <f t="shared" si="3"/>
        <v>887.01549999999997</v>
      </c>
      <c r="L16" s="276">
        <f t="shared" si="3"/>
        <v>0</v>
      </c>
      <c r="M16" s="232">
        <f t="shared" si="3"/>
        <v>22428.820499999998</v>
      </c>
      <c r="N16" s="233">
        <f>SUM(N7:N15)</f>
        <v>4789.8305084745771</v>
      </c>
      <c r="O16" s="101">
        <f>SUM(O7:O15)</f>
        <v>136.0932550423729</v>
      </c>
      <c r="P16" s="113">
        <f>SUM(P7:P15)</f>
        <v>27354.74426351695</v>
      </c>
      <c r="Q16" s="128">
        <f>SUM(Q7:Q15)</f>
        <v>0</v>
      </c>
      <c r="R16" s="314">
        <v>14</v>
      </c>
      <c r="S16" s="318" t="str">
        <f>+'14'!A6:A6</f>
        <v>Sharif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25343.3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2027.4639999999999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887.01549999999997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22428.820499999998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4789.8305084745771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27218.651008474575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136.0932550423729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27354.744263516946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27354.744263516946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'1'!N4:P5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311">
        <f t="shared" si="5"/>
        <v>6272.4231701694916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156"/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1394.6880000000001</v>
      </c>
      <c r="K25" s="275">
        <f t="shared" si="7"/>
        <v>610.17600000000004</v>
      </c>
      <c r="L25" s="276">
        <f t="shared" si="7"/>
        <v>0</v>
      </c>
      <c r="M25" s="232">
        <f t="shared" si="7"/>
        <v>15428.736000000001</v>
      </c>
      <c r="N25" s="233">
        <f>SUM(N16:N24)</f>
        <v>3294.9152542372885</v>
      </c>
      <c r="O25" s="101">
        <f>SUM(O16:O24)</f>
        <v>93.618256271186453</v>
      </c>
      <c r="P25" s="113">
        <f>SUM(P16:P24)</f>
        <v>18817.269510508475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17433.599999999999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1394.6880000000001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610.17600000000004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15428.735999999999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18723.651254237288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93.618256271186439</v>
      </c>
    </row>
    <row r="35" spans="2:16" ht="15.75" customHeight="1" thickBot="1" x14ac:dyDescent="0.4">
      <c r="N35" s="373" t="s">
        <v>88</v>
      </c>
      <c r="O35" s="374"/>
      <c r="P35" s="297">
        <f>+P33+P34</f>
        <v>18817.269510508475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726.4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58.112000000000002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25.424000000000003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642.86400000000003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780.15213559322035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3" t="s">
        <v>88</v>
      </c>
      <c r="O35" s="374"/>
      <c r="P35" s="297">
        <f>+P33+P34</f>
        <v>784.05289627118646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Zeshan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2026-09-07T11:15:55Z</dcterms:modified>
</cp:coreProperties>
</file>