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BD130F9-3D8C-4C0A-B01A-185D06F8CEE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<sst xmlns="http://schemas.openxmlformats.org/spreadsheetml/2006/main" count="3948" uniqueCount="533">
  <si>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</si>
  <si>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</si>
  <si>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</si>
  <si>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</si>
  <si>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</si>
  <si>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</si>
  <si>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</si>
  <si>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</si>
  <si>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</si>
  <si>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</si>
  <si>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</si>
  <si>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</si>
  <si>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</si>
  <si>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</si>
  <si>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</si>
  <si>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</si>
  <si>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</si>
  <si>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</si>
  <si>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</si>
  <si>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</si>
  <si>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</si>
  <si>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</si>
  <si>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</si>
  <si>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</si>
  <si>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</si>
  <si>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</si>
  <si>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</si>
  <si>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</si>
  <si>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</si>
  <si>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</si>
  <si>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</si>
  <si>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</si>
  <si>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</si>
  <si>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</si>
  <si>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</si>
  <si>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</si>
  <si>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</si>
  <si>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</si>
  <si>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</si>
  <si>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</si>
  <si>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</si>
  <si>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</si>
  <si>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</si>
  <si>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</si>
  <si>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</si>
  <si>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</si>
  <si>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</si>
  <si>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</si>
  <si>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</si>
  <si>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</si>
  <si>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</si>
  <si>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</si>
  <si>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</si>
  <si>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</si>
  <si>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</si>
  <si>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</si>
  <si>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</si>
  <si>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</si>
  <si>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</si>
  <si>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</si>
  <si>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</si>
  <si>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</si>
  <si>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</si>
  <si>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</si>
  <si>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</si>
  <si>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</si>
  <si>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</si>
  <si>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</si>
  <si>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</si>
  <si>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</si>
  <si>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</si>
  <si>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</si>
  <si>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</si>
  <si>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</si>
  <si>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</si>
  <si>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</si>
  <si>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</si>
  <si>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</si>
  <si>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</si>
  <si>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</si>
  <si>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</si>
  <si>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</si>
  <si>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</si>
  <si>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</si>
  <si>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</si>
  <si>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</si>
  <si>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</si>
  <si>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</si>
  <si>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</si>
  <si>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</si>
  <si>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</si>
  <si>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</si>
  <si>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</si>
  <si>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</si>
  <si>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</si>
  <si>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</si>
  <si>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</si>
  <si>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</si>
  <si>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</si>
  <si>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</si>
  <si>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</si>
  <si>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</si>
  <si>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</si>
  <si>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</si>
  <si>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</si>
  <si>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</si>
  <si>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</si>
  <si>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</si>
  <si>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</si>
  <si>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</si>
  <si>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</si>
  <si>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</si>
  <si>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</si>
  <si>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</si>
  <si>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</si>
  <si>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</si>
  <si>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</si>
  <si>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</si>
  <si>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</si>
  <si>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</si>
  <si>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</si>
  <si>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</si>
  <si>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</si>
  <si>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</si>
  <si>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</si>
  <si>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</si>
  <si>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</si>
  <si>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</si>
  <si>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</si>
  <si>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</si>
  <si>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</si>
  <si>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</si>
  <si>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</si>
  <si>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</si>
  <si>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</si>
  <si>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</si>
  <si>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</si>
  <si>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</si>
  <si>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</si>
  <si>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</si>
  <si>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</si>
  <si>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</si>
  <si>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</si>
  <si>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</si>
  <si>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</si>
  <si>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</si>
  <si>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</si>
  <si>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</si>
  <si>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</si>
  <si>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</si>
  <si>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</si>
  <si>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</si>
  <si>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</si>
  <si>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</si>
  <si>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</si>
  <si>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</si>
  <si>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</si>
  <si>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</si>
  <si>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</si>
  <si>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</si>
  <si>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</si>
  <si>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</si>
  <si>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</si>
  <si>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</si>
  <si>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</si>
  <si>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</si>
  <si>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</si>
  <si>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</si>
  <si>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</si>
  <si>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</si>
  <si>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</si>
  <si>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</si>
  <si>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</si>
  <si>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</si>
  <si>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</si>
  <si>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</si>
  <si>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</si>
  <si>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</si>
  <si>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</si>
  <si>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</si>
  <si>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</si>
  <si>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</si>
  <si>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</si>
  <si>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</si>
  <si>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</si>
  <si>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</si>
  <si>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</si>
  <si>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</si>
  <si>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</si>
  <si>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</si>
  <si>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</si>
  <si>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</si>
  <si>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</si>
  <si>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</si>
  <si>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</si>
  <si>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</si>
  <si>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</si>
  <si>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</si>
  <si>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</si>
  <si>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</si>
  <si>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</si>
  <si>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</si>
  <si>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</si>
  <si>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</si>
  <si>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</si>
  <si>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</si>
  <si>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</si>
  <si>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</si>
  <si>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</si>
  <si>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</si>
  <si>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</si>
  <si>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</si>
  <si>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</si>
  <si>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</si>
  <si>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</si>
  <si>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</si>
  <si>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</si>
  <si>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</si>
  <si>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</si>
  <si>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</si>
  <si>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</si>
  <si>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</si>
  <si>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</si>
  <si>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</si>
  <si>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</si>
  <si>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</si>
  <si>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</si>
  <si>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</si>
  <si>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</si>
  <si>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</si>
  <si>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</si>
  <si>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</si>
  <si>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</si>
  <si>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</si>
  <si>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</si>
  <si>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</si>
  <si>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</si>
  <si>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</si>
  <si>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</si>
  <si>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</si>
  <si>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</si>
  <si>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</si>
  <si>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</si>
  <si>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</si>
  <si>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</si>
  <si>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</si>
  <si>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</si>
  <si>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</si>
  <si>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</si>
  <si>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</si>
  <si>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</si>
  <si>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</si>
  <si>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</si>
  <si>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</si>
  <si>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</si>
  <si>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</si>
  <si>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</si>
  <si>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</si>
  <si>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</si>
  <si>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</si>
  <si>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</si>
  <si>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</si>
  <si>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</si>
  <si>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</si>
  <si>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</si>
  <si>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</si>
  <si>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</si>
  <si>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</si>
  <si>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</si>
  <si>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</si>
  <si>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</si>
  <si>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</si>
  <si>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</si>
  <si>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</si>
  <si>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</si>
  <si>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</si>
  <si>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</si>
  <si>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</si>
  <si>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</si>
  <si>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</si>
  <si>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</si>
  <si>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</si>
  <si>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</si>
  <si>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</si>
  <si>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</si>
  <si>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</si>
  <si>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</si>
  <si>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</si>
  <si>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</si>
  <si>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</si>
  <si>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</si>
  <si>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</si>
  <si>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</si>
  <si>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</si>
  <si>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</si>
  <si>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</si>
  <si>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</si>
  <si>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</si>
  <si>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</si>
  <si>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</si>
  <si>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</si>
  <si>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</si>
  <si>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</si>
  <si>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</si>
  <si>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</si>
  <si>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</si>
  <si>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</si>
  <si>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</si>
  <si>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</si>
  <si>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</si>
  <si>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</si>
  <si>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</si>
  <si>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</si>
  <si>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</si>
  <si>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</si>
  <si>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</si>
  <si>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</si>
  <si>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</si>
  <si>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</si>
  <si>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</si>
  <si>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</si>
  <si>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</si>
  <si>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</si>
  <si>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</si>
  <si>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</si>
  <si>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</si>
  <si>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</si>
  <si>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</si>
  <si>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</si>
  <si>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</si>
  <si>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</si>
  <si>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</si>
  <si>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</si>
  <si>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</si>
  <si>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</si>
  <si>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</si>
  <si>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</si>
  <si>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</si>
  <si>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</si>
  <si>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</si>
  <si>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</si>
  <si>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</si>
  <si>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</si>
  <si>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</si>
  <si>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</si>
  <si>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</si>
  <si>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</si>
  <si>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</si>
  <si>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</si>
  <si>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</si>
  <si>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</si>
  <si>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</si>
  <si>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</si>
  <si>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</si>
  <si>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</si>
  <si>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</si>
  <si>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</si>
  <si>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</si>
  <si>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</si>
  <si>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</si>
  <si>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</si>
  <si>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</si>
  <si>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</si>
  <si>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</si>
  <si>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</si>
  <si>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</si>
  <si>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</si>
  <si>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</si>
  <si>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</si>
  <si>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</si>
  <si>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</si>
  <si>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</si>
  <si>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</si>
  <si>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</si>
  <si>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</si>
  <si>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</si>
  <si>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</si>
  <si>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</si>
  <si>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</si>
  <si>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</si>
  <si>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</si>
  <si>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</si>
  <si>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</si>
  <si>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</si>
  <si>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</si>
  <si>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</si>
  <si>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</si>
  <si>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</si>
  <si>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</si>
  <si>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</si>
  <si>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</si>
  <si>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</si>
  <si>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</si>
  <si>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</si>
  <si>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</si>
  <si>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</si>
  <si>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</si>
  <si>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</si>
  <si>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</si>
  <si>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</si>
  <si>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</si>
  <si>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</si>
  <si>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</si>
  <si>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</si>
  <si>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</si>
  <si>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</si>
  <si>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</si>
  <si>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</si>
  <si>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</si>
  <si>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</si>
  <si>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</si>
  <si>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</si>
  <si>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</si>
  <si>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</si>
  <si>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</si>
  <si>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</si>
  <si>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</si>
  <si>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</si>
  <si>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</si>
  <si>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</si>
  <si>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</si>
  <si>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</si>
  <si>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</si>
  <si>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</si>
  <si>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</si>
  <si>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</si>
  <si>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</si>
  <si>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</si>
  <si>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</si>
  <si>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</si>
  <si>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</si>
  <si>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</si>
  <si>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</si>
  <si>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</si>
  <si>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</si>
  <si>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</si>
  <si>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</si>
  <si>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</si>
  <si>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</si>
  <si>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</si>
  <si>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</si>
  <si>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</si>
  <si>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</si>
  <si>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</si>
  <si>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</si>
  <si>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</si>
  <si>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</si>
  <si>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</si>
  <si>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</si>
  <si>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</si>
  <si>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</si>
  <si>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</si>
  <si>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</si>
  <si>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</si>
  <si>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</si>
  <si>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</si>
  <si>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</si>
  <si>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</si>
  <si>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</si>
  <si>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</si>
  <si>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</si>
  <si>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</si>
  <si>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</si>
  <si>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</si>
  <si>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</si>
  <si>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</si>
  <si>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</si>
  <si>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</si>
  <si>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</si>
  <si>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</si>
  <si>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</si>
  <si>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</si>
  <si>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</si>
  <si>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</si>
  <si>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</si>
  <si>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</si>
  <si>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</si>
  <si>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</si>
  <si>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</si>
  <si>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</si>
  <si>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</si>
  <si>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</si>
  <si>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</si>
  <si>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</si>
  <si>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</si>
  <si>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</si>
  <si>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</si>
  <si>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</si>
  <si>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</si>
  <si>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</si>
  <si>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</si>
  <si>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</si>
  <si>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</si>
  <si>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</si>
  <si>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</si>
  <si>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</si>
  <si>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</si>
  <si>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</si>
  <si>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</si>
  <si>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</si>
  <si>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</si>
  <si>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</si>
  <si>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</si>
  <si>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</si>
  <si>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</si>
  <si>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</si>
  <si>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</si>
  <si>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</si>
  <si>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</si>
  <si>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</si>
  <si>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</si>
  <si>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</si>
  <si>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</si>
  <si>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</si>
  <si>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</si>
  <si>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Nishter</t>
  </si>
  <si>
    <t>Nishter Store</t>
  </si>
  <si>
    <t>Qadri Store</t>
  </si>
  <si>
    <t>Bilal Store</t>
  </si>
  <si>
    <t>Rana Store</t>
  </si>
  <si>
    <t>Sharif Store</t>
  </si>
  <si>
    <t>Chrai Store</t>
  </si>
  <si>
    <t>Adeep Store</t>
  </si>
  <si>
    <t>Faizan Store</t>
  </si>
  <si>
    <t>MS Store</t>
  </si>
  <si>
    <t>786 Store</t>
  </si>
  <si>
    <t>Lal Store</t>
  </si>
  <si>
    <t>Khan Store</t>
  </si>
  <si>
    <t>Brother Store</t>
  </si>
  <si>
    <t>Usman store</t>
  </si>
  <si>
    <t>Ghosia Store</t>
  </si>
  <si>
    <t>Imran Store</t>
  </si>
  <si>
    <t xml:space="preserve">Values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</si>
</sst>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8" sqref="I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Nishter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Qadri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Bilal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Rana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Sharif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Chrai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Adeep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823.72881355932225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23.404564067796617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Faizan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MS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786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Khan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Brother Store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</v>
      </c>
      <c r="H16" s="113">
        <f t="shared" ref="H16:M16" si="3">SUM(H7:H15)</f>
        <v>160</v>
      </c>
      <c r="I16" s="114">
        <f t="shared" si="3"/>
        <v>10815.3</v>
      </c>
      <c r="J16" s="274">
        <f>SUM(J7:J15)</f>
        <v>865.22399999999993</v>
      </c>
      <c r="K16" s="275">
        <f t="shared" si="3"/>
        <v>378.53550000000007</v>
      </c>
      <c r="L16" s="276">
        <f t="shared" si="3"/>
        <v>0</v>
      </c>
      <c r="M16" s="232">
        <f t="shared" si="3"/>
        <v>9571.5404999999992</v>
      </c>
      <c r="N16" s="233">
        <f>SUM(N7:N15)</f>
        <v>2044.0677966101694</v>
      </c>
      <c r="O16" s="101">
        <f>SUM(O7:O15)</f>
        <v>58.078041483050853</v>
      </c>
      <c r="P16" s="113">
        <f>SUM(P7:P15)</f>
        <v>11673.686338093219</v>
      </c>
      <c r="Q16" s="128">
        <f>SUM(Q7:Q15)</f>
        <v>0</v>
      </c>
      <c r="R16" s="313">
        <v>14</v>
      </c>
      <c r="S16" s="315" t="str">
        <f>+'14'!A6:A6</f>
        <v>Usman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Ghosia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Imran Store</v>
      </c>
      <c r="T18" s="301">
        <f>+'16'!P35</f>
        <v>784.05289627118646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10815.3</v>
      </c>
      <c r="R19" s="299">
        <v>17</v>
      </c>
      <c r="S19" s="300" t="str">
        <f>+'17'!A6:A6</f>
        <v xml:space="preserve">Values Mart </v>
      </c>
      <c r="T19" s="301">
        <f>+'17'!P35</f>
        <v>2265.051582838983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865.22399999999993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378.53550000000007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9571.5404999999992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2044.0677966101694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11615.608296610168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58.078041483050853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11673.686338093219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11673.686338093225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2026-09-22T11:26:01Z</dcterms:modified>
</cp:coreProperties>
</file>