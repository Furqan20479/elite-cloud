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A3EA688-7CAC-4A0A-A40C-EE47C6AFC87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<sst xmlns="http://schemas.openxmlformats.org/spreadsheetml/2006/main" count="3948" uniqueCount="533">
  <si>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</si>
  <si>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</si>
  <si>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</si>
  <si>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</si>
  <si>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</si>
  <si>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</si>
  <si>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</si>
  <si>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</si>
  <si>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</si>
  <si>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</si>
  <si>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</si>
  <si>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</si>
  <si>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</si>
  <si>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</si>
  <si>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</si>
  <si>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</si>
  <si>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</si>
  <si>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</si>
  <si>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</si>
  <si>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</si>
  <si>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</si>
  <si>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</si>
  <si>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</si>
  <si>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</si>
  <si>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</si>
  <si>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</si>
  <si>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</si>
  <si>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</si>
  <si>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</si>
  <si>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</si>
  <si>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</si>
  <si>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</si>
  <si>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</si>
  <si>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</si>
  <si>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</si>
  <si>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</si>
  <si>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</si>
  <si>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</si>
  <si>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</si>
  <si>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</si>
  <si>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</si>
  <si>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</si>
  <si>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</si>
  <si>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</si>
  <si>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</si>
  <si>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</si>
  <si>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</si>
  <si>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</si>
  <si>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</si>
  <si>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</si>
  <si>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</si>
  <si>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</si>
  <si>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</si>
  <si>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</si>
  <si>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</si>
  <si>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</si>
  <si>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</si>
  <si>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</si>
  <si>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</si>
  <si>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</si>
  <si>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</si>
  <si>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</si>
  <si>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</si>
  <si>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</si>
  <si>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</si>
  <si>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</si>
  <si>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</si>
  <si>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</si>
  <si>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</si>
  <si>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</si>
  <si>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</si>
  <si>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</si>
  <si>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</si>
  <si>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</si>
  <si>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</si>
  <si>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</si>
  <si>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</si>
  <si>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</si>
  <si>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</si>
  <si>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</si>
  <si>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</si>
  <si>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</si>
  <si>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</si>
  <si>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</si>
  <si>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</si>
  <si>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</si>
  <si>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</si>
  <si>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</si>
  <si>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</si>
  <si>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</si>
  <si>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</si>
  <si>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</si>
  <si>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</si>
  <si>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</si>
  <si>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</si>
  <si>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</si>
  <si>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</si>
  <si>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</si>
  <si>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</si>
  <si>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</si>
  <si>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</si>
  <si>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</si>
  <si>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</si>
  <si>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</si>
  <si>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</si>
  <si>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</si>
  <si>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</si>
  <si>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</si>
  <si>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</si>
  <si>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</si>
  <si>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</si>
  <si>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</si>
  <si>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</si>
  <si>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</si>
  <si>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</si>
  <si>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</si>
  <si>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</si>
  <si>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</si>
  <si>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</si>
  <si>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</si>
  <si>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</si>
  <si>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</si>
  <si>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</si>
  <si>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</si>
  <si>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</si>
  <si>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</si>
  <si>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</si>
  <si>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</si>
  <si>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</si>
  <si>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</si>
  <si>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</si>
  <si>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</si>
  <si>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</si>
  <si>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</si>
  <si>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</si>
  <si>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</si>
  <si>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</si>
  <si>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</si>
  <si>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</si>
  <si>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</si>
  <si>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</si>
  <si>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</si>
  <si>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</si>
  <si>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</si>
  <si>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</si>
  <si>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</si>
  <si>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</si>
  <si>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</si>
  <si>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</si>
  <si>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</si>
  <si>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</si>
  <si>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</si>
  <si>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</si>
  <si>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</si>
  <si>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</si>
  <si>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</si>
  <si>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</si>
  <si>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</si>
  <si>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</si>
  <si>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</si>
  <si>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</si>
  <si>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</si>
  <si>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</si>
  <si>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</si>
  <si>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</si>
  <si>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</si>
  <si>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</si>
  <si>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</si>
  <si>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</si>
  <si>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</si>
  <si>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</si>
  <si>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</si>
  <si>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</si>
  <si>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</si>
  <si>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</si>
  <si>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</si>
  <si>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</si>
  <si>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</si>
  <si>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</si>
  <si>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</si>
  <si>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</si>
  <si>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</si>
  <si>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</si>
  <si>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</si>
  <si>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</si>
  <si>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</si>
  <si>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</si>
  <si>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</si>
  <si>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</si>
  <si>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</si>
  <si>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</si>
  <si>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</si>
  <si>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</si>
  <si>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</si>
  <si>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</si>
  <si>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</si>
  <si>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</si>
  <si>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</si>
  <si>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</si>
  <si>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</si>
  <si>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</si>
  <si>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</si>
  <si>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</si>
  <si>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</si>
  <si>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</si>
  <si>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</si>
  <si>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</si>
  <si>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</si>
  <si>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</si>
  <si>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</si>
  <si>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</si>
  <si>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</si>
  <si>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</si>
  <si>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</si>
  <si>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</si>
  <si>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</si>
  <si>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</si>
  <si>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</si>
  <si>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</si>
  <si>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</si>
  <si>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</si>
  <si>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</si>
  <si>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</si>
  <si>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</si>
  <si>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</si>
  <si>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</si>
  <si>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</si>
  <si>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</si>
  <si>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</si>
  <si>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</si>
  <si>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</si>
  <si>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</si>
  <si>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</si>
  <si>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</si>
  <si>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</si>
  <si>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</si>
  <si>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</si>
  <si>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</si>
  <si>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</si>
  <si>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</si>
  <si>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</si>
  <si>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</si>
  <si>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</si>
  <si>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</si>
  <si>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</si>
  <si>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</si>
  <si>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</si>
  <si>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</si>
  <si>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</si>
  <si>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</si>
  <si>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</si>
  <si>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</si>
  <si>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</si>
  <si>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</si>
  <si>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</si>
  <si>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</si>
  <si>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</si>
  <si>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</si>
  <si>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</si>
  <si>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</si>
  <si>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</si>
  <si>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</si>
  <si>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</si>
  <si>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</si>
  <si>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</si>
  <si>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</si>
  <si>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</si>
  <si>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</si>
  <si>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</si>
  <si>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</si>
  <si>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</si>
  <si>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</si>
  <si>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</si>
  <si>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</si>
  <si>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</si>
  <si>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</si>
  <si>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</si>
  <si>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</si>
  <si>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</si>
  <si>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</si>
  <si>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</si>
  <si>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</si>
  <si>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</si>
  <si>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</si>
  <si>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</si>
  <si>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</si>
  <si>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</si>
  <si>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</si>
  <si>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</si>
  <si>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</si>
  <si>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</si>
  <si>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</si>
  <si>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</si>
  <si>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</si>
  <si>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</si>
  <si>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</si>
  <si>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</si>
  <si>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</si>
  <si>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</si>
  <si>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</si>
  <si>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</si>
  <si>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</si>
  <si>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</si>
  <si>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</si>
  <si>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</si>
  <si>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</si>
  <si>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</si>
  <si>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</si>
  <si>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</si>
  <si>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</si>
  <si>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</si>
  <si>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</si>
  <si>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</si>
  <si>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</si>
  <si>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</si>
  <si>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</si>
  <si>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</si>
  <si>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</si>
  <si>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</si>
  <si>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</si>
  <si>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</si>
  <si>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</si>
  <si>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</si>
  <si>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</si>
  <si>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</si>
  <si>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</si>
  <si>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</si>
  <si>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</si>
  <si>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</si>
  <si>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</si>
  <si>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</si>
  <si>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</si>
  <si>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</si>
  <si>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</si>
  <si>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</si>
  <si>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</si>
  <si>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</si>
  <si>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</si>
  <si>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</si>
  <si>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</si>
  <si>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</si>
  <si>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</si>
  <si>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</si>
  <si>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</si>
  <si>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</si>
  <si>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</si>
  <si>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</si>
  <si>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</si>
  <si>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</si>
  <si>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</si>
  <si>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</si>
  <si>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</si>
  <si>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</si>
  <si>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</si>
  <si>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</si>
  <si>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</si>
  <si>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</si>
  <si>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</si>
  <si>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</si>
  <si>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</si>
  <si>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</si>
  <si>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</si>
  <si>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</si>
  <si>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</si>
  <si>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</si>
  <si>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</si>
  <si>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</si>
  <si>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</si>
  <si>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</si>
  <si>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</si>
  <si>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</si>
  <si>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</si>
  <si>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</si>
  <si>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</si>
  <si>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</si>
  <si>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</si>
  <si>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</si>
  <si>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</si>
  <si>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</si>
  <si>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</si>
  <si>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</si>
  <si>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</si>
  <si>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</si>
  <si>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</si>
  <si>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</si>
  <si>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</si>
  <si>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</si>
  <si>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</si>
  <si>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</si>
  <si>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</si>
  <si>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</si>
  <si>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</si>
  <si>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</si>
  <si>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</si>
  <si>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</si>
  <si>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</si>
  <si>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</si>
  <si>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</si>
  <si>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</si>
  <si>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</si>
  <si>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</si>
  <si>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</si>
  <si>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</si>
  <si>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</si>
  <si>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</si>
  <si>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</si>
  <si>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</si>
  <si>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</si>
  <si>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</si>
  <si>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</si>
  <si>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</si>
  <si>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</si>
  <si>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</si>
  <si>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</si>
  <si>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</si>
  <si>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</si>
  <si>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</si>
  <si>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</si>
  <si>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</si>
  <si>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</si>
  <si>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</si>
  <si>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</si>
  <si>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</si>
  <si>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</si>
  <si>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</si>
  <si>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</si>
  <si>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</si>
  <si>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</si>
  <si>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</si>
  <si>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</si>
  <si>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</si>
  <si>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</si>
  <si>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</si>
  <si>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</si>
  <si>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</si>
  <si>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</si>
  <si>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</si>
  <si>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</si>
  <si>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</si>
  <si>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</si>
  <si>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</si>
  <si>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</si>
  <si>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</si>
  <si>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</si>
  <si>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</si>
  <si>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</si>
  <si>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</si>
  <si>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</si>
  <si>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</si>
  <si>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</si>
  <si>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</si>
  <si>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</si>
  <si>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</si>
  <si>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</si>
  <si>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</si>
  <si>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</si>
  <si>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</si>
  <si>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</si>
  <si>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</si>
  <si>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</si>
  <si>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</si>
  <si>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</si>
  <si>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</si>
  <si>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</si>
  <si>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</si>
  <si>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</si>
  <si>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</si>
  <si>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</si>
  <si>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</si>
  <si>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</si>
  <si>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</si>
  <si>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</si>
  <si>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</si>
  <si>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</si>
  <si>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</si>
  <si>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</si>
  <si>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</si>
  <si>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</si>
  <si>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</si>
  <si>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</si>
  <si>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</si>
  <si>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</si>
  <si>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</si>
  <si>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</si>
  <si>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</si>
  <si>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</si>
  <si>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</si>
  <si>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</si>
  <si>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</si>
  <si>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</si>
  <si>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</si>
  <si>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</si>
  <si>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</si>
  <si>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</si>
  <si>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</si>
  <si>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</si>
  <si>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</si>
  <si>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</si>
  <si>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</si>
  <si>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</si>
  <si>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</si>
  <si>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</si>
  <si>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</si>
  <si>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</si>
  <si>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</si>
  <si>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</si>
  <si>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</si>
  <si>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</si>
  <si>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</si>
  <si>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</si>
  <si>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</si>
  <si>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</si>
  <si>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</si>
  <si>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</si>
  <si>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</si>
  <si>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>Address: Nishter</t>
  </si>
  <si>
    <t>Nishter Store</t>
  </si>
  <si>
    <t>Qadri Store</t>
  </si>
  <si>
    <t>Bilal Store</t>
  </si>
  <si>
    <t>Rana Store</t>
  </si>
  <si>
    <t>Sharif Store</t>
  </si>
  <si>
    <t>Chrai Store</t>
  </si>
  <si>
    <t>Adeep Store</t>
  </si>
  <si>
    <t>Faizan Store</t>
  </si>
  <si>
    <t>MS Store</t>
  </si>
  <si>
    <t>786 Store</t>
  </si>
  <si>
    <t>Lal Store</t>
  </si>
  <si>
    <t>Khan Store</t>
  </si>
  <si>
    <t>Brother Store</t>
  </si>
  <si>
    <t>Usman store</t>
  </si>
  <si>
    <t>Ghosia Store</t>
  </si>
  <si>
    <t>Imran Store</t>
  </si>
  <si>
    <t xml:space="preserve">Values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</si>
</sst>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F32" sqref="F3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Nishter Store</v>
      </c>
      <c r="T3" s="301">
        <f>+'1'!P35</f>
        <v>784.05289627118646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Qadri Store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Bilal Store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Rana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Sharif Store</v>
      </c>
      <c r="T7" s="301">
        <f>+'5'!P35</f>
        <v>392.02644813559323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Chrai Store</v>
      </c>
      <c r="T8" s="301">
        <f>+'6'!P35</f>
        <v>392.02644813559323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40</v>
      </c>
      <c r="R9" s="313">
        <v>7</v>
      </c>
      <c r="S9" s="300" t="str">
        <f>+'7'!A6:A6</f>
        <v>Adeep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</v>
      </c>
      <c r="I10" s="236">
        <f t="shared" si="0"/>
        <v>4358.3999999999996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152.54400000000001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3857.1839999999997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823.72881355932225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23.404564067796617</v>
      </c>
      <c r="P10" s="311">
        <f t="shared" si="2"/>
        <v>4704.3173776271187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Faizan Store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823.72881355932202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MS Store</v>
      </c>
      <c r="T11" s="301">
        <f>+'9'!P35</f>
        <v>392.02644813559323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786 Store</v>
      </c>
      <c r="T12" s="301">
        <f>+'10'!P35</f>
        <v>392.02644813559323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Lal Store</v>
      </c>
      <c r="T13" s="301">
        <f>+'11'!P35</f>
        <v>392.02644813559323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Khan Store</v>
      </c>
      <c r="T14" s="301">
        <f>+'12'!P35</f>
        <v>392.02644813559323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Brother Store</v>
      </c>
      <c r="T15" s="301">
        <f>+'13'!P35</f>
        <v>784.05289627118646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3</v>
      </c>
      <c r="H16" s="113">
        <f t="shared" ref="H16:M16" si="3">SUM(H7:H15)</f>
        <v>120</v>
      </c>
      <c r="I16" s="114">
        <f t="shared" si="3"/>
        <v>8716.7999999999993</v>
      </c>
      <c r="J16" s="274">
        <f>SUM(J7:J15)</f>
        <v>697.34400000000005</v>
      </c>
      <c r="K16" s="275">
        <f t="shared" si="3"/>
        <v>305.08800000000002</v>
      </c>
      <c r="L16" s="276">
        <f t="shared" si="3"/>
        <v>0</v>
      </c>
      <c r="M16" s="232">
        <f t="shared" si="3"/>
        <v>7714.3679999999995</v>
      </c>
      <c r="N16" s="233">
        <f>SUM(N7:N15)</f>
        <v>1647.4576271186443</v>
      </c>
      <c r="O16" s="101">
        <f>SUM(O7:O15)</f>
        <v>46.809128135593227</v>
      </c>
      <c r="P16" s="113">
        <f>SUM(P7:P15)</f>
        <v>9408.6347552542375</v>
      </c>
      <c r="Q16" s="128">
        <f>SUM(Q7:Q15)</f>
        <v>40</v>
      </c>
      <c r="R16" s="313">
        <v>14</v>
      </c>
      <c r="S16" s="315" t="str">
        <f>+'14'!A6:A6</f>
        <v>Usman store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Ghosia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Imran Store</v>
      </c>
      <c r="T18" s="301">
        <f>+'16'!P35</f>
        <v>784.05289627118646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8716.7999999999993</v>
      </c>
      <c r="R19" s="299">
        <v>17</v>
      </c>
      <c r="S19" s="300" t="str">
        <f>+'17'!A6:A6</f>
        <v xml:space="preserve">Values Mart 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697.34400000000005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305.08800000000002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7714.3679999999995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1647.4576271186443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9361.8256271186438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46.809128135593227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9408.6347552542375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9408.6347552542411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726.4</v>
      </c>
      <c r="J25" s="274">
        <f>SUM(J16:J24)</f>
        <v>58.112000000000002</v>
      </c>
      <c r="K25" s="275">
        <f t="shared" si="10"/>
        <v>25.424000000000003</v>
      </c>
      <c r="L25" s="276">
        <f t="shared" si="10"/>
        <v>0</v>
      </c>
      <c r="M25" s="232">
        <f t="shared" si="10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6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40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D10" workbookViewId="0">
      <selection activeCell="H16" sqref="H16: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3.269531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46287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46288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2026-09-23T09:26:56Z</dcterms:modified>
</cp:coreProperties>
</file>