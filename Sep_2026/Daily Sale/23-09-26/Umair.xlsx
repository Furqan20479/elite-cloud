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621F25E-00D6-41C4-9478-32FAE68AAA3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O16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<sst xmlns="http://schemas.openxmlformats.org/spreadsheetml/2006/main" count="3948" uniqueCount="523">
  <si>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</si>
  <si>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</si>
  <si>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</si>
  <si>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</si>
  <si>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</si>
  <si>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</si>
  <si>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</si>
  <si>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</si>
  <si>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</si>
  <si>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</si>
  <si>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</si>
  <si>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</si>
  <si>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</si>
  <si>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</si>
  <si>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</si>
  <si>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</si>
  <si>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</si>
  <si>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</si>
  <si>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</si>
  <si>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</si>
  <si>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</si>
  <si>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</si>
  <si>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</si>
  <si>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</si>
  <si>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</si>
  <si>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</si>
  <si>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</si>
  <si>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</si>
  <si>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</si>
  <si>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</si>
  <si>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</si>
  <si>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</si>
  <si>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</si>
  <si>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</si>
  <si>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</si>
  <si>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</si>
  <si>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</si>
  <si>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</si>
  <si>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</si>
  <si>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</si>
  <si>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</si>
  <si>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</si>
  <si>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</si>
  <si>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</si>
  <si>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</si>
  <si>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</si>
  <si>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</si>
  <si>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</si>
  <si>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</si>
  <si>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</si>
  <si>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</si>
  <si>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</si>
  <si>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</si>
  <si>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</si>
  <si>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</si>
  <si>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</si>
  <si>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</si>
  <si>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</si>
  <si>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</si>
  <si>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</si>
  <si>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</si>
  <si>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</si>
  <si>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</si>
  <si>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</si>
  <si>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</si>
  <si>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</si>
  <si>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</si>
  <si>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</si>
  <si>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</si>
  <si>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</si>
  <si>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</si>
  <si>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</si>
  <si>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</si>
  <si>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</si>
  <si>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</si>
  <si>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</si>
  <si>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</si>
  <si>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</si>
  <si>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</si>
  <si>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</si>
  <si>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</si>
  <si>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</si>
  <si>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</si>
  <si>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</si>
  <si>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</si>
  <si>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</si>
  <si>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</si>
  <si>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</si>
  <si>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</si>
  <si>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</si>
  <si>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</si>
  <si>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</si>
  <si>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</si>
  <si>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</si>
  <si>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</si>
  <si>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</si>
  <si>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</si>
  <si>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</si>
  <si>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</si>
  <si>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</si>
  <si>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</si>
  <si>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</si>
  <si>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</si>
  <si>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</si>
  <si>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</si>
  <si>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</si>
  <si>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</si>
  <si>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</si>
  <si>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</si>
  <si>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</si>
  <si>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</si>
  <si>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</si>
  <si>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</si>
  <si>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</si>
  <si>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</si>
  <si>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</si>
  <si>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</si>
  <si>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</si>
  <si>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</si>
  <si>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</si>
  <si>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</si>
  <si>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</si>
  <si>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</si>
  <si>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</si>
  <si>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</si>
  <si>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</si>
  <si>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</si>
  <si>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</si>
  <si>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</si>
  <si>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</si>
  <si>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</si>
  <si>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</si>
  <si>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</si>
  <si>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</si>
  <si>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</si>
  <si>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</si>
  <si>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</si>
  <si>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</si>
  <si>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</si>
  <si>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</si>
  <si>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</si>
  <si>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</si>
  <si>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</si>
  <si>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</si>
  <si>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</si>
  <si>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</si>
  <si>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</si>
  <si>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</si>
  <si>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</si>
  <si>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</si>
  <si>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</si>
  <si>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</si>
  <si>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</si>
  <si>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</si>
  <si>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</si>
  <si>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</si>
  <si>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</si>
  <si>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</si>
  <si>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</si>
  <si>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</si>
  <si>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</si>
  <si>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</si>
  <si>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</si>
  <si>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</si>
  <si>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</si>
  <si>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</si>
  <si>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</si>
  <si>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</si>
  <si>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</si>
  <si>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</si>
  <si>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</si>
  <si>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</si>
  <si>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</si>
  <si>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</si>
  <si>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</si>
  <si>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</si>
  <si>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</si>
  <si>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</si>
  <si>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</si>
  <si>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</si>
  <si>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</si>
  <si>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</si>
  <si>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</si>
  <si>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</si>
  <si>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</si>
  <si>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</si>
  <si>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</si>
  <si>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</si>
  <si>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</si>
  <si>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</si>
  <si>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</si>
  <si>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</si>
  <si>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</si>
  <si>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</si>
  <si>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</si>
  <si>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</si>
  <si>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</si>
  <si>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</si>
  <si>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</si>
  <si>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</si>
  <si>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</si>
  <si>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</si>
  <si>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</si>
  <si>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</si>
  <si>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</si>
  <si>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</si>
  <si>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</si>
  <si>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</si>
  <si>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</si>
  <si>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</si>
  <si>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</si>
  <si>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</si>
  <si>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</si>
  <si>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</si>
  <si>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</si>
  <si>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</si>
  <si>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</si>
  <si>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</si>
  <si>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</si>
  <si>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</si>
  <si>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</si>
  <si>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</si>
  <si>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</si>
  <si>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</si>
  <si>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</si>
  <si>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</si>
  <si>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</si>
  <si>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</si>
  <si>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</si>
  <si>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</si>
  <si>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</si>
  <si>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</si>
  <si>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</si>
  <si>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</si>
  <si>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</si>
  <si>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</si>
  <si>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</si>
  <si>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</si>
  <si>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</si>
  <si>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</si>
  <si>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</si>
  <si>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</si>
  <si>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</si>
  <si>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</si>
  <si>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</si>
  <si>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</si>
  <si>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</si>
  <si>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</si>
  <si>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</si>
  <si>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</si>
  <si>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</si>
  <si>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</si>
  <si>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</si>
  <si>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</si>
  <si>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</si>
  <si>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</si>
  <si>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</si>
  <si>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</si>
  <si>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</si>
  <si>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</si>
  <si>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</si>
  <si>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</si>
  <si>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</si>
  <si>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</si>
  <si>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</si>
  <si>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</si>
  <si>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</si>
  <si>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</si>
  <si>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</si>
  <si>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</si>
  <si>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</si>
  <si>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</si>
  <si>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</si>
  <si>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</si>
  <si>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</si>
  <si>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</si>
  <si>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</si>
  <si>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</si>
  <si>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</si>
  <si>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</si>
  <si>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</si>
  <si>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</si>
  <si>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</si>
  <si>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</si>
  <si>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</si>
  <si>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</si>
  <si>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</si>
  <si>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</si>
  <si>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</si>
  <si>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</si>
  <si>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</si>
  <si>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</si>
  <si>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</si>
  <si>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</si>
  <si>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</si>
  <si>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</si>
  <si>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</si>
  <si>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</si>
  <si>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</si>
  <si>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</si>
  <si>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</si>
  <si>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</si>
  <si>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</si>
  <si>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</si>
  <si>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</si>
  <si>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</si>
  <si>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</si>
  <si>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</si>
  <si>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</si>
  <si>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</si>
  <si>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</si>
  <si>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</si>
  <si>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</si>
  <si>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</si>
  <si>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</si>
  <si>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</si>
  <si>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</si>
  <si>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</si>
  <si>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</si>
  <si>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</si>
  <si>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</si>
  <si>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</si>
  <si>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</si>
  <si>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</si>
  <si>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</si>
  <si>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</si>
  <si>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</si>
  <si>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</si>
  <si>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</si>
  <si>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</si>
  <si>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</si>
  <si>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</si>
  <si>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</si>
  <si>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</si>
  <si>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</si>
  <si>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</si>
  <si>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</si>
  <si>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</si>
  <si>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</si>
  <si>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</si>
  <si>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</si>
  <si>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</si>
  <si>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</si>
  <si>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</si>
  <si>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</si>
  <si>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</si>
  <si>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</si>
  <si>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</si>
  <si>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</si>
  <si>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</si>
  <si>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</si>
  <si>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</si>
  <si>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</si>
  <si>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</si>
  <si>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</si>
  <si>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</si>
  <si>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</si>
  <si>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</si>
  <si>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</si>
  <si>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</si>
  <si>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</si>
  <si>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</si>
  <si>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</si>
  <si>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</si>
  <si>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</si>
  <si>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</si>
  <si>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</si>
  <si>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</si>
  <si>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</si>
  <si>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</si>
  <si>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</si>
  <si>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</si>
  <si>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</si>
  <si>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</si>
  <si>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</si>
  <si>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</si>
  <si>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</si>
  <si>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</si>
  <si>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</si>
  <si>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</si>
  <si>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</si>
  <si>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</si>
  <si>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</si>
  <si>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</si>
  <si>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</si>
  <si>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</si>
  <si>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</si>
  <si>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</si>
  <si>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</si>
  <si>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</si>
  <si>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</si>
  <si>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</si>
  <si>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</si>
  <si>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</si>
  <si>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</si>
  <si>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</si>
  <si>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</si>
  <si>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</si>
  <si>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</si>
  <si>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</si>
  <si>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</si>
  <si>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</si>
  <si>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</si>
  <si>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</si>
  <si>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</si>
  <si>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</si>
  <si>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</si>
  <si>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</si>
  <si>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</si>
  <si>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</si>
  <si>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</si>
  <si>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</si>
  <si>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</si>
  <si>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</si>
  <si>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</si>
  <si>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</si>
  <si>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</si>
  <si>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</si>
  <si>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</si>
  <si>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</si>
  <si>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</si>
  <si>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</si>
  <si>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</si>
  <si>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</si>
  <si>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</si>
  <si>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</si>
  <si>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</si>
  <si>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</si>
  <si>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</si>
  <si>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</si>
  <si>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</si>
  <si>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</si>
  <si>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</si>
  <si>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</si>
  <si>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</si>
  <si>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</si>
  <si>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</si>
  <si>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</si>
  <si>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</si>
  <si>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</si>
  <si>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</si>
  <si>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</si>
  <si>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</si>
  <si>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</si>
  <si>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</si>
  <si>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</si>
  <si>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</si>
  <si>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</si>
  <si>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</si>
  <si>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</si>
  <si>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</si>
  <si>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</si>
  <si>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</si>
  <si>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</si>
  <si>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</si>
  <si>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</si>
  <si>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</si>
  <si>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</si>
  <si>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</si>
  <si>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</si>
  <si>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</si>
  <si>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</si>
  <si>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</si>
  <si>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</si>
  <si>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</si>
  <si>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</si>
  <si>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</si>
  <si>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</si>
  <si>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</si>
  <si>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</si>
  <si>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</si>
  <si>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</si>
  <si>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</si>
  <si>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</si>
  <si>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</si>
  <si>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</si>
  <si>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</si>
  <si>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</si>
  <si>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</si>
  <si>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</si>
  <si>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</si>
  <si>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</si>
  <si>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</si>
  <si>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</si>
  <si>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</si>
  <si>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</si>
  <si>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</si>
  <si>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</si>
  <si>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</si>
  <si>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</si>
  <si>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</si>
  <si>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</si>
  <si>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</si>
  <si>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</si>
  <si>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</si>
  <si>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</si>
  <si>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</si>
  <si>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</si>
  <si>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</si>
  <si>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</si>
  <si>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</si>
  <si>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</si>
  <si>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</si>
  <si>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</si>
  <si>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</si>
  <si>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</si>
  <si>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</si>
  <si>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</si>
  <si>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</si>
  <si>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</si>
  <si>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</si>
  <si>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</si>
  <si>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</si>
  <si>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</si>
  <si>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Umair</t>
  </si>
  <si>
    <t>Rizwan general Store</t>
  </si>
  <si>
    <t>Address: Aashiyana Road</t>
  </si>
  <si>
    <t xml:space="preserve">Ghosia Goltra Bakery </t>
  </si>
  <si>
    <t>Address: Ashiyana Road</t>
  </si>
  <si>
    <t xml:space="preserve">Nazeer Sweets </t>
  </si>
  <si>
    <t xml:space="preserve">Address: Awan Market </t>
  </si>
  <si>
    <t xml:space="preserve">Gulshan Bakery </t>
  </si>
  <si>
    <t>Address: Awan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</si>
</sst>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F38" sqref="F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Rizwan general Store</v>
      </c>
      <c r="T3" s="301">
        <f>+'1'!P35</f>
        <v>1132.5257914194915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Ghosia Goltra Bakery 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Nazeer Sweets </v>
      </c>
      <c r="T5" s="301">
        <f>+'3'!P35</f>
        <v>1019.2732122775423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Gulshan Bakery </v>
      </c>
      <c r="T6" s="301">
        <f>+'4'!P35</f>
        <v>1132.5257914194915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18</v>
      </c>
      <c r="I8" s="236">
        <f t="shared" ref="I8:I14" si="0">(G8*D8)*F8+H8*F8</f>
        <v>944.32499999999993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75.545999999999992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33.051375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835.72762499999999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178.47457627118638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5.0710110063559313</v>
      </c>
      <c r="P8" s="311">
        <f t="shared" ref="P8:P15" si="2">M8+N8+O8</f>
        <v>1019.2732122775423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2.4500000000000002</v>
      </c>
      <c r="H16" s="113">
        <f t="shared" ref="H16:M16" si="3">SUM(H7:H15)</f>
        <v>98</v>
      </c>
      <c r="I16" s="114">
        <f t="shared" si="3"/>
        <v>5141.3249999999998</v>
      </c>
      <c r="J16" s="274">
        <f>SUM(J7:J15)</f>
        <v>411.30599999999998</v>
      </c>
      <c r="K16" s="275">
        <f t="shared" si="3"/>
        <v>179.94637499999999</v>
      </c>
      <c r="L16" s="276">
        <f t="shared" si="3"/>
        <v>0</v>
      </c>
      <c r="M16" s="232">
        <f t="shared" si="3"/>
        <v>4550.0726250000007</v>
      </c>
      <c r="N16" s="233">
        <f>SUM(N7:N15)</f>
        <v>971.69491525423678</v>
      </c>
      <c r="O16" s="101">
        <f>SUM(O7:O15)</f>
        <v>27.608837701271185</v>
      </c>
      <c r="P16" s="113">
        <f>SUM(P7:P15)</f>
        <v>5549.3763779555084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5141.3249999999998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411.30599999999998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179.94637499999999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4550.0726250000007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971.69491525423678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5521.7675402542372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27.608837701271185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5549.3763779555084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5549.3763779555084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1049.25</v>
      </c>
      <c r="J25" s="274">
        <f>SUM(J16:J24)</f>
        <v>83.94</v>
      </c>
      <c r="K25" s="275">
        <f t="shared" si="10"/>
        <v>36.723750000000003</v>
      </c>
      <c r="L25" s="276">
        <f t="shared" si="10"/>
        <v>0</v>
      </c>
      <c r="M25" s="232">
        <f t="shared" si="10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1049.25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83.94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36.723750000000003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928.58624999999995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1126.8913347457626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45" t="s">
        <v>88</v>
      </c>
      <c r="O35" s="346"/>
      <c r="P35" s="297">
        <f>+P33+P34</f>
        <v>1132.5257914194915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14</v>
      </c>
      <c r="I16" s="235">
        <f>(G16*D16)*F16+H16*F16</f>
        <v>734.47500000000002</v>
      </c>
      <c r="J16" s="271">
        <f>$I16*S16</f>
        <v>58.758000000000003</v>
      </c>
      <c r="K16" s="127">
        <f>$I16*T16</f>
        <v>25.706625000000003</v>
      </c>
      <c r="L16" s="118">
        <f>$I16*U16</f>
        <v>0</v>
      </c>
      <c r="M16" s="229">
        <f>I16-SUM(J16:L16)</f>
        <v>650.01037500000007</v>
      </c>
      <c r="N16" s="248">
        <f>+(G16*D16+H16)*V16</f>
        <v>138.81355932203383</v>
      </c>
      <c r="O16" s="238">
        <f>(N16+M16)*$O$15</f>
        <v>3.9441196716101694</v>
      </c>
      <c r="P16" s="118">
        <f>M16+N16+O16</f>
        <v>792.76805399364412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si="0"/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18</v>
      </c>
      <c r="I25" s="114">
        <f t="shared" si="7"/>
        <v>944.32499999999993</v>
      </c>
      <c r="J25" s="274">
        <f>SUM(J16:J24)</f>
        <v>75.545999999999992</v>
      </c>
      <c r="K25" s="275">
        <f t="shared" si="7"/>
        <v>33.051375</v>
      </c>
      <c r="L25" s="276">
        <f t="shared" si="7"/>
        <v>0</v>
      </c>
      <c r="M25" s="232">
        <f t="shared" si="7"/>
        <v>835.72762499999999</v>
      </c>
      <c r="N25" s="233">
        <f>SUM(N16:N24)</f>
        <v>178.47457627118638</v>
      </c>
      <c r="O25" s="101">
        <f>SUM(O16:O24)</f>
        <v>5.0710110063559313</v>
      </c>
      <c r="P25" s="234">
        <f>SUM(P16:P24)</f>
        <v>1019.2732122775424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944.32499999999993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75.545999999999992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33.051375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835.72762499999999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1014.2022012711864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45" t="s">
        <v>88</v>
      </c>
      <c r="O35" s="346"/>
      <c r="P35" s="297">
        <f>+P33+P34</f>
        <v>1019.2732122775423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1049.25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83.94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36.723750000000003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928.58624999999995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1126.8913347457626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45" t="s">
        <v>88</v>
      </c>
      <c r="O35" s="346"/>
      <c r="P35" s="297">
        <f>+P33+P34</f>
        <v>1132.5257914194915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2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2026-09-22T11:14:20Z</dcterms:modified>
</cp:coreProperties>
</file>