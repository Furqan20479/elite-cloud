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E05CE08-83B6-470C-B47E-0E700DCFDDF3}" xr6:coauthVersionLast="47" xr6:coauthVersionMax="47" xr10:uidLastSave="{00000000-0000-0000-0000-000000000000}"/>
  <bookViews>
    <workbookView xWindow="-110" yWindow="-110" windowWidth="19420" windowHeight="10420" tabRatio="948" firstSheet="3" activeTab="7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<sst xmlns="http://schemas.openxmlformats.org/spreadsheetml/2006/main" count="3948" uniqueCount="524">
  <si>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</si>
  <si>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</si>
  <si>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</si>
  <si>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</si>
  <si>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</si>
  <si>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</si>
  <si>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</si>
  <si>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</si>
  <si>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</si>
  <si>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</si>
  <si>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</si>
  <si>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</si>
  <si>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</si>
  <si>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</si>
  <si>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</si>
  <si>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</si>
  <si>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</si>
  <si>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</si>
  <si>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</si>
  <si>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</si>
  <si>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</si>
  <si>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</si>
  <si>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</si>
  <si>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</si>
  <si>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</si>
  <si>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</si>
  <si>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</si>
  <si>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</si>
  <si>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</si>
  <si>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</si>
  <si>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</si>
  <si>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</si>
  <si>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</si>
  <si>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</si>
  <si>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</si>
  <si>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</si>
  <si>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</si>
  <si>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</si>
  <si>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</si>
  <si>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</si>
  <si>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</si>
  <si>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</si>
  <si>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</si>
  <si>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</si>
  <si>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</si>
  <si>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</si>
  <si>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</si>
  <si>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</si>
  <si>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</si>
  <si>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</si>
  <si>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</si>
  <si>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</si>
  <si>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</si>
  <si>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</si>
  <si>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</si>
  <si>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</si>
  <si>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</si>
  <si>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</si>
  <si>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</si>
  <si>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</si>
  <si>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</si>
  <si>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</si>
  <si>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</si>
  <si>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</si>
  <si>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</si>
  <si>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</si>
  <si>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</si>
  <si>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</si>
  <si>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</si>
  <si>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</si>
  <si>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</si>
  <si>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</si>
  <si>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</si>
  <si>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</si>
  <si>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</si>
  <si>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</si>
  <si>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</si>
  <si>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</si>
  <si>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</si>
  <si>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</si>
  <si>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</si>
  <si>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</si>
  <si>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</si>
  <si>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</si>
  <si>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</si>
  <si>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</si>
  <si>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</si>
  <si>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</si>
  <si>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</si>
  <si>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</si>
  <si>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</si>
  <si>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</si>
  <si>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</si>
  <si>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</si>
  <si>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</si>
  <si>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</si>
  <si>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</si>
  <si>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</si>
  <si>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</si>
  <si>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</si>
  <si>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</si>
  <si>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</si>
  <si>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</si>
  <si>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</si>
  <si>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</si>
  <si>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</si>
  <si>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</si>
  <si>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</si>
  <si>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</si>
  <si>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</si>
  <si>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</si>
  <si>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</si>
  <si>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</si>
  <si>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</si>
  <si>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</si>
  <si>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</si>
  <si>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</si>
  <si>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</si>
  <si>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</si>
  <si>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</si>
  <si>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</si>
  <si>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</si>
  <si>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</si>
  <si>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</si>
  <si>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</si>
  <si>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</si>
  <si>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</si>
  <si>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</si>
  <si>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</si>
  <si>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</si>
  <si>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</si>
  <si>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</si>
  <si>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</si>
  <si>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</si>
  <si>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</si>
  <si>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</si>
  <si>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</si>
  <si>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</si>
  <si>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</si>
  <si>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</si>
  <si>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</si>
  <si>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</si>
  <si>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</si>
  <si>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</si>
  <si>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</si>
  <si>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</si>
  <si>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</si>
  <si>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</si>
  <si>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</si>
  <si>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</si>
  <si>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</si>
  <si>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</si>
  <si>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</si>
  <si>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</si>
  <si>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</si>
  <si>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</si>
  <si>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</si>
  <si>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</si>
  <si>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</si>
  <si>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</si>
  <si>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</si>
  <si>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</si>
  <si>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</si>
  <si>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</si>
  <si>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</si>
  <si>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</si>
  <si>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</si>
  <si>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</si>
  <si>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</si>
  <si>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</si>
  <si>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</si>
  <si>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</si>
  <si>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</si>
  <si>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</si>
  <si>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</si>
  <si>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</si>
  <si>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</si>
  <si>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</si>
  <si>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</si>
  <si>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</si>
  <si>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</si>
  <si>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</si>
  <si>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</si>
  <si>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</si>
  <si>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</si>
  <si>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</si>
  <si>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</si>
  <si>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</si>
  <si>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</si>
  <si>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</si>
  <si>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</si>
  <si>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</si>
  <si>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</si>
  <si>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</si>
  <si>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</si>
  <si>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</si>
  <si>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</si>
  <si>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</si>
  <si>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</si>
  <si>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</si>
  <si>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</si>
  <si>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</si>
  <si>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</si>
  <si>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</si>
  <si>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</si>
  <si>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</si>
  <si>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</si>
  <si>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</si>
  <si>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</si>
  <si>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</si>
  <si>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</si>
  <si>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</si>
  <si>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</si>
  <si>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</si>
  <si>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</si>
  <si>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</si>
  <si>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</si>
  <si>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</si>
  <si>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</si>
  <si>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</si>
  <si>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</si>
  <si>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</si>
  <si>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</si>
  <si>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</si>
  <si>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</si>
  <si>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</si>
  <si>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</si>
  <si>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</si>
  <si>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</si>
  <si>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</si>
  <si>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</si>
  <si>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</si>
  <si>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</si>
  <si>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</si>
  <si>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</si>
  <si>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</si>
  <si>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</si>
  <si>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</si>
  <si>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</si>
  <si>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</si>
  <si>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</si>
  <si>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</si>
  <si>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</si>
  <si>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</si>
  <si>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</si>
  <si>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</si>
  <si>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</si>
  <si>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</si>
  <si>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</si>
  <si>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</si>
  <si>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</si>
  <si>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</si>
  <si>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</si>
  <si>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</si>
  <si>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</si>
  <si>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</si>
  <si>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</si>
  <si>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</si>
  <si>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</si>
  <si>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</si>
  <si>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</si>
  <si>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</si>
  <si>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</si>
  <si>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</si>
  <si>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</si>
  <si>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</si>
  <si>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</si>
  <si>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</si>
  <si>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</si>
  <si>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</si>
  <si>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</si>
  <si>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</si>
  <si>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</si>
  <si>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</si>
  <si>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</si>
  <si>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</si>
  <si>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</si>
  <si>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</si>
  <si>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</si>
  <si>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</si>
  <si>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</si>
  <si>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</si>
  <si>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</si>
  <si>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</si>
  <si>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</si>
  <si>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</si>
  <si>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</si>
  <si>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</si>
  <si>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</si>
  <si>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</si>
  <si>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</si>
  <si>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</si>
  <si>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</si>
  <si>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</si>
  <si>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</si>
  <si>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</si>
  <si>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</si>
  <si>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</si>
  <si>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</si>
  <si>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</si>
  <si>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</si>
  <si>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</si>
  <si>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</si>
  <si>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</si>
  <si>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</si>
  <si>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</si>
  <si>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</si>
  <si>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</si>
  <si>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</si>
  <si>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</si>
  <si>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</si>
  <si>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</si>
  <si>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</si>
  <si>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</si>
  <si>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</si>
  <si>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</si>
  <si>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</si>
  <si>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</si>
  <si>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</si>
  <si>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</si>
  <si>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</si>
  <si>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</si>
  <si>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</si>
  <si>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</si>
  <si>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</si>
  <si>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</si>
  <si>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</si>
  <si>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</si>
  <si>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</si>
  <si>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</si>
  <si>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</si>
  <si>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</si>
  <si>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</si>
  <si>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</si>
  <si>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</si>
  <si>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</si>
  <si>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</si>
  <si>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</si>
  <si>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</si>
  <si>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</si>
  <si>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</si>
  <si>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</si>
  <si>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</si>
  <si>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</si>
  <si>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</si>
  <si>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</si>
  <si>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</si>
  <si>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</si>
  <si>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</si>
  <si>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</si>
  <si>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</si>
  <si>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</si>
  <si>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</si>
  <si>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</si>
  <si>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</si>
  <si>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</si>
  <si>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</si>
  <si>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</si>
  <si>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</si>
  <si>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</si>
  <si>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</si>
  <si>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</si>
  <si>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</si>
  <si>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</si>
  <si>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</si>
  <si>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</si>
  <si>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</si>
  <si>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</si>
  <si>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</si>
  <si>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</si>
  <si>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</si>
  <si>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</si>
  <si>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</si>
  <si>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</si>
  <si>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</si>
  <si>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</si>
  <si>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</si>
  <si>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</si>
  <si>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</si>
  <si>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</si>
  <si>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</si>
  <si>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</si>
  <si>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</si>
  <si>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</si>
  <si>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</si>
  <si>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</si>
  <si>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</si>
  <si>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</si>
  <si>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</si>
  <si>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</si>
  <si>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</si>
  <si>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</si>
  <si>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</si>
  <si>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</si>
  <si>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</si>
  <si>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</si>
  <si>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</si>
  <si>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</si>
  <si>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</si>
  <si>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</si>
  <si>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</si>
  <si>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</si>
  <si>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</si>
  <si>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</si>
  <si>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</si>
  <si>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</si>
  <si>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</si>
  <si>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</si>
  <si>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</si>
  <si>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</si>
  <si>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</si>
  <si>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</si>
  <si>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</si>
  <si>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</si>
  <si>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</si>
  <si>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</si>
  <si>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</si>
  <si>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</si>
  <si>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</si>
  <si>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</si>
  <si>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</si>
  <si>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</si>
  <si>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</si>
  <si>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</si>
  <si>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</si>
  <si>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</si>
  <si>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</si>
  <si>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</si>
  <si>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</si>
  <si>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</si>
  <si>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</si>
  <si>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</si>
  <si>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</si>
  <si>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</si>
  <si>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</si>
  <si>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</si>
  <si>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</si>
  <si>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</si>
  <si>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</si>
  <si>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</si>
  <si>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</si>
  <si>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</si>
  <si>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</si>
  <si>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</si>
  <si>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</si>
  <si>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</si>
  <si>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</si>
  <si>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</si>
  <si>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</si>
  <si>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</si>
  <si>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</si>
  <si>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</si>
  <si>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</si>
  <si>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</si>
  <si>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</si>
  <si>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</si>
  <si>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</si>
  <si>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</si>
  <si>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</si>
  <si>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</si>
  <si>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</si>
  <si>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</si>
  <si>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</si>
  <si>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</si>
  <si>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</si>
  <si>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</si>
  <si>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</si>
  <si>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</si>
  <si>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</si>
  <si>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</si>
  <si>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</si>
  <si>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</si>
  <si>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</si>
  <si>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</si>
  <si>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</si>
  <si>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</si>
  <si>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</si>
  <si>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</si>
  <si>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</si>
  <si>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</si>
  <si>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</si>
  <si>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</si>
  <si>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</si>
  <si>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</si>
  <si>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</si>
  <si>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</si>
  <si>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</si>
  <si>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</si>
  <si>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</si>
  <si>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</si>
  <si>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</si>
  <si>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</si>
  <si>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</si>
  <si>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</si>
  <si>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</si>
  <si>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</si>
  <si>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</si>
  <si>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</si>
  <si>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</si>
  <si>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</si>
  <si>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</si>
  <si>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</si>
  <si>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</si>
  <si>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</si>
  <si>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</si>
  <si>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</si>
  <si>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</si>
  <si>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</si>
  <si>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</si>
  <si>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</si>
  <si>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</si>
  <si>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</si>
  <si>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</si>
  <si>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</si>
  <si>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</si>
  <si>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>Bhati Super Store</t>
  </si>
  <si>
    <t xml:space="preserve">Address:Dugach </t>
  </si>
  <si>
    <t>Haseeb Store</t>
  </si>
  <si>
    <t xml:space="preserve">Address: Dugach </t>
  </si>
  <si>
    <t>Shakeel Store</t>
  </si>
  <si>
    <t xml:space="preserve">Address: Chungi </t>
  </si>
  <si>
    <t>Ch Store</t>
  </si>
  <si>
    <t xml:space="preserve">Address: Ahata </t>
  </si>
  <si>
    <t>Rehman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</si>
</sst>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7" sqref="S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46288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Bhati Super Store</v>
      </c>
      <c r="T3" s="301">
        <f>+'1'!P35</f>
        <v>1019.2732122775423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Haseeb Store</v>
      </c>
      <c r="T4" s="301">
        <f>+'2'!P35</f>
        <v>1411.2952132881355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Shakeel Store</v>
      </c>
      <c r="T5" s="301">
        <f>+'3'!P35</f>
        <v>2744.1851369491524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Ch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</v>
      </c>
      <c r="I7" s="235">
        <f>(G7*D7)*F7+H7*F7</f>
        <v>314.77499999999998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25.181999999999999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11.017125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278.575875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59.491525423728788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1.6903370021186439</v>
      </c>
      <c r="P7" s="310">
        <f>M7+N7+O7</f>
        <v>339.75773742584744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12</v>
      </c>
      <c r="R7" s="313">
        <v>5</v>
      </c>
      <c r="S7" s="300" t="str">
        <f>+'5'!A6:A6</f>
        <v>Rehman Store</v>
      </c>
      <c r="T7" s="301">
        <f>+'5'!P35</f>
        <v>3136.2115850847458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</v>
      </c>
      <c r="I8" s="236">
        <f t="shared" ref="I8:I14" si="0">(G8*D8)*F8+H8*F8</f>
        <v>314.77499999999998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25.181999999999999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11.017125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278.575875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59.491525423728788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1.6903370021186439</v>
      </c>
      <c r="P8" s="311">
        <f t="shared" ref="P8:P15" si="2">M8+N8+O8</f>
        <v>339.75773742584744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6</v>
      </c>
      <c r="I9" s="236">
        <f t="shared" si="0"/>
        <v>314.77499999999998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25.181999999999999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11.017125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278.575875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59.491525423728788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1.6903370021186439</v>
      </c>
      <c r="P9" s="311">
        <f t="shared" si="2"/>
        <v>339.75773742584744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12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32</v>
      </c>
      <c r="I10" s="236">
        <f t="shared" si="0"/>
        <v>2324.48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185.95840000000001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81.356800000000007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2057.1648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439.32203389830511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12.482434169491526</v>
      </c>
      <c r="P10" s="311">
        <f t="shared" si="2"/>
        <v>2508.9692680677967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31</v>
      </c>
      <c r="I11" s="236">
        <f t="shared" si="0"/>
        <v>2251.84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180.1472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78.814400000000006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1992.8784000000001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425.59322033898309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12.092358101694916</v>
      </c>
      <c r="P11" s="311">
        <f t="shared" si="2"/>
        <v>2430.5639784406781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30</v>
      </c>
      <c r="I12" s="236">
        <f t="shared" si="0"/>
        <v>2179.1999999999998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174.33599999999998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76.272000000000006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1928.5919999999999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411.86440677966107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11.702282033898305</v>
      </c>
      <c r="P12" s="311">
        <f t="shared" si="2"/>
        <v>2352.1586888135594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2.7749999999999999</v>
      </c>
      <c r="H16" s="113">
        <f t="shared" ref="H16:M16" si="3">SUM(H7:H15)</f>
        <v>111</v>
      </c>
      <c r="I16" s="114">
        <f t="shared" si="3"/>
        <v>7699.8450000000003</v>
      </c>
      <c r="J16" s="274">
        <f>SUM(J7:J15)</f>
        <v>615.98760000000004</v>
      </c>
      <c r="K16" s="275">
        <f t="shared" si="3"/>
        <v>269.494575</v>
      </c>
      <c r="L16" s="276">
        <f t="shared" si="3"/>
        <v>0</v>
      </c>
      <c r="M16" s="232">
        <f t="shared" si="3"/>
        <v>6814.3628249999992</v>
      </c>
      <c r="N16" s="233">
        <f>SUM(N7:N15)</f>
        <v>1455.2542372881355</v>
      </c>
      <c r="O16" s="101">
        <f>SUM(O7:O15)</f>
        <v>41.348085311440677</v>
      </c>
      <c r="P16" s="113">
        <f>SUM(P7:P15)</f>
        <v>8310.9651475995761</v>
      </c>
      <c r="Q16" s="128">
        <f>SUM(Q7:Q15)</f>
        <v>24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7699.8450000000003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615.98760000000004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269.494575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6814.3628250000002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1455.2542372881355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8269.6170622881364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41.348085311440677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8310.9651475995779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8310.9651475995761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ref="I18:I21" si="7">(G18*D18)*F18+H18*F18</f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18</v>
      </c>
      <c r="I25" s="114">
        <f t="shared" ref="I25:M25" si="10">SUM(I16:I24)</f>
        <v>944.32499999999993</v>
      </c>
      <c r="J25" s="274">
        <f>SUM(J16:J24)</f>
        <v>75.545999999999992</v>
      </c>
      <c r="K25" s="275">
        <f t="shared" si="10"/>
        <v>33.051375</v>
      </c>
      <c r="L25" s="276">
        <f t="shared" si="10"/>
        <v>0</v>
      </c>
      <c r="M25" s="232">
        <f t="shared" si="10"/>
        <v>835.72762499999999</v>
      </c>
      <c r="N25" s="233">
        <f>SUM(N16:N24)</f>
        <v>178.47457627118638</v>
      </c>
      <c r="O25" s="101">
        <f>SUM(O16:O24)</f>
        <v>5.0710110063559313</v>
      </c>
      <c r="P25" s="234">
        <f>SUM(P16:P24)</f>
        <v>1019.2732122775424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944.32499999999993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75.545999999999992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33.051375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835.72762499999999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178.47457627118638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1014.2022012711864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5.0710110063559322</v>
      </c>
    </row>
    <row r="35" spans="2:16" ht="15.75" customHeight="1" thickBot="1" x14ac:dyDescent="0.4">
      <c r="N35" s="345" t="s">
        <v>88</v>
      </c>
      <c r="O35" s="346"/>
      <c r="P35" s="297">
        <f>+P33+P34</f>
        <v>1019.2732122775423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18</v>
      </c>
      <c r="I25" s="114">
        <f t="shared" si="7"/>
        <v>1307.52</v>
      </c>
      <c r="J25" s="274">
        <f>SUM(J16:J24)</f>
        <v>104.60160000000002</v>
      </c>
      <c r="K25" s="275">
        <f t="shared" si="7"/>
        <v>45.763200000000005</v>
      </c>
      <c r="L25" s="276">
        <f t="shared" si="7"/>
        <v>0</v>
      </c>
      <c r="M25" s="232">
        <f t="shared" si="7"/>
        <v>1157.1552000000001</v>
      </c>
      <c r="N25" s="233">
        <f>SUM(N16:N24)</f>
        <v>247.11864406779662</v>
      </c>
      <c r="O25" s="101">
        <f>SUM(O16:O24)</f>
        <v>7.0213692203389835</v>
      </c>
      <c r="P25" s="234">
        <f>SUM(P16:P24)</f>
        <v>1411.2952132881355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1307.52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104.60160000000002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45.763200000000005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1157.1551999999999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247.11864406779662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1404.2738440677965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7.0213692203389826</v>
      </c>
    </row>
    <row r="35" spans="2:16" ht="15.75" customHeight="1" thickBot="1" x14ac:dyDescent="0.4">
      <c r="N35" s="345" t="s">
        <v>88</v>
      </c>
      <c r="O35" s="346"/>
      <c r="P35" s="297">
        <f>+P33+P34</f>
        <v>1411.2952132881355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8.7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35</v>
      </c>
      <c r="I25" s="114">
        <f t="shared" si="7"/>
        <v>2542.3999999999996</v>
      </c>
      <c r="J25" s="274">
        <f>SUM(J16:J24)</f>
        <v>203.392</v>
      </c>
      <c r="K25" s="275">
        <f t="shared" si="7"/>
        <v>88.984000000000009</v>
      </c>
      <c r="L25" s="276">
        <f t="shared" si="7"/>
        <v>0</v>
      </c>
      <c r="M25" s="232">
        <f t="shared" si="7"/>
        <v>2250.0239999999999</v>
      </c>
      <c r="N25" s="233">
        <f>SUM(N16:N24)</f>
        <v>480.50847457627123</v>
      </c>
      <c r="O25" s="101">
        <f>SUM(O16:O24)</f>
        <v>13.652662372881355</v>
      </c>
      <c r="P25" s="234">
        <f>SUM(P16:P24)</f>
        <v>2744.1851369491524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2542.3999999999996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203.392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88.984000000000009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2250.0239999999999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480.50847457627123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2730.5324745762709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13.652662372881355</v>
      </c>
    </row>
    <row r="35" spans="2:16" ht="15.75" customHeight="1" thickBot="1" x14ac:dyDescent="0.4">
      <c r="N35" s="345" t="s">
        <v>88</v>
      </c>
      <c r="O35" s="346"/>
      <c r="P35" s="297">
        <f>+P33+P34</f>
        <v>2744.1851369491524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abSelected="1" topLeftCell="A6" workbookViewId="0">
      <selection activeCell="H18" sqref="H16: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12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12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24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119">
        <f t="shared" si="5"/>
        <v>1176.0793444067797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232.44799999999998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542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46289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46288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2026-09-23T09:27:41Z</dcterms:modified>
</cp:coreProperties>
</file>