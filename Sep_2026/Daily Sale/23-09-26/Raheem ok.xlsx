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7C4CA8F-D908-4E20-B8B2-18941476BC1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<sst xmlns="http://schemas.openxmlformats.org/spreadsheetml/2006/main" count="3948" uniqueCount="519">
  <si>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</si>
  <si>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</si>
  <si>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</si>
  <si>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</si>
  <si>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</si>
  <si>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</si>
  <si>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</si>
  <si>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</si>
  <si>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</si>
  <si>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</si>
  <si>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</si>
  <si>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</si>
  <si>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</si>
  <si>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</si>
  <si>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</si>
  <si>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</si>
  <si>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</si>
  <si>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</si>
  <si>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</si>
  <si>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</si>
  <si>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</si>
  <si>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</si>
  <si>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</si>
  <si>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</si>
  <si>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</si>
  <si>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</si>
  <si>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</si>
  <si>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</si>
  <si>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</si>
  <si>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</si>
  <si>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</si>
  <si>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</si>
  <si>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</si>
  <si>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</si>
  <si>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</si>
  <si>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</si>
  <si>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</si>
  <si>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</si>
  <si>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</si>
  <si>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</si>
  <si>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</si>
  <si>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</si>
  <si>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</si>
  <si>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</si>
  <si>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</si>
  <si>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</si>
  <si>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</si>
  <si>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</si>
  <si>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</si>
  <si>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</si>
  <si>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</si>
  <si>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</si>
  <si>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</si>
  <si>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</si>
  <si>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</si>
  <si>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</si>
  <si>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</si>
  <si>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</si>
  <si>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</si>
  <si>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</si>
  <si>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</si>
  <si>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</si>
  <si>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</si>
  <si>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</si>
  <si>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</si>
  <si>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</si>
  <si>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</si>
  <si>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</si>
  <si>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</si>
  <si>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</si>
  <si>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</si>
  <si>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</si>
  <si>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</si>
  <si>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</si>
  <si>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</si>
  <si>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</si>
  <si>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</si>
  <si>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</si>
  <si>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</si>
  <si>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</si>
  <si>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</si>
  <si>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</si>
  <si>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</si>
  <si>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</si>
  <si>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</si>
  <si>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</si>
  <si>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</si>
  <si>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</si>
  <si>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</si>
  <si>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</si>
  <si>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</si>
  <si>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</si>
  <si>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</si>
  <si>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</si>
  <si>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</si>
  <si>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</si>
  <si>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</si>
  <si>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</si>
  <si>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</si>
  <si>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</si>
  <si>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</si>
  <si>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</si>
  <si>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</si>
  <si>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</si>
  <si>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</si>
  <si>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</si>
  <si>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</si>
  <si>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</si>
  <si>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</si>
  <si>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</si>
  <si>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</si>
  <si>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</si>
  <si>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</si>
  <si>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</si>
  <si>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</si>
  <si>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</si>
  <si>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</si>
  <si>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</si>
  <si>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</si>
  <si>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</si>
  <si>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</si>
  <si>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</si>
  <si>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</si>
  <si>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</si>
  <si>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</si>
  <si>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</si>
  <si>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</si>
  <si>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</si>
  <si>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</si>
  <si>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</si>
  <si>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</si>
  <si>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</si>
  <si>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</si>
  <si>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</si>
  <si>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</si>
  <si>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</si>
  <si>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</si>
  <si>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</si>
  <si>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</si>
  <si>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</si>
  <si>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</si>
  <si>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</si>
  <si>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</si>
  <si>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</si>
  <si>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</si>
  <si>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</si>
  <si>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</si>
  <si>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</si>
  <si>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</si>
  <si>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</si>
  <si>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</si>
  <si>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</si>
  <si>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</si>
  <si>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</si>
  <si>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</si>
  <si>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</si>
  <si>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</si>
  <si>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</si>
  <si>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</si>
  <si>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</si>
  <si>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</si>
  <si>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</si>
  <si>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</si>
  <si>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</si>
  <si>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</si>
  <si>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</si>
  <si>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</si>
  <si>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</si>
  <si>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</si>
  <si>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</si>
  <si>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</si>
  <si>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</si>
  <si>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</si>
  <si>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</si>
  <si>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</si>
  <si>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</si>
  <si>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</si>
  <si>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</si>
  <si>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</si>
  <si>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</si>
  <si>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</si>
  <si>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</si>
  <si>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</si>
  <si>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</si>
  <si>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</si>
  <si>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</si>
  <si>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</si>
  <si>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</si>
  <si>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</si>
  <si>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</si>
  <si>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</si>
  <si>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</si>
  <si>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</si>
  <si>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</si>
  <si>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</si>
  <si>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</si>
  <si>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</si>
  <si>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</si>
  <si>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</si>
  <si>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</si>
  <si>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</si>
  <si>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</si>
  <si>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</si>
  <si>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</si>
  <si>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</si>
  <si>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</si>
  <si>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</si>
  <si>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</si>
  <si>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</si>
  <si>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</si>
  <si>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</si>
  <si>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</si>
  <si>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</si>
  <si>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</si>
  <si>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</si>
  <si>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</si>
  <si>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</si>
  <si>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</si>
  <si>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</si>
  <si>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</si>
  <si>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</si>
  <si>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</si>
  <si>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</si>
  <si>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</si>
  <si>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</si>
  <si>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</si>
  <si>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</si>
  <si>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</si>
  <si>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</si>
  <si>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</si>
  <si>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</si>
  <si>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</si>
  <si>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</si>
  <si>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</si>
  <si>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</si>
  <si>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</si>
  <si>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</si>
  <si>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</si>
  <si>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</si>
  <si>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</si>
  <si>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</si>
  <si>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</si>
  <si>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</si>
  <si>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</si>
  <si>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</si>
  <si>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</si>
  <si>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</si>
  <si>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</si>
  <si>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</si>
  <si>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</si>
  <si>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</si>
  <si>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</si>
  <si>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</si>
  <si>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</si>
  <si>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</si>
  <si>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</si>
  <si>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</si>
  <si>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</si>
  <si>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</si>
  <si>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</si>
  <si>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</si>
  <si>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</si>
  <si>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</si>
  <si>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</si>
  <si>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</si>
  <si>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</si>
  <si>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</si>
  <si>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</si>
  <si>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</si>
  <si>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</si>
  <si>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</si>
  <si>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</si>
  <si>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</si>
  <si>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</si>
  <si>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</si>
  <si>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</si>
  <si>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</si>
  <si>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</si>
  <si>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</si>
  <si>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</si>
  <si>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</si>
  <si>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</si>
  <si>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</si>
  <si>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</si>
  <si>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</si>
  <si>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</si>
  <si>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</si>
  <si>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</si>
  <si>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</si>
  <si>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</si>
  <si>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</si>
  <si>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</si>
  <si>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</si>
  <si>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</si>
  <si>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</si>
  <si>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</si>
  <si>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</si>
  <si>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</si>
  <si>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</si>
  <si>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</si>
  <si>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</si>
  <si>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</si>
  <si>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</si>
  <si>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</si>
  <si>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</si>
  <si>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</si>
  <si>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</si>
  <si>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</si>
  <si>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</si>
  <si>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</si>
  <si>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</si>
  <si>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</si>
  <si>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</si>
  <si>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</si>
  <si>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</si>
  <si>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</si>
  <si>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</si>
  <si>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</si>
  <si>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</si>
  <si>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</si>
  <si>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</si>
  <si>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</si>
  <si>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</si>
  <si>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</si>
  <si>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</si>
  <si>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</si>
  <si>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</si>
  <si>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</si>
  <si>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</si>
  <si>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</si>
  <si>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</si>
  <si>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</si>
  <si>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</si>
  <si>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</si>
  <si>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</si>
  <si>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</si>
  <si>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</si>
  <si>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</si>
  <si>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</si>
  <si>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</si>
  <si>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</si>
  <si>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</si>
  <si>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</si>
  <si>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</si>
  <si>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</si>
  <si>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</si>
  <si>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</si>
  <si>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</si>
  <si>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</si>
  <si>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</si>
  <si>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</si>
  <si>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</si>
  <si>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</si>
  <si>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</si>
  <si>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</si>
  <si>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</si>
  <si>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</si>
  <si>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</si>
  <si>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</si>
  <si>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</si>
  <si>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</si>
  <si>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</si>
  <si>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</si>
  <si>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</si>
  <si>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</si>
  <si>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</si>
  <si>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</si>
  <si>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</si>
  <si>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</si>
  <si>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</si>
  <si>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</si>
  <si>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</si>
  <si>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</si>
  <si>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</si>
  <si>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</si>
  <si>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</si>
  <si>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</si>
  <si>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</si>
  <si>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</si>
  <si>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</si>
  <si>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</si>
  <si>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</si>
  <si>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</si>
  <si>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</si>
  <si>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</si>
  <si>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</si>
  <si>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</si>
  <si>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</si>
  <si>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</si>
  <si>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</si>
  <si>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</si>
  <si>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</si>
  <si>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</si>
  <si>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</si>
  <si>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</si>
  <si>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</si>
  <si>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</si>
  <si>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</si>
  <si>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</si>
  <si>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</si>
  <si>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</si>
  <si>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</si>
  <si>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</si>
  <si>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</si>
  <si>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</si>
  <si>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</si>
  <si>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</si>
  <si>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</si>
  <si>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</si>
  <si>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</si>
  <si>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</si>
  <si>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</si>
  <si>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</si>
  <si>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</si>
  <si>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</si>
  <si>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</si>
  <si>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</si>
  <si>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</si>
  <si>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</si>
  <si>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</si>
  <si>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</si>
  <si>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</si>
  <si>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</si>
  <si>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</si>
  <si>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</si>
  <si>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</si>
  <si>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</si>
  <si>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</si>
  <si>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</si>
  <si>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</si>
  <si>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</si>
  <si>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</si>
  <si>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</si>
  <si>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</si>
  <si>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</si>
  <si>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</si>
  <si>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</si>
  <si>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</si>
  <si>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</si>
  <si>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</si>
  <si>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</si>
  <si>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</si>
  <si>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</si>
  <si>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</si>
  <si>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</si>
  <si>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</si>
  <si>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</si>
  <si>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</si>
  <si>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</si>
  <si>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</si>
  <si>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</si>
  <si>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</si>
  <si>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</si>
  <si>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</si>
  <si>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</si>
  <si>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</si>
  <si>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</si>
  <si>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</si>
  <si>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</si>
  <si>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</si>
  <si>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</si>
  <si>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</si>
  <si>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</si>
  <si>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</si>
  <si>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</si>
  <si>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</si>
  <si>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</si>
  <si>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</si>
  <si>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</si>
  <si>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</si>
  <si>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</si>
  <si>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</si>
  <si>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</si>
  <si>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</si>
  <si>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</si>
  <si>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</si>
  <si>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</si>
  <si>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</si>
  <si>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</si>
  <si>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</si>
  <si>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</si>
  <si>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</si>
  <si>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</si>
  <si>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</si>
  <si>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</si>
  <si>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</si>
  <si>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</si>
  <si>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</si>
  <si>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</si>
  <si>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</si>
  <si>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</si>
  <si>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</si>
  <si>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</si>
  <si>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</si>
  <si>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</si>
  <si>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</si>
  <si>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</si>
  <si>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</si>
  <si>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</si>
  <si>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</si>
  <si>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</si>
  <si>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</si>
  <si>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</si>
  <si>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</si>
  <si>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</si>
  <si>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</si>
  <si>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</si>
  <si>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</si>
  <si>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</si>
  <si>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</si>
  <si>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</si>
  <si>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</si>
  <si>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</si>
  <si>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</si>
  <si>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</si>
  <si>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</si>
  <si>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 xml:space="preserve">Address: Wapda Town </t>
  </si>
  <si>
    <t>Invoice No # : 000125</t>
  </si>
  <si>
    <t>NTN : // : 4920922-6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</si>
</sst>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46288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Raheem Store</v>
      </c>
      <c r="T3" s="301">
        <f>+'1'!P35</f>
        <v>46224.607025211859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17</v>
      </c>
      <c r="H16" s="113">
        <f t="shared" ref="H16:M16" si="3">SUM(H7:H15)</f>
        <v>680</v>
      </c>
      <c r="I16" s="114">
        <f t="shared" si="3"/>
        <v>45359.7</v>
      </c>
      <c r="J16" s="274">
        <f>SUM(J7:J15)</f>
        <v>6350.3580000000002</v>
      </c>
      <c r="K16" s="275">
        <f t="shared" si="3"/>
        <v>1587.5895</v>
      </c>
      <c r="L16" s="276">
        <f t="shared" si="3"/>
        <v>0</v>
      </c>
      <c r="M16" s="232">
        <f t="shared" si="3"/>
        <v>37421.752499999995</v>
      </c>
      <c r="N16" s="233">
        <f>SUM(N7:N15)</f>
        <v>8572.8813559322025</v>
      </c>
      <c r="O16" s="101">
        <f>SUM(O7:O15)</f>
        <v>229.97316927966102</v>
      </c>
      <c r="P16" s="113">
        <f>SUM(P7:P15)</f>
        <v>46224.607025211859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45359.7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6350.3580000000002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1587.5895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37421.752499999995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8572.8813559322025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45994.633855932196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229.97316927966102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46224.607025211859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46224.607025211859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46288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46287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680</v>
      </c>
      <c r="I25" s="114">
        <f t="shared" ref="I25:M25" si="10">SUM(I16:I24)</f>
        <v>45359.7</v>
      </c>
      <c r="J25" s="274">
        <f>SUM(J16:J24)</f>
        <v>6350.3580000000002</v>
      </c>
      <c r="K25" s="275">
        <f t="shared" si="10"/>
        <v>1587.5895</v>
      </c>
      <c r="L25" s="276">
        <f t="shared" si="10"/>
        <v>0</v>
      </c>
      <c r="M25" s="232">
        <f t="shared" si="10"/>
        <v>37421.752499999995</v>
      </c>
      <c r="N25" s="233">
        <f>SUM(N16:N24)</f>
        <v>8572.8813559322025</v>
      </c>
      <c r="O25" s="101">
        <f>SUM(O16:O24)</f>
        <v>229.97316927966102</v>
      </c>
      <c r="P25" s="113">
        <f>SUM(P16:P24)</f>
        <v>46224.607025211859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45359.7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6350.3580000000002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1587.5895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37421.752499999995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8572.8813559322025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45994.633855932196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229.97316927966099</v>
      </c>
    </row>
    <row r="35" spans="2:16" ht="15.75" customHeight="1" thickBot="1" x14ac:dyDescent="0.4">
      <c r="N35" s="372" t="s">
        <v>88</v>
      </c>
      <c r="O35" s="373"/>
      <c r="P35" s="297">
        <f>+P33+P34</f>
        <v>46224.607025211859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46289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46288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2026-09-23T12:09:53Z</dcterms:modified>
</cp:coreProperties>
</file>