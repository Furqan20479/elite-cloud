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F8F8826-D408-4C3B-A3DC-32798BAC44F9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<sst xmlns="http://schemas.openxmlformats.org/spreadsheetml/2006/main" count="3918" uniqueCount="519">
  <si>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</si>
  <si>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</si>
  <si>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</si>
  <si>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</si>
  <si>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</si>
  <si>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</si>
  <si>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</si>
  <si>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</si>
  <si>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</si>
  <si>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</si>
  <si>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</si>
  <si>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</si>
  <si>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</si>
  <si>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</si>
  <si>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</si>
  <si>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</si>
  <si>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</si>
  <si>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</si>
  <si>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</si>
  <si>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</si>
  <si>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</si>
  <si>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</si>
  <si>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</si>
  <si>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</si>
  <si>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</si>
  <si>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</si>
  <si>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</si>
  <si>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</si>
  <si>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</si>
  <si>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</si>
  <si>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</si>
  <si>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</si>
  <si>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</si>
  <si>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</si>
  <si>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</si>
  <si>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</si>
  <si>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</si>
  <si>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</si>
  <si>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</si>
  <si>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</si>
  <si>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</si>
  <si>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</si>
  <si>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</si>
  <si>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</si>
  <si>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</si>
  <si>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</si>
  <si>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</si>
  <si>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</si>
  <si>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</si>
  <si>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</si>
  <si>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</si>
  <si>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</si>
  <si>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</si>
  <si>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</si>
  <si>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</si>
  <si>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</si>
  <si>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</si>
  <si>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</si>
  <si>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</si>
  <si>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</si>
  <si>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</si>
  <si>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</si>
  <si>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</si>
  <si>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</si>
  <si>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</si>
  <si>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</si>
  <si>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</si>
  <si>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</si>
  <si>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</si>
  <si>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</si>
  <si>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</si>
  <si>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</si>
  <si>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</si>
  <si>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</si>
  <si>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</si>
  <si>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</si>
  <si>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</si>
  <si>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</si>
  <si>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</si>
  <si>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</si>
  <si>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</si>
  <si>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</si>
  <si>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</si>
  <si>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</si>
  <si>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</si>
  <si>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</si>
  <si>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</si>
  <si>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</si>
  <si>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</si>
  <si>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</si>
  <si>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</si>
  <si>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</si>
  <si>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</si>
  <si>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</si>
  <si>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</si>
  <si>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</si>
  <si>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</si>
  <si>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</si>
  <si>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</si>
  <si>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</si>
  <si>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</si>
  <si>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</si>
  <si>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</si>
  <si>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</si>
  <si>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</si>
  <si>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</si>
  <si>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</si>
  <si>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</si>
  <si>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</si>
  <si>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</si>
  <si>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</si>
  <si>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</si>
  <si>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</si>
  <si>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</si>
  <si>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</si>
  <si>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</si>
  <si>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</si>
  <si>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</si>
  <si>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</si>
  <si>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</si>
  <si>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</si>
  <si>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</si>
  <si>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</si>
  <si>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</si>
  <si>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</si>
  <si>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</si>
  <si>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</si>
  <si>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</si>
  <si>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</si>
  <si>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</si>
  <si>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</si>
  <si>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</si>
  <si>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</si>
  <si>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</si>
  <si>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</si>
  <si>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</si>
  <si>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</si>
  <si>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</si>
  <si>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</si>
  <si>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</si>
  <si>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</si>
  <si>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</si>
  <si>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</si>
  <si>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</si>
  <si>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</si>
  <si>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</si>
  <si>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</si>
  <si>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</si>
  <si>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</si>
  <si>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</si>
  <si>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</si>
  <si>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</si>
  <si>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</si>
  <si>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</si>
  <si>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</si>
  <si>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</si>
  <si>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</si>
  <si>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</si>
  <si>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</si>
  <si>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</si>
  <si>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</si>
  <si>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</si>
  <si>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</si>
  <si>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</si>
  <si>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</si>
  <si>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</si>
  <si>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</si>
  <si>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</si>
  <si>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</si>
  <si>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</si>
  <si>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</si>
  <si>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</si>
  <si>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</si>
  <si>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</si>
  <si>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</si>
  <si>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</si>
  <si>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</si>
  <si>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</si>
  <si>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</si>
  <si>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</si>
  <si>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</si>
  <si>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</si>
  <si>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</si>
  <si>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</si>
  <si>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</si>
  <si>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</si>
  <si>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</si>
  <si>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</si>
  <si>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</si>
  <si>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</si>
  <si>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</si>
  <si>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</si>
  <si>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</si>
  <si>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</si>
  <si>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</si>
  <si>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</si>
  <si>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</si>
  <si>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</si>
  <si>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</si>
  <si>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</si>
  <si>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</si>
  <si>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</si>
  <si>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</si>
  <si>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</si>
  <si>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</si>
  <si>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</si>
  <si>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</si>
  <si>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</si>
  <si>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</si>
  <si>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</si>
  <si>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</si>
  <si>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</si>
  <si>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</si>
  <si>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</si>
  <si>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</si>
  <si>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</si>
  <si>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</si>
  <si>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</si>
  <si>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</si>
  <si>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</si>
  <si>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</si>
  <si>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</si>
  <si>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</si>
  <si>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</si>
  <si>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</si>
  <si>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</si>
  <si>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</si>
  <si>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</si>
  <si>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</si>
  <si>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</si>
  <si>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</si>
  <si>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</si>
  <si>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</si>
  <si>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</si>
  <si>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</si>
  <si>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</si>
  <si>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</si>
  <si>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</si>
  <si>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</si>
  <si>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</si>
  <si>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</si>
  <si>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</si>
  <si>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</si>
  <si>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</si>
  <si>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</si>
  <si>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</si>
  <si>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</si>
  <si>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</si>
  <si>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</si>
  <si>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</si>
  <si>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</si>
  <si>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</si>
  <si>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</si>
  <si>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</si>
  <si>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</si>
  <si>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</si>
  <si>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</si>
  <si>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</si>
  <si>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</si>
  <si>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</si>
  <si>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</si>
  <si>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</si>
  <si>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</si>
  <si>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</si>
  <si>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</si>
  <si>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</si>
  <si>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</si>
  <si>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</si>
  <si>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</si>
  <si>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</si>
  <si>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</si>
  <si>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</si>
  <si>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</si>
  <si>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</si>
  <si>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</si>
  <si>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</si>
  <si>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</si>
  <si>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</si>
  <si>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</si>
  <si>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</si>
  <si>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</si>
  <si>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</si>
  <si>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</si>
  <si>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</si>
  <si>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</si>
  <si>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</si>
  <si>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</si>
  <si>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</si>
  <si>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</si>
  <si>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</si>
  <si>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</si>
  <si>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</si>
  <si>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</si>
  <si>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</si>
  <si>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</si>
  <si>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</si>
  <si>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</si>
  <si>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</si>
  <si>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</si>
  <si>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</si>
  <si>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</si>
  <si>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</si>
  <si>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</si>
  <si>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</si>
  <si>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</si>
  <si>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</si>
  <si>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</si>
  <si>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</si>
  <si>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</si>
  <si>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</si>
  <si>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</si>
  <si>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</si>
  <si>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</si>
  <si>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</si>
  <si>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</si>
  <si>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</si>
  <si>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</si>
  <si>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</si>
  <si>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</si>
  <si>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</si>
  <si>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</si>
  <si>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</si>
  <si>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</si>
  <si>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</si>
  <si>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</si>
  <si>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</si>
  <si>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</si>
  <si>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</si>
  <si>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</si>
  <si>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</si>
  <si>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</si>
  <si>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</si>
  <si>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</si>
  <si>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</si>
  <si>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</si>
  <si>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</si>
  <si>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</si>
  <si>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</si>
  <si>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</si>
  <si>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</si>
  <si>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</si>
  <si>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</si>
  <si>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</si>
  <si>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</si>
  <si>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</si>
  <si>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</si>
  <si>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</si>
  <si>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</si>
  <si>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</si>
  <si>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</si>
  <si>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</si>
  <si>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</si>
  <si>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</si>
  <si>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</si>
  <si>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</si>
  <si>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</si>
  <si>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</si>
  <si>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</si>
  <si>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</si>
  <si>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</si>
  <si>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</si>
  <si>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</si>
  <si>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</si>
  <si>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</si>
  <si>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</si>
  <si>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</si>
  <si>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</si>
  <si>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</si>
  <si>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</si>
  <si>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</si>
  <si>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</si>
  <si>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</si>
  <si>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</si>
  <si>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</si>
  <si>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</si>
  <si>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</si>
  <si>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</si>
  <si>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</si>
  <si>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</si>
  <si>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</si>
  <si>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</si>
  <si>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</si>
  <si>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</si>
  <si>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</si>
  <si>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</si>
  <si>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</si>
  <si>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</si>
  <si>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</si>
  <si>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</si>
  <si>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</si>
  <si>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</si>
  <si>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</si>
  <si>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</si>
  <si>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</si>
  <si>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</si>
  <si>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</si>
  <si>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</si>
  <si>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</si>
  <si>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</si>
  <si>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</si>
  <si>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</si>
  <si>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</si>
  <si>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</si>
  <si>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</si>
  <si>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</si>
  <si>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</si>
  <si>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</si>
  <si>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</si>
  <si>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</si>
  <si>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</si>
  <si>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</si>
  <si>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</si>
  <si>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</si>
  <si>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</si>
  <si>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</si>
  <si>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</si>
  <si>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</si>
  <si>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</si>
  <si>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</si>
  <si>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</si>
  <si>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</si>
  <si>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</si>
  <si>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</si>
  <si>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</si>
  <si>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</si>
  <si>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</si>
  <si>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</si>
  <si>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</si>
  <si>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</si>
  <si>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</si>
  <si>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</si>
  <si>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</si>
  <si>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</si>
  <si>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</si>
  <si>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</si>
  <si>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</si>
  <si>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</si>
  <si>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</si>
  <si>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</si>
  <si>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</si>
  <si>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</si>
  <si>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</si>
  <si>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</si>
  <si>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</si>
  <si>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</si>
  <si>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</si>
  <si>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</si>
  <si>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</si>
  <si>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</si>
  <si>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</si>
  <si>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</si>
  <si>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</si>
  <si>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</si>
  <si>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</si>
  <si>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</si>
  <si>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</si>
  <si>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</si>
  <si>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</si>
  <si>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</si>
  <si>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</si>
  <si>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</si>
  <si>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</si>
  <si>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</si>
  <si>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</si>
  <si>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</si>
  <si>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</si>
  <si>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</si>
  <si>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</si>
  <si>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</si>
  <si>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</si>
  <si>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</si>
  <si>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</si>
  <si>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</si>
  <si>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</si>
  <si>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</si>
  <si>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</si>
  <si>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</si>
  <si>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</si>
  <si>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</si>
  <si>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</si>
  <si>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</si>
  <si>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</si>
  <si>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</si>
  <si>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</si>
  <si>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</si>
  <si>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</si>
  <si>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</si>
  <si>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</si>
  <si>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</si>
  <si>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</si>
  <si>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</si>
  <si>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</si>
  <si>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</si>
  <si>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</si>
  <si>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</si>
  <si>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</si>
  <si>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</si>
  <si>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</si>
  <si>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</si>
  <si>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</si>
  <si>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</si>
  <si>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</si>
  <si>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</si>
  <si>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</si>
  <si>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</si>
  <si>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</si>
  <si>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</si>
  <si>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</si>
  <si>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</si>
  <si>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</si>
  <si>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</si>
  <si>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</si>
  <si>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</si>
  <si>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Swera Store</t>
  </si>
  <si>
    <t>Address: Shadman</t>
  </si>
  <si>
    <t>NTN #:1265416-7 / STRN : 3520268948847</t>
  </si>
  <si>
    <t>Invoice No # :15131</t>
  </si>
  <si>
    <t>Address: Punjab Society</t>
  </si>
  <si>
    <t>Invoice No # :00012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</si>
</sst>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F10" sqref="F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512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46268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Swera Store</v>
      </c>
      <c r="T3" s="301">
        <f>+'1'!P35</f>
        <v>70620.684988093213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Swera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Swera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Swera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755.45999999999992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5319.6975000000002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32.547640042372876</v>
      </c>
      <c r="P7" s="310">
        <f>M7+N7+O7</f>
        <v>6542.0756485169486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Swera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1259.0999999999999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8866.1625000000004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54.246066737288132</v>
      </c>
      <c r="P8" s="311">
        <f t="shared" ref="P8:P15" si="2">M8+N8+O8</f>
        <v>10903.459414194915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Swera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1259.0999999999999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8866.1625000000004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54.246066737288132</v>
      </c>
      <c r="P9" s="311">
        <f t="shared" si="2"/>
        <v>10903.459414194915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Swera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1394.6879999999999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9820.9279999999999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60.087690847457623</v>
      </c>
      <c r="P10" s="311">
        <f t="shared" si="2"/>
        <v>12077.625860338983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Swera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1743.36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12276.16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75.109613559322028</v>
      </c>
      <c r="P11" s="311">
        <f t="shared" si="2"/>
        <v>15097.032325423728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Swera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1743.36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12276.16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75.109613559322028</v>
      </c>
      <c r="P12" s="311">
        <f t="shared" si="2"/>
        <v>15097.032325423728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Swera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Swera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Swera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Swera Store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27</v>
      </c>
      <c r="H16" s="113">
        <f t="shared" ref="H16:M16" si="3">SUM(H7:H15)</f>
        <v>1080</v>
      </c>
      <c r="I16" s="114">
        <f t="shared" si="3"/>
        <v>67958.899999999994</v>
      </c>
      <c r="J16" s="274">
        <f>SUM(J7:J15)</f>
        <v>8155.0679999999993</v>
      </c>
      <c r="K16" s="275">
        <f t="shared" si="3"/>
        <v>2378.5615000000003</v>
      </c>
      <c r="L16" s="276">
        <f t="shared" si="3"/>
        <v>0</v>
      </c>
      <c r="M16" s="232">
        <f t="shared" si="3"/>
        <v>57425.270499999999</v>
      </c>
      <c r="N16" s="233">
        <f>SUM(N7:N15)</f>
        <v>12844.067796610167</v>
      </c>
      <c r="O16" s="101">
        <f>SUM(O7:O15)</f>
        <v>351.34669148305085</v>
      </c>
      <c r="P16" s="113">
        <f>SUM(P7:P15)</f>
        <v>70620.684988093228</v>
      </c>
      <c r="Q16" s="128">
        <f>SUM(Q7:Q15)</f>
        <v>0</v>
      </c>
      <c r="R16" s="314">
        <v>14</v>
      </c>
      <c r="S16" s="318" t="str">
        <f>+'14'!A6:A6</f>
        <v>Swera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Swera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Swera Store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67958.899999999994</v>
      </c>
      <c r="R19" s="299">
        <v>17</v>
      </c>
      <c r="S19" s="300" t="str">
        <f>+'17'!A6:A6</f>
        <v>Swera Store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8155.0679999999993</v>
      </c>
      <c r="R20" s="299">
        <v>18</v>
      </c>
      <c r="S20" s="300" t="str">
        <f>+'18'!A6:A6</f>
        <v>Swera Store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2378.5615000000003</v>
      </c>
      <c r="R21" s="299">
        <v>19</v>
      </c>
      <c r="S21" s="300" t="str">
        <f>+'19'!A6:A6</f>
        <v>Swera Store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57425.270499999991</v>
      </c>
      <c r="R22" s="299">
        <v>20</v>
      </c>
      <c r="S22" s="300" t="str">
        <f>+'20'!A6:A6</f>
        <v>Swera Store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12844.067796610167</v>
      </c>
      <c r="R23" s="299">
        <v>21</v>
      </c>
      <c r="S23" s="300" t="str">
        <f>+'21'!A6:A6</f>
        <v>Swera Store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70269.338296610164</v>
      </c>
      <c r="R24" s="299">
        <v>22</v>
      </c>
      <c r="S24" s="300" t="str">
        <f>+'22'!A6:A6</f>
        <v>Swera Store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351.34669148305085</v>
      </c>
      <c r="R25" s="299">
        <v>23</v>
      </c>
      <c r="S25" s="300" t="str">
        <f>+'23'!A6:A6</f>
        <v>Swera Store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70620.684988093213</v>
      </c>
      <c r="R26" s="299">
        <v>24</v>
      </c>
      <c r="S26" s="300" t="str">
        <f>+'24'!A6:A6</f>
        <v>Swera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Swera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Swera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Swera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Swera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Swera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Swera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70620.684988093213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E11" sqref="E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518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7.2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755.45999999999992</v>
      </c>
      <c r="K16" s="127">
        <f>$I16*T16</f>
        <v>220.34250000000003</v>
      </c>
      <c r="L16" s="118">
        <f>$I16*U16</f>
        <v>0</v>
      </c>
      <c r="M16" s="229">
        <f>I16-SUM(J16:L16)</f>
        <v>5319.6975000000002</v>
      </c>
      <c r="N16" s="248">
        <f>+(G16*D16+H16)*V16</f>
        <v>1189.8305084745757</v>
      </c>
      <c r="O16" s="238">
        <f>(N16+M16)*$O$15</f>
        <v>32.547640042372876</v>
      </c>
      <c r="P16" s="310">
        <f>M16+N16+O16</f>
        <v>6542.0756485169486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200</v>
      </c>
      <c r="I17" s="236">
        <f t="shared" ref="I17:I23" si="0">(G17*D17)*F17+H17*F17</f>
        <v>10492.5</v>
      </c>
      <c r="J17" s="272">
        <f t="shared" ref="J17:L24" si="1">$I17*S17</f>
        <v>1259.0999999999999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8866.1625000000004</v>
      </c>
      <c r="N17" s="277">
        <f t="shared" ref="N17:N24" si="3">+(G17*D17+H17)*V17</f>
        <v>1983.0508474576263</v>
      </c>
      <c r="O17" s="239">
        <f t="shared" ref="O17:O24" si="4">(N17+M17)*$O$15</f>
        <v>54.246066737288132</v>
      </c>
      <c r="P17" s="311">
        <f t="shared" ref="P17:P24" si="5">M17+N17+O17</f>
        <v>10903.459414194915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1259.0999999999999</v>
      </c>
      <c r="K18" s="128">
        <f t="shared" si="1"/>
        <v>367.23750000000001</v>
      </c>
      <c r="L18" s="119">
        <f t="shared" si="1"/>
        <v>0</v>
      </c>
      <c r="M18" s="230">
        <f t="shared" si="2"/>
        <v>8866.1625000000004</v>
      </c>
      <c r="N18" s="277">
        <f t="shared" si="3"/>
        <v>1983.0508474576263</v>
      </c>
      <c r="O18" s="239">
        <f t="shared" si="4"/>
        <v>54.246066737288132</v>
      </c>
      <c r="P18" s="311">
        <f t="shared" si="5"/>
        <v>10903.459414194915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7"/>
        <v>11622.4</v>
      </c>
      <c r="J19" s="272">
        <f t="shared" si="1"/>
        <v>1394.6879999999999</v>
      </c>
      <c r="K19" s="128">
        <f t="shared" si="1"/>
        <v>406.78400000000005</v>
      </c>
      <c r="L19" s="119">
        <f t="shared" si="1"/>
        <v>0</v>
      </c>
      <c r="M19" s="230">
        <f t="shared" si="2"/>
        <v>9820.9279999999999</v>
      </c>
      <c r="N19" s="277">
        <f t="shared" si="3"/>
        <v>2196.6101694915255</v>
      </c>
      <c r="O19" s="239">
        <f t="shared" si="4"/>
        <v>60.087690847457623</v>
      </c>
      <c r="P19" s="311">
        <f t="shared" si="5"/>
        <v>12077.625860338983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1743.36</v>
      </c>
      <c r="K20" s="128">
        <f t="shared" si="1"/>
        <v>508.48000000000008</v>
      </c>
      <c r="L20" s="119">
        <f t="shared" si="1"/>
        <v>0</v>
      </c>
      <c r="M20" s="230">
        <f t="shared" si="2"/>
        <v>12276.16</v>
      </c>
      <c r="N20" s="277">
        <f t="shared" si="3"/>
        <v>2745.7627118644068</v>
      </c>
      <c r="O20" s="239">
        <f t="shared" si="4"/>
        <v>75.109613559322028</v>
      </c>
      <c r="P20" s="311">
        <f t="shared" si="5"/>
        <v>15097.032325423728</v>
      </c>
      <c r="Q20" s="156"/>
      <c r="R20">
        <f>P20/21</f>
        <v>718.90630121065374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1743.36</v>
      </c>
      <c r="K21" s="128">
        <f t="shared" si="1"/>
        <v>508.48000000000008</v>
      </c>
      <c r="L21" s="119">
        <f t="shared" si="1"/>
        <v>0</v>
      </c>
      <c r="M21" s="230">
        <f t="shared" si="2"/>
        <v>12276.16</v>
      </c>
      <c r="N21" s="277">
        <f t="shared" si="3"/>
        <v>2745.7627118644068</v>
      </c>
      <c r="O21" s="239">
        <f t="shared" si="4"/>
        <v>75.109613559322028</v>
      </c>
      <c r="P21" s="311">
        <f t="shared" si="5"/>
        <v>15097.032325423728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1080</v>
      </c>
      <c r="I25" s="114">
        <f t="shared" ref="I25:M25" si="10">SUM(I16:I24)</f>
        <v>67958.899999999994</v>
      </c>
      <c r="J25" s="274">
        <f>SUM(J16:J24)</f>
        <v>8155.0679999999993</v>
      </c>
      <c r="K25" s="275">
        <f t="shared" si="10"/>
        <v>2378.5615000000003</v>
      </c>
      <c r="L25" s="276">
        <f t="shared" si="10"/>
        <v>0</v>
      </c>
      <c r="M25" s="232">
        <f t="shared" si="10"/>
        <v>57425.270499999999</v>
      </c>
      <c r="N25" s="233">
        <f>SUM(N16:N24)</f>
        <v>12844.067796610167</v>
      </c>
      <c r="O25" s="101">
        <f>SUM(O16:O24)</f>
        <v>351.34669148305085</v>
      </c>
      <c r="P25" s="113">
        <f>SUM(P16:P24)</f>
        <v>70620.684988093228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67958.899999999994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8155.0679999999993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2378.5615000000003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57425.270499999991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12844.067796610167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70269.338296610164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351.34669148305085</v>
      </c>
    </row>
    <row r="35" spans="2:16" ht="15.75" customHeight="1" thickBot="1" x14ac:dyDescent="0.4">
      <c r="N35" s="345" t="s">
        <v>88</v>
      </c>
      <c r="O35" s="346"/>
      <c r="P35" s="297">
        <f>+P33+P34</f>
        <v>70620.684988093213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8.7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8.7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46289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46288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2026-09-23T12:11:05Z</dcterms:modified>
</cp:coreProperties>
</file>