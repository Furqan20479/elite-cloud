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921AC1E-0A25-4219-9EB5-96AAF1232FB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<sst xmlns="http://schemas.openxmlformats.org/spreadsheetml/2006/main" count="3948" uniqueCount="524">
  <si>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</si>
  <si>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</si>
  <si>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</si>
  <si>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</si>
  <si>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</si>
  <si>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</si>
  <si>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</si>
  <si>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</si>
  <si>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</si>
  <si>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</si>
  <si>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</si>
  <si>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</si>
  <si>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</si>
  <si>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</si>
  <si>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</si>
  <si>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</si>
  <si>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</si>
  <si>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</si>
  <si>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</si>
  <si>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</si>
  <si>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</si>
  <si>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</si>
  <si>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</si>
  <si>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</si>
  <si>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</si>
  <si>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</si>
  <si>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</si>
  <si>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</si>
  <si>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</si>
  <si>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</si>
  <si>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</si>
  <si>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</si>
  <si>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</si>
  <si>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</si>
  <si>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</si>
  <si>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</si>
  <si>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</si>
  <si>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</si>
  <si>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</si>
  <si>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</si>
  <si>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</si>
  <si>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</si>
  <si>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</si>
  <si>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</si>
  <si>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</si>
  <si>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</si>
  <si>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</si>
  <si>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</si>
  <si>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</si>
  <si>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</si>
  <si>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</si>
  <si>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</si>
  <si>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</si>
  <si>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</si>
  <si>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</si>
  <si>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</si>
  <si>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</si>
  <si>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</si>
  <si>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</si>
  <si>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</si>
  <si>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</si>
  <si>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</si>
  <si>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</si>
  <si>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</si>
  <si>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</si>
  <si>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</si>
  <si>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</si>
  <si>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</si>
  <si>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</si>
  <si>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</si>
  <si>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</si>
  <si>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</si>
  <si>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</si>
  <si>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</si>
  <si>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</si>
  <si>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</si>
  <si>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</si>
  <si>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</si>
  <si>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</si>
  <si>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</si>
  <si>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</si>
  <si>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</si>
  <si>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</si>
  <si>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</si>
  <si>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</si>
  <si>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</si>
  <si>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</si>
  <si>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</si>
  <si>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</si>
  <si>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</si>
  <si>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</si>
  <si>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</si>
  <si>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</si>
  <si>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</si>
  <si>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</si>
  <si>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</si>
  <si>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</si>
  <si>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</si>
  <si>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</si>
  <si>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</si>
  <si>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</si>
  <si>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</si>
  <si>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</si>
  <si>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</si>
  <si>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</si>
  <si>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</si>
  <si>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</si>
  <si>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</si>
  <si>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</si>
  <si>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</si>
  <si>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</si>
  <si>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</si>
  <si>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</si>
  <si>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</si>
  <si>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</si>
  <si>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</si>
  <si>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</si>
  <si>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</si>
  <si>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</si>
  <si>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</si>
  <si>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</si>
  <si>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</si>
  <si>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</si>
  <si>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</si>
  <si>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</si>
  <si>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</si>
  <si>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</si>
  <si>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</si>
  <si>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</si>
  <si>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</si>
  <si>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</si>
  <si>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</si>
  <si>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</si>
  <si>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</si>
  <si>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</si>
  <si>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</si>
  <si>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</si>
  <si>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</si>
  <si>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</si>
  <si>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</si>
  <si>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</si>
  <si>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</si>
  <si>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</si>
  <si>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</si>
  <si>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</si>
  <si>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</si>
  <si>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</si>
  <si>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</si>
  <si>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</si>
  <si>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</si>
  <si>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</si>
  <si>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</si>
  <si>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</si>
  <si>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</si>
  <si>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</si>
  <si>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</si>
  <si>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</si>
  <si>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</si>
  <si>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</si>
  <si>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</si>
  <si>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</si>
  <si>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</si>
  <si>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</si>
  <si>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</si>
  <si>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</si>
  <si>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</si>
  <si>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</si>
  <si>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</si>
  <si>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</si>
  <si>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</si>
  <si>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</si>
  <si>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</si>
  <si>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</si>
  <si>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</si>
  <si>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</si>
  <si>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</si>
  <si>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</si>
  <si>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</si>
  <si>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</si>
  <si>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</si>
  <si>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</si>
  <si>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</si>
  <si>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</si>
  <si>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</si>
  <si>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</si>
  <si>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</si>
  <si>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</si>
  <si>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</si>
  <si>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</si>
  <si>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</si>
  <si>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</si>
  <si>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</si>
  <si>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</si>
  <si>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</si>
  <si>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</si>
  <si>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</si>
  <si>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</si>
  <si>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</si>
  <si>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</si>
  <si>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</si>
  <si>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</si>
  <si>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</si>
  <si>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</si>
  <si>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</si>
  <si>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</si>
  <si>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</si>
  <si>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</si>
  <si>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</si>
  <si>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</si>
  <si>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</si>
  <si>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</si>
  <si>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</si>
  <si>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</si>
  <si>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</si>
  <si>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</si>
  <si>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</si>
  <si>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</si>
  <si>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</si>
  <si>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</si>
  <si>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</si>
  <si>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</si>
  <si>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</si>
  <si>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</si>
  <si>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</si>
  <si>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</si>
  <si>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</si>
  <si>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</si>
  <si>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</si>
  <si>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</si>
  <si>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</si>
  <si>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</si>
  <si>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</si>
  <si>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</si>
  <si>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</si>
  <si>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</si>
  <si>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</si>
  <si>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</si>
  <si>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</si>
  <si>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</si>
  <si>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</si>
  <si>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</si>
  <si>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</si>
  <si>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</si>
  <si>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</si>
  <si>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</si>
  <si>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</si>
  <si>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</si>
  <si>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</si>
  <si>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</si>
  <si>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</si>
  <si>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</si>
  <si>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</si>
  <si>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</si>
  <si>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</si>
  <si>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</si>
  <si>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</si>
  <si>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</si>
  <si>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</si>
  <si>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</si>
  <si>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</si>
  <si>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</si>
  <si>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</si>
  <si>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</si>
  <si>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</si>
  <si>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</si>
  <si>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</si>
  <si>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</si>
  <si>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</si>
  <si>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</si>
  <si>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</si>
  <si>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</si>
  <si>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</si>
  <si>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</si>
  <si>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</si>
  <si>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</si>
  <si>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</si>
  <si>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</si>
  <si>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</si>
  <si>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</si>
  <si>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</si>
  <si>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</si>
  <si>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</si>
  <si>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</si>
  <si>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</si>
  <si>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</si>
  <si>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</si>
  <si>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</si>
  <si>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</si>
  <si>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</si>
  <si>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</si>
  <si>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</si>
  <si>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</si>
  <si>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</si>
  <si>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</si>
  <si>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</si>
  <si>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</si>
  <si>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</si>
  <si>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</si>
  <si>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</si>
  <si>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</si>
  <si>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</si>
  <si>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</si>
  <si>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</si>
  <si>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</si>
  <si>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</si>
  <si>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</si>
  <si>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</si>
  <si>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</si>
  <si>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</si>
  <si>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</si>
  <si>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</si>
  <si>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</si>
  <si>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</si>
  <si>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</si>
  <si>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</si>
  <si>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</si>
  <si>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</si>
  <si>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</si>
  <si>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</si>
  <si>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</si>
  <si>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</si>
  <si>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</si>
  <si>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</si>
  <si>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</si>
  <si>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</si>
  <si>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</si>
  <si>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</si>
  <si>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</si>
  <si>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</si>
  <si>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</si>
  <si>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</si>
  <si>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</si>
  <si>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</si>
  <si>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</si>
  <si>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</si>
  <si>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</si>
  <si>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</si>
  <si>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</si>
  <si>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</si>
  <si>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</si>
  <si>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</si>
  <si>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</si>
  <si>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</si>
  <si>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</si>
  <si>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</si>
  <si>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</si>
  <si>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</si>
  <si>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</si>
  <si>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</si>
  <si>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</si>
  <si>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</si>
  <si>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</si>
  <si>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</si>
  <si>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</si>
  <si>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</si>
  <si>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</si>
  <si>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</si>
  <si>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</si>
  <si>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</si>
  <si>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</si>
  <si>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</si>
  <si>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</si>
  <si>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</si>
  <si>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</si>
  <si>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</si>
  <si>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</si>
  <si>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</si>
  <si>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</si>
  <si>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</si>
  <si>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</si>
  <si>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</si>
  <si>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</si>
  <si>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</si>
  <si>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</si>
  <si>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</si>
  <si>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</si>
  <si>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</si>
  <si>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</si>
  <si>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</si>
  <si>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</si>
  <si>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</si>
  <si>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</si>
  <si>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</si>
  <si>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</si>
  <si>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</si>
  <si>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</si>
  <si>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</si>
  <si>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</si>
  <si>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</si>
  <si>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</si>
  <si>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</si>
  <si>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</si>
  <si>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</si>
  <si>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</si>
  <si>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</si>
  <si>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</si>
  <si>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</si>
  <si>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</si>
  <si>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</si>
  <si>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</si>
  <si>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</si>
  <si>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</si>
  <si>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</si>
  <si>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</si>
  <si>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</si>
  <si>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</si>
  <si>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</si>
  <si>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</si>
  <si>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</si>
  <si>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</si>
  <si>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</si>
  <si>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</si>
  <si>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</si>
  <si>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</si>
  <si>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</si>
  <si>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</si>
  <si>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</si>
  <si>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</si>
  <si>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</si>
  <si>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</si>
  <si>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</si>
  <si>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</si>
  <si>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</si>
  <si>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</si>
  <si>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</si>
  <si>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</si>
  <si>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</si>
  <si>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</si>
  <si>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</si>
  <si>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</si>
  <si>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</si>
  <si>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</si>
  <si>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</si>
  <si>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</si>
  <si>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</si>
  <si>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</si>
  <si>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</si>
  <si>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</si>
  <si>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</si>
  <si>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</si>
  <si>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</si>
  <si>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</si>
  <si>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</si>
  <si>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</si>
  <si>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</si>
  <si>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</si>
  <si>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</si>
  <si>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</si>
  <si>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</si>
  <si>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</si>
  <si>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</si>
  <si>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</si>
  <si>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</si>
  <si>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</si>
  <si>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</si>
  <si>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</si>
  <si>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</si>
  <si>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</si>
  <si>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</si>
  <si>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</si>
  <si>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</si>
  <si>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</si>
  <si>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</si>
  <si>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</si>
  <si>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</si>
  <si>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</si>
  <si>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</si>
  <si>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</si>
  <si>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</si>
  <si>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</si>
  <si>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</si>
  <si>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</si>
  <si>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</si>
  <si>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</si>
  <si>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</si>
  <si>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</si>
  <si>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</si>
  <si>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</si>
  <si>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</si>
  <si>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</si>
  <si>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</si>
  <si>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</si>
  <si>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</si>
  <si>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</si>
  <si>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</si>
  <si>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</si>
  <si>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</si>
  <si>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</si>
  <si>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</si>
  <si>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</si>
  <si>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</si>
  <si>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</si>
  <si>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</si>
  <si>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</si>
  <si>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</si>
  <si>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</si>
  <si>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</si>
  <si>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</si>
  <si>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</si>
  <si>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</si>
  <si>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</si>
  <si>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</si>
  <si>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</si>
  <si>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</si>
  <si>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</si>
  <si>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</si>
  <si>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</si>
  <si>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</si>
  <si>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</si>
  <si>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</si>
  <si>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</si>
  <si>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</si>
  <si>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</si>
  <si>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</si>
  <si>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</si>
  <si>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Bhati Super Store</t>
  </si>
  <si>
    <t xml:space="preserve">Address:Dugach </t>
  </si>
  <si>
    <t>Haseeb Store</t>
  </si>
  <si>
    <t xml:space="preserve">Address: Dugach </t>
  </si>
  <si>
    <t>Shakeel Store</t>
  </si>
  <si>
    <t xml:space="preserve">Address: Chungi </t>
  </si>
  <si>
    <t>Ch Store</t>
  </si>
  <si>
    <t xml:space="preserve">Address: Ahata </t>
  </si>
  <si>
    <t>Rehman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</si>
</sst>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Bhati Super Store</v>
      </c>
      <c r="T3" s="301">
        <f>+'1'!P35</f>
        <v>1019.2732122775423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Haseeb Store</v>
      </c>
      <c r="T4" s="301">
        <f>+'2'!P35</f>
        <v>1411.2952132881355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Shakeel Store</v>
      </c>
      <c r="T5" s="301">
        <f>+'3'!P35</f>
        <v>2744.1851369491524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18</v>
      </c>
      <c r="I7" s="235">
        <f>(G7*D7)*F7+H7*F7</f>
        <v>944.32499999999993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75.545999999999992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33.051375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835.72762499999999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178.47457627118638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5.0710110063559313</v>
      </c>
      <c r="P7" s="310">
        <f>M7+N7+O7</f>
        <v>1019.2732122775423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Rehman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18</v>
      </c>
      <c r="I9" s="236">
        <f t="shared" si="0"/>
        <v>944.32499999999993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75.545999999999992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33.051375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835.72762499999999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178.47457627118638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5.0710110063559313</v>
      </c>
      <c r="P9" s="311">
        <f t="shared" si="2"/>
        <v>1019.2732122775423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</v>
      </c>
      <c r="I10" s="236">
        <f t="shared" si="0"/>
        <v>2324.48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185.95840000000001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81.356800000000007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2057.1648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439.32203389830511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12.482434169491526</v>
      </c>
      <c r="P10" s="311">
        <f t="shared" si="2"/>
        <v>2508.9692680677967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31</v>
      </c>
      <c r="I11" s="236">
        <f t="shared" si="0"/>
        <v>2251.84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180.1472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78.814400000000006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1992.8784000000001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425.59322033898309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12.092358101694916</v>
      </c>
      <c r="P11" s="311">
        <f t="shared" si="2"/>
        <v>2430.5639784406781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174.33599999999998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11.702282033898305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3.375</v>
      </c>
      <c r="H16" s="113">
        <f t="shared" ref="H16:M16" si="3">SUM(H7:H15)</f>
        <v>135</v>
      </c>
      <c r="I16" s="114">
        <f t="shared" si="3"/>
        <v>8958.9449999999997</v>
      </c>
      <c r="J16" s="274">
        <f>SUM(J7:J15)</f>
        <v>716.71559999999999</v>
      </c>
      <c r="K16" s="275">
        <f t="shared" si="3"/>
        <v>313.56307500000003</v>
      </c>
      <c r="L16" s="276">
        <f t="shared" si="3"/>
        <v>0</v>
      </c>
      <c r="M16" s="232">
        <f t="shared" si="3"/>
        <v>7928.6663249999992</v>
      </c>
      <c r="N16" s="233">
        <f>SUM(N7:N15)</f>
        <v>1693.2203389830509</v>
      </c>
      <c r="O16" s="101">
        <f>SUM(O7:O15)</f>
        <v>48.109433319915262</v>
      </c>
      <c r="P16" s="113">
        <f>SUM(P7:P15)</f>
        <v>9669.9960973029647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8958.9449999999997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716.71559999999999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313.56307500000003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7928.6663250000001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1693.2203389830509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9621.8866639830503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48.109433319915262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9669.9960973029647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9669.9960973029665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944.32499999999993</v>
      </c>
      <c r="J25" s="274">
        <f>SUM(J16:J24)</f>
        <v>75.545999999999992</v>
      </c>
      <c r="K25" s="275">
        <f t="shared" si="10"/>
        <v>33.051375</v>
      </c>
      <c r="L25" s="276">
        <f t="shared" si="10"/>
        <v>0</v>
      </c>
      <c r="M25" s="232">
        <f t="shared" si="10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35</v>
      </c>
      <c r="I25" s="114">
        <f t="shared" si="7"/>
        <v>2542.3999999999996</v>
      </c>
      <c r="J25" s="274">
        <f>SUM(J16:J24)</f>
        <v>203.392</v>
      </c>
      <c r="K25" s="275">
        <f t="shared" si="7"/>
        <v>88.984000000000009</v>
      </c>
      <c r="L25" s="276">
        <f t="shared" si="7"/>
        <v>0</v>
      </c>
      <c r="M25" s="232">
        <f t="shared" si="7"/>
        <v>2250.0239999999999</v>
      </c>
      <c r="N25" s="233">
        <f>SUM(N16:N24)</f>
        <v>480.50847457627123</v>
      </c>
      <c r="O25" s="101">
        <f>SUM(O16:O24)</f>
        <v>13.652662372881355</v>
      </c>
      <c r="P25" s="234">
        <f>SUM(P16:P24)</f>
        <v>2744.1851369491524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2542.3999999999996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203.392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88.984000000000009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2250.0239999999999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480.50847457627123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2730.5324745762709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13.652662372881355</v>
      </c>
    </row>
    <row r="35" spans="2:16" ht="15.75" customHeight="1" thickBot="1" x14ac:dyDescent="0.4">
      <c r="N35" s="374" t="s">
        <v>88</v>
      </c>
      <c r="O35" s="375"/>
      <c r="P35" s="297">
        <f>+P33+P34</f>
        <v>2744.1851369491524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542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2026-09-22T11:13:18Z</dcterms:modified>
</cp:coreProperties>
</file>