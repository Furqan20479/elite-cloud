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51DA09A-F288-4D21-BECB-7046F2FF10B7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59" l="1"/>
  <c r="M16" i="66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<sst xmlns="http://schemas.openxmlformats.org/spreadsheetml/2006/main" count="3977" uniqueCount="519">
  <si>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</si>
  <si>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</si>
  <si>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</si>
  <si>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</si>
  <si>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</si>
  <si>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</si>
  <si>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</si>
  <si>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</si>
  <si>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</si>
  <si>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</si>
  <si>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</si>
  <si>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</si>
  <si>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</si>
  <si>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</si>
  <si>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</si>
  <si>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</si>
  <si>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</si>
  <si>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</si>
  <si>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</si>
  <si>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</si>
  <si>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</si>
  <si>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</si>
  <si>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</si>
  <si>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</si>
  <si>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</si>
  <si>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</si>
  <si>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</si>
  <si>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</si>
  <si>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</si>
  <si>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</si>
  <si>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</si>
  <si>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</si>
  <si>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</si>
  <si>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</si>
  <si>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</si>
  <si>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</si>
  <si>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</si>
  <si>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</si>
  <si>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</si>
  <si>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</si>
  <si>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</si>
  <si>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</si>
  <si>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</si>
  <si>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</si>
  <si>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</si>
  <si>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</si>
  <si>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</si>
  <si>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</si>
  <si>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</si>
  <si>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</si>
  <si>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</si>
  <si>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</si>
  <si>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</si>
  <si>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</si>
  <si>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</si>
  <si>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</si>
  <si>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</si>
  <si>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</si>
  <si>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</si>
  <si>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</si>
  <si>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</si>
  <si>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</si>
  <si>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</si>
  <si>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</si>
  <si>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</si>
  <si>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</si>
  <si>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</si>
  <si>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</si>
  <si>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</si>
  <si>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</si>
  <si>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</si>
  <si>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</si>
  <si>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</si>
  <si>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</si>
  <si>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</si>
  <si>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</si>
  <si>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</si>
  <si>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</si>
  <si>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</si>
  <si>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</si>
  <si>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</si>
  <si>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</si>
  <si>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</si>
  <si>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</si>
  <si>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</si>
  <si>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</si>
  <si>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</si>
  <si>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</si>
  <si>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</si>
  <si>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</si>
  <si>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</si>
  <si>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</si>
  <si>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</si>
  <si>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</si>
  <si>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</si>
  <si>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</si>
  <si>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</si>
  <si>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</si>
  <si>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</si>
  <si>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</si>
  <si>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</si>
  <si>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</si>
  <si>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</si>
  <si>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</si>
  <si>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</si>
  <si>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</si>
  <si>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</si>
  <si>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</si>
  <si>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</si>
  <si>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</si>
  <si>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</si>
  <si>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</si>
  <si>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</si>
  <si>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</si>
  <si>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</si>
  <si>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</si>
  <si>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</si>
  <si>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</si>
  <si>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</si>
  <si>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</si>
  <si>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</si>
  <si>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</si>
  <si>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</si>
  <si>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</si>
  <si>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</si>
  <si>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</si>
  <si>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</si>
  <si>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</si>
  <si>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</si>
  <si>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</si>
  <si>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</si>
  <si>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</si>
  <si>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</si>
  <si>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</si>
  <si>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</si>
  <si>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</si>
  <si>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</si>
  <si>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</si>
  <si>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</si>
  <si>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</si>
  <si>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</si>
  <si>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</si>
  <si>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</si>
  <si>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</si>
  <si>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</si>
  <si>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</si>
  <si>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</si>
  <si>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</si>
  <si>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</si>
  <si>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</si>
  <si>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</si>
  <si>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</si>
  <si>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</si>
  <si>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</si>
  <si>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</si>
  <si>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</si>
  <si>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</si>
  <si>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</si>
  <si>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</si>
  <si>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</si>
  <si>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</si>
  <si>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</si>
  <si>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</si>
  <si>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</si>
  <si>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</si>
  <si>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</si>
  <si>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</si>
  <si>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</si>
  <si>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</si>
  <si>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</si>
  <si>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</si>
  <si>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</si>
  <si>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</si>
  <si>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</si>
  <si>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</si>
  <si>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</si>
  <si>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</si>
  <si>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</si>
  <si>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</si>
  <si>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</si>
  <si>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</si>
  <si>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</si>
  <si>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</si>
  <si>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</si>
  <si>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</si>
  <si>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</si>
  <si>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</si>
  <si>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</si>
  <si>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</si>
  <si>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</si>
  <si>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</si>
  <si>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</si>
  <si>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</si>
  <si>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</si>
  <si>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</si>
  <si>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</si>
  <si>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</si>
  <si>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</si>
  <si>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</si>
  <si>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</si>
  <si>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</si>
  <si>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</si>
  <si>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</si>
  <si>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</si>
  <si>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</si>
  <si>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</si>
  <si>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</si>
  <si>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</si>
  <si>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</si>
  <si>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</si>
  <si>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</si>
  <si>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</si>
  <si>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</si>
  <si>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</si>
  <si>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</si>
  <si>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</si>
  <si>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</si>
  <si>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</si>
  <si>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</si>
  <si>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</si>
  <si>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</si>
  <si>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</si>
  <si>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</si>
  <si>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</si>
  <si>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</si>
  <si>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</si>
  <si>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</si>
  <si>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</si>
  <si>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</si>
  <si>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</si>
  <si>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</si>
  <si>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</si>
  <si>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</si>
  <si>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</si>
  <si>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</si>
  <si>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</si>
  <si>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</si>
  <si>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</si>
  <si>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</si>
  <si>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</si>
  <si>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</si>
  <si>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</si>
  <si>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</si>
  <si>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</si>
  <si>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</si>
  <si>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</si>
  <si>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</si>
  <si>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</si>
  <si>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</si>
  <si>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</si>
  <si>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</si>
  <si>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</si>
  <si>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</si>
  <si>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</si>
  <si>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</si>
  <si>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</si>
  <si>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</si>
  <si>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</si>
  <si>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</si>
  <si>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</si>
  <si>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</si>
  <si>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</si>
  <si>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</si>
  <si>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</si>
  <si>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</si>
  <si>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</si>
  <si>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</si>
  <si>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</si>
  <si>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</si>
  <si>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</si>
  <si>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</si>
  <si>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</si>
  <si>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</si>
  <si>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</si>
  <si>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</si>
  <si>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</si>
  <si>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</si>
  <si>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</si>
  <si>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</si>
  <si>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</si>
  <si>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</si>
  <si>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</si>
  <si>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</si>
  <si>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</si>
  <si>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</si>
  <si>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</si>
  <si>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</si>
  <si>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</si>
  <si>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</si>
  <si>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</si>
  <si>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</si>
  <si>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</si>
  <si>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</si>
  <si>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</si>
  <si>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</si>
  <si>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</si>
  <si>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</si>
  <si>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</si>
  <si>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</si>
  <si>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</si>
  <si>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</si>
  <si>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</si>
  <si>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</si>
  <si>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</si>
  <si>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</si>
  <si>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</si>
  <si>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</si>
  <si>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</si>
  <si>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</si>
  <si>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</si>
  <si>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</si>
  <si>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</si>
  <si>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</si>
  <si>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</si>
  <si>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</si>
  <si>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</si>
  <si>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</si>
  <si>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</si>
  <si>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</si>
  <si>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</si>
  <si>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</si>
  <si>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</si>
  <si>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</si>
  <si>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</si>
  <si>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</si>
  <si>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</si>
  <si>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</si>
  <si>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</si>
  <si>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</si>
  <si>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</si>
  <si>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</si>
  <si>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</si>
  <si>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</si>
  <si>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</si>
  <si>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</si>
  <si>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</si>
  <si>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</si>
  <si>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</si>
  <si>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</si>
  <si>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</si>
  <si>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</si>
  <si>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</si>
  <si>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</si>
  <si>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</si>
  <si>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</si>
  <si>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</si>
  <si>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</si>
  <si>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</si>
  <si>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</si>
  <si>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</si>
  <si>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</si>
  <si>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</si>
  <si>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</si>
  <si>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</si>
  <si>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</si>
  <si>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</si>
  <si>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</si>
  <si>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</si>
  <si>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</si>
  <si>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</si>
  <si>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</si>
  <si>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</si>
  <si>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</si>
  <si>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</si>
  <si>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</si>
  <si>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</si>
  <si>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</si>
  <si>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</si>
  <si>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</si>
  <si>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</si>
  <si>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</si>
  <si>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</si>
  <si>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</si>
  <si>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</si>
  <si>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</si>
  <si>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</si>
  <si>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</si>
  <si>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</si>
  <si>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</si>
  <si>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</si>
  <si>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</si>
  <si>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</si>
  <si>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</si>
  <si>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</si>
  <si>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</si>
  <si>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</si>
  <si>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</si>
  <si>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</si>
  <si>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</si>
  <si>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</si>
  <si>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</si>
  <si>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</si>
  <si>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</si>
  <si>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</si>
  <si>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</si>
  <si>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</si>
  <si>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</si>
  <si>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</si>
  <si>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</si>
  <si>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</si>
  <si>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</si>
  <si>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</si>
  <si>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</si>
  <si>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</si>
  <si>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</si>
  <si>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</si>
  <si>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</si>
  <si>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</si>
  <si>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</si>
  <si>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</si>
  <si>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</si>
  <si>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</si>
  <si>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</si>
  <si>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</si>
  <si>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</si>
  <si>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</si>
  <si>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</si>
  <si>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</si>
  <si>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</si>
  <si>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</si>
  <si>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</si>
  <si>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</si>
  <si>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</si>
  <si>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</si>
  <si>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</si>
  <si>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</si>
  <si>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</si>
  <si>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</si>
  <si>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</si>
  <si>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</si>
  <si>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</si>
  <si>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</si>
  <si>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</si>
  <si>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</si>
  <si>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</si>
  <si>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</si>
  <si>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</si>
  <si>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</si>
  <si>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</si>
  <si>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</si>
  <si>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</si>
  <si>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</si>
  <si>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</si>
  <si>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</si>
  <si>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</si>
  <si>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</si>
  <si>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</si>
  <si>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</si>
  <si>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</si>
  <si>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</si>
  <si>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</si>
  <si>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</si>
  <si>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</si>
  <si>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</si>
  <si>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</si>
  <si>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</si>
  <si>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</si>
  <si>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</si>
  <si>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</si>
  <si>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</si>
  <si>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</si>
  <si>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</si>
  <si>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</si>
  <si>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</si>
  <si>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</si>
  <si>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</si>
  <si>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</si>
  <si>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</si>
  <si>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</si>
  <si>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</si>
  <si>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</si>
  <si>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</si>
  <si>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</si>
  <si>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</si>
  <si>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</si>
  <si>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</si>
  <si>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</si>
  <si>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</si>
  <si>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</si>
  <si>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</si>
  <si>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</si>
  <si>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</si>
  <si>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</si>
  <si>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</si>
  <si>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</si>
  <si>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</si>
  <si>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</si>
  <si>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</si>
  <si>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</si>
  <si>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</si>
  <si>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</si>
  <si>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</si>
  <si>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</si>
  <si>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</si>
  <si>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</si>
  <si>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</si>
  <si>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</si>
  <si>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</si>
  <si>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</si>
  <si>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</si>
  <si>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</si>
  <si>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</si>
  <si>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</si>
  <si>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</si>
  <si>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</si>
  <si>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</si>
  <si>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</si>
  <si>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</si>
  <si>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</si>
  <si>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</si>
  <si>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</si>
  <si>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</si>
  <si>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Askari Departmental Store</t>
  </si>
  <si>
    <t>Address: College Road</t>
  </si>
  <si>
    <t>NTN #: 6397883-8</t>
  </si>
  <si>
    <t>Shakoor</t>
  </si>
  <si>
    <t>Invoice No # :0001</t>
  </si>
  <si>
    <t xml:space="preserve">Address: Punjab Society </t>
  </si>
  <si>
    <t>Invoice No # :000451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</si>
</sst>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498</v>
      </c>
      <c r="F2" s="383"/>
      <c r="G2" s="383"/>
      <c r="H2" s="380"/>
      <c r="I2" s="380"/>
      <c r="J2" s="381"/>
      <c r="R2" s="377" t="s">
        <v>497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508</v>
      </c>
      <c r="F3" s="387"/>
      <c r="G3" s="387"/>
      <c r="H3" s="384">
        <f ca="1">TODAY()</f>
        <v>46287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>Askari Departmental Store</v>
      </c>
      <c r="T3" s="301">
        <f>+'1'!P35</f>
        <v>25497.229021271185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Askari Departmental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Askari Departmental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Askari Departmental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Askari Departmental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Askari Departmental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503.64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3546.4650000000001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21.698426694915252</v>
      </c>
      <c r="P9" s="311">
        <f t="shared" si="2"/>
        <v>4361.3837656779651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Askari Departmental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</v>
      </c>
      <c r="I10" s="236">
        <f t="shared" si="0"/>
        <v>5811.2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697.34399999999994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203.39200000000002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4910.4639999999999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1098.3050847457628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30.043845423728811</v>
      </c>
      <c r="P10" s="311">
        <f t="shared" si="2"/>
        <v>6038.8129301694917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Askari Departmental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697.34399999999994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4910.4639999999999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30.043845423728811</v>
      </c>
      <c r="P11" s="311">
        <f t="shared" si="2"/>
        <v>6038.8129301694917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Askari Departmental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120</v>
      </c>
      <c r="I12" s="236">
        <f t="shared" si="0"/>
        <v>8716.7999999999993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1046.0159999999998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305.08800000000002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7365.6959999999999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1647.4576271186443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45.065768135593224</v>
      </c>
      <c r="P12" s="311">
        <f t="shared" si="2"/>
        <v>9058.2193952542384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Askari Departmental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Askari Departmental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Askari Departmental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Askari Departmental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9</v>
      </c>
      <c r="H16" s="113">
        <f t="shared" ref="H16:M16" si="3">SUM(H7:H15)</f>
        <v>360</v>
      </c>
      <c r="I16" s="114">
        <f t="shared" si="3"/>
        <v>24536.2</v>
      </c>
      <c r="J16" s="274">
        <f>SUM(J7:J15)</f>
        <v>2944.3440000000001</v>
      </c>
      <c r="K16" s="275">
        <f t="shared" si="3"/>
        <v>858.76700000000005</v>
      </c>
      <c r="L16" s="276">
        <f t="shared" si="3"/>
        <v>0</v>
      </c>
      <c r="M16" s="232">
        <f t="shared" si="3"/>
        <v>20733.089</v>
      </c>
      <c r="N16" s="233">
        <f>SUM(N7:N15)</f>
        <v>4637.2881355932204</v>
      </c>
      <c r="O16" s="101">
        <f>SUM(O7:O15)</f>
        <v>126.8518856779661</v>
      </c>
      <c r="P16" s="113">
        <f>SUM(P7:P15)</f>
        <v>25497.229021271189</v>
      </c>
      <c r="Q16" s="128">
        <f>SUM(Q7:Q15)</f>
        <v>0</v>
      </c>
      <c r="R16" s="314">
        <v>14</v>
      </c>
      <c r="S16" s="300" t="str">
        <f>+'14'!A6:A6</f>
        <v>Askari Departmental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Askari Departmental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Askari Departmental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24536.2</v>
      </c>
      <c r="R19" s="299">
        <v>17</v>
      </c>
      <c r="S19" s="300" t="str">
        <f>+'17'!A6:A6</f>
        <v>Askari Departmental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2944.3440000000001</v>
      </c>
      <c r="R20" s="299">
        <v>18</v>
      </c>
      <c r="S20" s="300" t="str">
        <f>+'18'!A6:A6</f>
        <v>Askari Departmental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858.76700000000005</v>
      </c>
      <c r="R21" s="299">
        <v>19</v>
      </c>
      <c r="S21" s="300" t="str">
        <f>+'19'!A6:A6</f>
        <v>Askari Departmental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20733.089</v>
      </c>
      <c r="R22" s="299">
        <v>20</v>
      </c>
      <c r="S22" s="300" t="str">
        <f>+'20'!A6:A6</f>
        <v>Askari Departmental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4637.2881355932204</v>
      </c>
      <c r="R23" s="299">
        <v>21</v>
      </c>
      <c r="S23" s="300" t="str">
        <f>+'21'!A6:A6</f>
        <v>Askari Departmental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25370.377135593219</v>
      </c>
      <c r="R24" s="299">
        <v>22</v>
      </c>
      <c r="S24" s="300" t="str">
        <f>+'22'!A6:A6</f>
        <v>Askari Departmental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126.8518856779661</v>
      </c>
      <c r="R25" s="299">
        <v>23</v>
      </c>
      <c r="S25" s="300" t="str">
        <f>+'23'!A6:A6</f>
        <v>Askari Departmental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25497.229021271185</v>
      </c>
      <c r="R26" s="299">
        <v>24</v>
      </c>
      <c r="S26" s="300" t="str">
        <f>+'24'!A6:A6</f>
        <v>Askari Departmental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Askari Departmental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Askari Departmental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Askari Departmental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Askari Departmental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Askari Departmental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Askari Departmental Store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25497.229021271185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13" workbookViewId="0">
      <selection activeCell="G22" sqref="G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9.36328125" bestFit="1" customWidth="1"/>
    <col min="17" max="17" width="7.54296875" bestFit="1" customWidth="1"/>
    <col min="18" max="18" width="7.1796875" bestFit="1" customWidth="1"/>
    <col min="19" max="19" width="6.81640625" style="61" bestFit="1" customWidth="1"/>
    <col min="20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518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46288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46287</v>
      </c>
      <c r="O5" s="391"/>
      <c r="P5" s="391"/>
      <c r="R5" s="85"/>
      <c r="S5" s="266"/>
    </row>
    <row r="6" spans="1:22 16383:16384" ht="17.2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503.64</v>
      </c>
      <c r="K18" s="128">
        <f t="shared" si="1"/>
        <v>146.89500000000001</v>
      </c>
      <c r="L18" s="119">
        <f t="shared" si="1"/>
        <v>0</v>
      </c>
      <c r="M18" s="230">
        <f t="shared" si="2"/>
        <v>3546.4650000000001</v>
      </c>
      <c r="N18" s="277">
        <f t="shared" si="3"/>
        <v>793.22033898305051</v>
      </c>
      <c r="O18" s="239">
        <f t="shared" si="4"/>
        <v>21.698426694915252</v>
      </c>
      <c r="P18" s="311">
        <f t="shared" si="5"/>
        <v>4361.3837656779651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7"/>
        <v>5811.2</v>
      </c>
      <c r="J19" s="272">
        <f t="shared" si="1"/>
        <v>697.34399999999994</v>
      </c>
      <c r="K19" s="128">
        <f t="shared" si="1"/>
        <v>203.39200000000002</v>
      </c>
      <c r="L19" s="119">
        <f t="shared" si="1"/>
        <v>0</v>
      </c>
      <c r="M19" s="230">
        <f t="shared" si="2"/>
        <v>4910.4639999999999</v>
      </c>
      <c r="N19" s="277">
        <f t="shared" si="3"/>
        <v>1098.3050847457628</v>
      </c>
      <c r="O19" s="239">
        <f t="shared" si="4"/>
        <v>30.043845423728811</v>
      </c>
      <c r="P19" s="311">
        <f t="shared" si="5"/>
        <v>6038.8129301694917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697.34399999999994</v>
      </c>
      <c r="K20" s="128">
        <f t="shared" si="1"/>
        <v>203.39200000000002</v>
      </c>
      <c r="L20" s="119">
        <f t="shared" si="1"/>
        <v>0</v>
      </c>
      <c r="M20" s="230">
        <f t="shared" si="2"/>
        <v>4910.4639999999999</v>
      </c>
      <c r="N20" s="277">
        <f t="shared" si="3"/>
        <v>1098.3050847457628</v>
      </c>
      <c r="O20" s="239">
        <f t="shared" si="4"/>
        <v>30.043845423728811</v>
      </c>
      <c r="P20" s="311">
        <f t="shared" si="5"/>
        <v>6038.8129301694917</v>
      </c>
      <c r="Q20" s="156"/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7"/>
        <v>8716.7999999999993</v>
      </c>
      <c r="J21" s="272">
        <f t="shared" si="1"/>
        <v>1046.0159999999998</v>
      </c>
      <c r="K21" s="128">
        <f t="shared" si="1"/>
        <v>305.08800000000002</v>
      </c>
      <c r="L21" s="119">
        <f t="shared" si="1"/>
        <v>0</v>
      </c>
      <c r="M21" s="230">
        <f t="shared" si="2"/>
        <v>7365.6959999999999</v>
      </c>
      <c r="N21" s="277">
        <f t="shared" si="3"/>
        <v>1647.4576271186443</v>
      </c>
      <c r="O21" s="239">
        <f t="shared" si="4"/>
        <v>45.065768135593224</v>
      </c>
      <c r="P21" s="311">
        <f t="shared" si="5"/>
        <v>9058.2193952542384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360</v>
      </c>
      <c r="I25" s="114">
        <f t="shared" ref="I25:M25" si="10">SUM(I16:I24)</f>
        <v>24536.2</v>
      </c>
      <c r="J25" s="274">
        <f>SUM(J16:J24)</f>
        <v>2944.3440000000001</v>
      </c>
      <c r="K25" s="275">
        <f t="shared" si="10"/>
        <v>858.76700000000005</v>
      </c>
      <c r="L25" s="276">
        <f t="shared" si="10"/>
        <v>0</v>
      </c>
      <c r="M25" s="232">
        <f t="shared" si="10"/>
        <v>20733.089</v>
      </c>
      <c r="N25" s="233">
        <f>SUM(N16:N24)</f>
        <v>4637.2881355932204</v>
      </c>
      <c r="O25" s="101">
        <f>SUM(O16:O24)</f>
        <v>126.8518856779661</v>
      </c>
      <c r="P25" s="113">
        <f>SUM(P16:P24)</f>
        <v>25497.229021271189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24536.2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2944.3440000000001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858.76700000000005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20733.089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4637.2881355932204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25370.377135593219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126.8518856779661</v>
      </c>
    </row>
    <row r="35" spans="2:16" ht="15.75" customHeight="1" thickBot="1" x14ac:dyDescent="0.4">
      <c r="N35" s="371" t="s">
        <v>88</v>
      </c>
      <c r="O35" s="372"/>
      <c r="P35" s="297">
        <f>+P33+P34</f>
        <v>25497.229021271185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8.7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8.7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46254</v>
      </c>
      <c r="O5" s="391"/>
      <c r="P5" s="391"/>
      <c r="R5" s="85"/>
      <c r="S5" s="266"/>
    </row>
    <row r="6" spans="1:22 16383:16384" ht="15" customHeight="1" x14ac:dyDescent="0.4">
      <c r="A6" s="397" t="s">
        <v>512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514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46288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46287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2026-09-22T11:46:57Z</dcterms:modified>
</cp:coreProperties>
</file>