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BAABC6-1333-453C-9765-9D03A98F014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<sst xmlns="http://schemas.openxmlformats.org/spreadsheetml/2006/main" count="3948" uniqueCount="522">
  <si>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</si>
  <si>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</si>
  <si>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</si>
  <si>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</si>
  <si>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</si>
  <si>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</si>
  <si>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</si>
  <si>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</si>
  <si>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</si>
  <si>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</si>
  <si>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</si>
  <si>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</si>
  <si>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</si>
  <si>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</si>
  <si>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</si>
  <si>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</si>
  <si>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</si>
  <si>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</si>
  <si>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</si>
  <si>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</si>
  <si>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</si>
  <si>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</si>
  <si>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</si>
  <si>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</si>
  <si>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</si>
  <si>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</si>
  <si>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</si>
  <si>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</si>
  <si>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</si>
  <si>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</si>
  <si>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</si>
  <si>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</si>
  <si>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</si>
  <si>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</si>
  <si>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</si>
  <si>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</si>
  <si>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</si>
  <si>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</si>
  <si>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</si>
  <si>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</si>
  <si>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</si>
  <si>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</si>
  <si>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</si>
  <si>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</si>
  <si>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</si>
  <si>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</si>
  <si>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</si>
  <si>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</si>
  <si>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</si>
  <si>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</si>
  <si>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</si>
  <si>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</si>
  <si>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</si>
  <si>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</si>
  <si>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</si>
  <si>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</si>
  <si>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</si>
  <si>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</si>
  <si>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</si>
  <si>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</si>
  <si>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</si>
  <si>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</si>
  <si>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</si>
  <si>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</si>
  <si>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</si>
  <si>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</si>
  <si>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</si>
  <si>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</si>
  <si>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</si>
  <si>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</si>
  <si>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</si>
  <si>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</si>
  <si>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</si>
  <si>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</si>
  <si>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</si>
  <si>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</si>
  <si>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</si>
  <si>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</si>
  <si>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</si>
  <si>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</si>
  <si>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</si>
  <si>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</si>
  <si>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</si>
  <si>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</si>
  <si>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</si>
  <si>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</si>
  <si>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</si>
  <si>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</si>
  <si>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</si>
  <si>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</si>
  <si>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</si>
  <si>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</si>
  <si>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</si>
  <si>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</si>
  <si>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</si>
  <si>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</si>
  <si>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</si>
  <si>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</si>
  <si>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</si>
  <si>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</si>
  <si>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</si>
  <si>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</si>
  <si>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</si>
  <si>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</si>
  <si>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</si>
  <si>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</si>
  <si>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</si>
  <si>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</si>
  <si>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</si>
  <si>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</si>
  <si>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</si>
  <si>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</si>
  <si>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</si>
  <si>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</si>
  <si>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</si>
  <si>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</si>
  <si>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</si>
  <si>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</si>
  <si>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</si>
  <si>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</si>
  <si>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</si>
  <si>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</si>
  <si>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</si>
  <si>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</si>
  <si>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</si>
  <si>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</si>
  <si>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</si>
  <si>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</si>
  <si>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</si>
  <si>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</si>
  <si>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</si>
  <si>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</si>
  <si>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</si>
  <si>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</si>
  <si>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</si>
  <si>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</si>
  <si>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</si>
  <si>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</si>
  <si>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</si>
  <si>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</si>
  <si>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</si>
  <si>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</si>
  <si>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</si>
  <si>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</si>
  <si>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</si>
  <si>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</si>
  <si>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</si>
  <si>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</si>
  <si>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</si>
  <si>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</si>
  <si>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</si>
  <si>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</si>
  <si>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</si>
  <si>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</si>
  <si>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</si>
  <si>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</si>
  <si>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</si>
  <si>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</si>
  <si>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</si>
  <si>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</si>
  <si>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</si>
  <si>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</si>
  <si>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</si>
  <si>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</si>
  <si>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</si>
  <si>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</si>
  <si>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</si>
  <si>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</si>
  <si>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</si>
  <si>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</si>
  <si>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</si>
  <si>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</si>
  <si>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</si>
  <si>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</si>
  <si>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</si>
  <si>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</si>
  <si>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</si>
  <si>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</si>
  <si>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</si>
  <si>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</si>
  <si>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</si>
  <si>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</si>
  <si>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</si>
  <si>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</si>
  <si>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</si>
  <si>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</si>
  <si>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</si>
  <si>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</si>
  <si>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</si>
  <si>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</si>
  <si>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</si>
  <si>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</si>
  <si>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</si>
  <si>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</si>
  <si>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</si>
  <si>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</si>
  <si>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</si>
  <si>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</si>
  <si>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</si>
  <si>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</si>
  <si>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</si>
  <si>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</si>
  <si>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</si>
  <si>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</si>
  <si>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</si>
  <si>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</si>
  <si>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</si>
  <si>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</si>
  <si>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</si>
  <si>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</si>
  <si>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</si>
  <si>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</si>
  <si>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</si>
  <si>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</si>
  <si>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</si>
  <si>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</si>
  <si>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</si>
  <si>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</si>
  <si>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</si>
  <si>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</si>
  <si>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</si>
  <si>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</si>
  <si>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</si>
  <si>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</si>
  <si>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</si>
  <si>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</si>
  <si>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</si>
  <si>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</si>
  <si>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</si>
  <si>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</si>
  <si>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</si>
  <si>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</si>
  <si>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</si>
  <si>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</si>
  <si>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</si>
  <si>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</si>
  <si>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</si>
  <si>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</si>
  <si>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</si>
  <si>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</si>
  <si>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</si>
  <si>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</si>
  <si>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</si>
  <si>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</si>
  <si>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</si>
  <si>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</si>
  <si>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</si>
  <si>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</si>
  <si>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</si>
  <si>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</si>
  <si>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</si>
  <si>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</si>
  <si>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</si>
  <si>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</si>
  <si>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</si>
  <si>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</si>
  <si>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</si>
  <si>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</si>
  <si>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</si>
  <si>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</si>
  <si>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</si>
  <si>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</si>
  <si>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</si>
  <si>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</si>
  <si>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</si>
  <si>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</si>
  <si>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</si>
  <si>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</si>
  <si>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</si>
  <si>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</si>
  <si>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</si>
  <si>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</si>
  <si>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</si>
  <si>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</si>
  <si>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</si>
  <si>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</si>
  <si>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</si>
  <si>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</si>
  <si>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</si>
  <si>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</si>
  <si>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</si>
  <si>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</si>
  <si>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</si>
  <si>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</si>
  <si>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</si>
  <si>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</si>
  <si>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</si>
  <si>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</si>
  <si>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</si>
  <si>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</si>
  <si>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</si>
  <si>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</si>
  <si>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</si>
  <si>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</si>
  <si>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</si>
  <si>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</si>
  <si>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</si>
  <si>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</si>
  <si>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</si>
  <si>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</si>
  <si>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</si>
  <si>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</si>
  <si>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</si>
  <si>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</si>
  <si>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</si>
  <si>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</si>
  <si>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</si>
  <si>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</si>
  <si>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</si>
  <si>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</si>
  <si>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</si>
  <si>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</si>
  <si>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</si>
  <si>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</si>
  <si>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</si>
  <si>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</si>
  <si>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</si>
  <si>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</si>
  <si>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</si>
  <si>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</si>
  <si>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</si>
  <si>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</si>
  <si>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</si>
  <si>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</si>
  <si>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</si>
  <si>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</si>
  <si>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</si>
  <si>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</si>
  <si>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</si>
  <si>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</si>
  <si>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</si>
  <si>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</si>
  <si>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</si>
  <si>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</si>
  <si>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</si>
  <si>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</si>
  <si>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</si>
  <si>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</si>
  <si>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</si>
  <si>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</si>
  <si>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</si>
  <si>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</si>
  <si>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</si>
  <si>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</si>
  <si>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</si>
  <si>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</si>
  <si>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</si>
  <si>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</si>
  <si>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</si>
  <si>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</si>
  <si>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</si>
  <si>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</si>
  <si>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</si>
  <si>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</si>
  <si>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</si>
  <si>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</si>
  <si>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</si>
  <si>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</si>
  <si>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</si>
  <si>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</si>
  <si>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</si>
  <si>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</si>
  <si>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</si>
  <si>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</si>
  <si>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</si>
  <si>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</si>
  <si>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</si>
  <si>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</si>
  <si>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</si>
  <si>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</si>
  <si>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</si>
  <si>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</si>
  <si>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</si>
  <si>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</si>
  <si>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</si>
  <si>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</si>
  <si>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</si>
  <si>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</si>
  <si>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</si>
  <si>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</si>
  <si>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</si>
  <si>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</si>
  <si>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</si>
  <si>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</si>
  <si>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</si>
  <si>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</si>
  <si>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</si>
  <si>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</si>
  <si>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</si>
  <si>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</si>
  <si>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</si>
  <si>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</si>
  <si>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</si>
  <si>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</si>
  <si>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</si>
  <si>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</si>
  <si>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</si>
  <si>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</si>
  <si>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</si>
  <si>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</si>
  <si>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</si>
  <si>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</si>
  <si>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</si>
  <si>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</si>
  <si>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</si>
  <si>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</si>
  <si>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</si>
  <si>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</si>
  <si>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</si>
  <si>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</si>
  <si>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</si>
  <si>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</si>
  <si>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</si>
  <si>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</si>
  <si>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</si>
  <si>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</si>
  <si>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</si>
  <si>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</si>
  <si>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</si>
  <si>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</si>
  <si>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</si>
  <si>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</si>
  <si>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</si>
  <si>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</si>
  <si>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</si>
  <si>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</si>
  <si>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</si>
  <si>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</si>
  <si>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</si>
  <si>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</si>
  <si>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</si>
  <si>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</si>
  <si>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</si>
  <si>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</si>
  <si>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</si>
  <si>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</si>
  <si>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</si>
  <si>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</si>
  <si>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</si>
  <si>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</si>
  <si>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</si>
  <si>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</si>
  <si>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</si>
  <si>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</si>
  <si>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</si>
  <si>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</si>
  <si>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</si>
  <si>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</si>
  <si>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</si>
  <si>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</si>
  <si>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</si>
  <si>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</si>
  <si>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</si>
  <si>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</si>
  <si>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</si>
  <si>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</si>
  <si>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</si>
  <si>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</si>
  <si>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</si>
  <si>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</si>
  <si>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</si>
  <si>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</si>
  <si>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</si>
  <si>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</si>
  <si>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</si>
  <si>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</si>
  <si>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</si>
  <si>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</si>
  <si>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</si>
  <si>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</si>
  <si>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</si>
  <si>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</si>
  <si>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</si>
  <si>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</si>
  <si>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</si>
  <si>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</si>
  <si>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</si>
  <si>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</si>
  <si>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</si>
  <si>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</si>
  <si>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</si>
  <si>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</si>
  <si>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</si>
  <si>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</si>
  <si>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</si>
  <si>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</si>
  <si>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</si>
  <si>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</si>
  <si>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</si>
  <si>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</si>
  <si>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</si>
  <si>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</si>
  <si>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</si>
  <si>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</si>
  <si>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</si>
  <si>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</si>
  <si>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</si>
  <si>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</si>
  <si>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</si>
  <si>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</si>
  <si>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</si>
  <si>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</si>
  <si>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</si>
  <si>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</si>
  <si>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</si>
  <si>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</si>
  <si>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</si>
  <si>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</si>
  <si>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</si>
  <si>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</si>
  <si>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</si>
  <si>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</si>
  <si>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</si>
  <si>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</si>
  <si>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Alflah Bakery </t>
  </si>
  <si>
    <t>Address: LDA Falts Officer Colony</t>
  </si>
  <si>
    <t xml:space="preserve">Prince Bakery </t>
  </si>
  <si>
    <t xml:space="preserve">Kashmir Bakers </t>
  </si>
  <si>
    <t>Sadiq Store</t>
  </si>
  <si>
    <t>SM Store</t>
  </si>
  <si>
    <t>Hygien Groccery</t>
  </si>
  <si>
    <t>Address: Main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</si>
</sst>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Alflah Bakery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Prince Bakery </v>
      </c>
      <c r="T4" s="301">
        <f>+'2'!P35</f>
        <v>906.02063313559302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Kashmir Bakers </v>
      </c>
      <c r="T5" s="301">
        <f>+'3'!P35</f>
        <v>11673.686338093223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Sadiq Store</v>
      </c>
      <c r="T6" s="301">
        <f>+'4'!P35</f>
        <v>2482.841583400424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</v>
      </c>
      <c r="I7" s="235">
        <f>(G7*D7)*F7+H7*F7</f>
        <v>839.4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67.152000000000001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29.379000000000001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742.86899999999991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158.6440677966101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4.507565338983051</v>
      </c>
      <c r="P7" s="310">
        <f>M7+N7+O7</f>
        <v>906.02063313559302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SM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73</v>
      </c>
      <c r="I8" s="236">
        <f t="shared" ref="I8:I14" si="0">(G8*D8)*F8+H8*F8</f>
        <v>3829.7624999999998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306.38099999999997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134.04168749999999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3389.3398124999999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723.8135593220336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20.565766859110166</v>
      </c>
      <c r="P8" s="311">
        <f t="shared" ref="P8:P15" si="2">M8+N8+O8</f>
        <v>4133.7191386811437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Hygien Groccery</v>
      </c>
      <c r="T8" s="301">
        <f>+'6'!P35</f>
        <v>3371.4319010911022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15.494755852754235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62</v>
      </c>
      <c r="I11" s="236">
        <f t="shared" si="0"/>
        <v>4503.68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360.2944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157.62880000000001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3985.7568000000001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851.18644067796617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24.184716203389833</v>
      </c>
      <c r="P11" s="311">
        <f t="shared" si="2"/>
        <v>4861.1279568813561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66</v>
      </c>
      <c r="I12" s="236">
        <f t="shared" si="0"/>
        <v>4794.24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383.53920000000005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167.79840000000002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4242.9023999999999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906.10169491525437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25.745020474576275</v>
      </c>
      <c r="P12" s="311">
        <f t="shared" si="2"/>
        <v>5174.7491153898309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8.6</v>
      </c>
      <c r="H16" s="113">
        <f t="shared" ref="H16:M16" si="3">SUM(H7:H15)</f>
        <v>344</v>
      </c>
      <c r="I16" s="114">
        <f t="shared" si="3"/>
        <v>22082.6</v>
      </c>
      <c r="J16" s="274">
        <f>SUM(J7:J15)</f>
        <v>1766.6080000000002</v>
      </c>
      <c r="K16" s="275">
        <f t="shared" si="3"/>
        <v>772.89099999999996</v>
      </c>
      <c r="L16" s="276">
        <f t="shared" si="3"/>
        <v>0</v>
      </c>
      <c r="M16" s="232">
        <f t="shared" si="3"/>
        <v>19543.100999999999</v>
      </c>
      <c r="N16" s="233">
        <f>SUM(N7:N15)</f>
        <v>4173.5593220338978</v>
      </c>
      <c r="O16" s="101">
        <f>SUM(O7:O15)</f>
        <v>118.58330161016949</v>
      </c>
      <c r="P16" s="113">
        <f>SUM(P7:P15)</f>
        <v>23835.243623644066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22082.6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1766.6080000000002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772.89099999999996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19543.100999999999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4173.5593220338978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23716.660322033895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118.58330161016949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23835.243623644063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23835.24362364407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</v>
      </c>
      <c r="I25" s="114">
        <f t="shared" si="7"/>
        <v>839.4</v>
      </c>
      <c r="J25" s="274">
        <f>SUM(J16:J24)</f>
        <v>67.152000000000001</v>
      </c>
      <c r="K25" s="275">
        <f t="shared" si="7"/>
        <v>29.379000000000001</v>
      </c>
      <c r="L25" s="276">
        <f t="shared" si="7"/>
        <v>0</v>
      </c>
      <c r="M25" s="232">
        <f t="shared" si="7"/>
        <v>742.86899999999991</v>
      </c>
      <c r="N25" s="233">
        <f>SUM(N16:N24)</f>
        <v>158.6440677966101</v>
      </c>
      <c r="O25" s="101">
        <f>SUM(O16:O24)</f>
        <v>4.5075653389830501</v>
      </c>
      <c r="P25" s="234">
        <f>SUM(P16:P24)</f>
        <v>906.02063313559302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839.4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67.152000000000001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29.379000000000001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742.86899999999991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158.6440677966101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901.51306779661002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4.5075653389830501</v>
      </c>
    </row>
    <row r="35" spans="2:16" ht="15.75" customHeight="1" thickBot="1" x14ac:dyDescent="0.4">
      <c r="N35" s="345" t="s">
        <v>88</v>
      </c>
      <c r="O35" s="346"/>
      <c r="P35" s="297">
        <f>+P33+P34</f>
        <v>906.02063313559302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865.22399999999993</v>
      </c>
      <c r="K25" s="275">
        <f t="shared" si="7"/>
        <v>378.53550000000007</v>
      </c>
      <c r="L25" s="276">
        <f t="shared" si="7"/>
        <v>0</v>
      </c>
      <c r="M25" s="232">
        <f t="shared" si="7"/>
        <v>9571.540500000001</v>
      </c>
      <c r="N25" s="233">
        <f>SUM(N16:N24)</f>
        <v>2044.0677966101694</v>
      </c>
      <c r="O25" s="101">
        <f>SUM(O16:O24)</f>
        <v>58.078041483050853</v>
      </c>
      <c r="P25" s="234">
        <f>SUM(P16:P24)</f>
        <v>11673.686338093221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865.22399999999993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378.53550000000007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9571.540500000001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11615.608296610171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45" t="s">
        <v>88</v>
      </c>
      <c r="O35" s="346"/>
      <c r="P35" s="297">
        <f>+P33+P34</f>
        <v>11673.686338093223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2300.2750000000001</v>
      </c>
      <c r="J25" s="274">
        <f>SUM(J16:J24)</f>
        <v>184.02199999999999</v>
      </c>
      <c r="K25" s="275">
        <f t="shared" si="7"/>
        <v>80.509625000000014</v>
      </c>
      <c r="L25" s="276">
        <f t="shared" si="7"/>
        <v>0</v>
      </c>
      <c r="M25" s="232">
        <f t="shared" si="7"/>
        <v>2035.743375</v>
      </c>
      <c r="N25" s="233">
        <f>SUM(N16:N24)</f>
        <v>434.74576271186424</v>
      </c>
      <c r="O25" s="101">
        <f>SUM(O16:O24)</f>
        <v>12.352445688559321</v>
      </c>
      <c r="P25" s="234">
        <f>SUM(P16:P24)</f>
        <v>2482.8415834004236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2300.2750000000001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184.02199999999999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80.509625000000014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2035.7433750000002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434.74576271186424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2470.4891377118647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12.352445688559325</v>
      </c>
    </row>
    <row r="35" spans="2:16" ht="15.75" customHeight="1" thickBot="1" x14ac:dyDescent="0.4">
      <c r="N35" s="345" t="s">
        <v>88</v>
      </c>
      <c r="O35" s="346"/>
      <c r="P35" s="297">
        <f>+P33+P34</f>
        <v>2482.841583400424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9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48</v>
      </c>
      <c r="I25" s="114">
        <f t="shared" si="7"/>
        <v>3123.5250000000005</v>
      </c>
      <c r="J25" s="274">
        <f>SUM(J16:J24)</f>
        <v>249.88199999999998</v>
      </c>
      <c r="K25" s="275">
        <f t="shared" si="7"/>
        <v>109.32337500000001</v>
      </c>
      <c r="L25" s="276">
        <f t="shared" si="7"/>
        <v>0</v>
      </c>
      <c r="M25" s="232">
        <f t="shared" si="7"/>
        <v>2764.3196250000001</v>
      </c>
      <c r="N25" s="233">
        <f>SUM(N16:N24)</f>
        <v>590.33898305084745</v>
      </c>
      <c r="O25" s="101">
        <f>SUM(O16:O24)</f>
        <v>16.773293040254238</v>
      </c>
      <c r="P25" s="234">
        <f>SUM(P16:P24)</f>
        <v>3371.4319010911017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3123.5250000000005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249.88199999999998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109.32337500000001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2764.3196250000005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590.33898305084745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3354.6586080508478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16.773293040254238</v>
      </c>
    </row>
    <row r="35" spans="2:16" ht="15.75" customHeight="1" thickBot="1" x14ac:dyDescent="0.4">
      <c r="N35" s="345" t="s">
        <v>88</v>
      </c>
      <c r="O35" s="346"/>
      <c r="P35" s="297">
        <f>+P33+P34</f>
        <v>3371.4319010911022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2026-09-22T11:40:44Z</dcterms:modified>
</cp:coreProperties>
</file>