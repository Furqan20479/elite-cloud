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67C2CEE-81CF-4734-B1EF-6D3FBCA8D563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R20" i="46" s="1"/>
  <c r="J25" i="61"/>
  <c r="P29" i="61" s="1"/>
  <c r="M21" i="44"/>
  <c r="O21" i="44" s="1"/>
  <c r="P21" i="44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J7" i="62"/>
  <c r="M17" i="56"/>
  <c r="O17" i="56" s="1"/>
  <c r="P17" i="56" s="1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<sst xmlns="http://schemas.openxmlformats.org/spreadsheetml/2006/main" count="3977" uniqueCount="517">
  <si>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</si>
  <si>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</si>
  <si>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</si>
  <si>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</si>
  <si>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</si>
  <si>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</si>
  <si>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</si>
  <si>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</si>
  <si>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</si>
  <si>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</si>
  <si>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</si>
  <si>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</si>
  <si>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</si>
  <si>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</si>
  <si>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</si>
  <si>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</si>
  <si>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</si>
  <si>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</si>
  <si>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</si>
  <si>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</si>
  <si>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</si>
  <si>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</si>
  <si>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</si>
  <si>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</si>
  <si>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</si>
  <si>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</si>
  <si>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</si>
  <si>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</si>
  <si>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</si>
  <si>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</si>
  <si>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</si>
  <si>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</si>
  <si>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</si>
  <si>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</si>
  <si>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</si>
  <si>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</si>
  <si>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</si>
  <si>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</si>
  <si>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</si>
  <si>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</si>
  <si>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</si>
  <si>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</si>
  <si>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</si>
  <si>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</si>
  <si>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</si>
  <si>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</si>
  <si>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</si>
  <si>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</si>
  <si>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</si>
  <si>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</si>
  <si>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</si>
  <si>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</si>
  <si>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</si>
  <si>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</si>
  <si>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</si>
  <si>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</si>
  <si>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</si>
  <si>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</si>
  <si>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</si>
  <si>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</si>
  <si>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</si>
  <si>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</si>
  <si>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</si>
  <si>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</si>
  <si>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</si>
  <si>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</si>
  <si>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</si>
  <si>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</si>
  <si>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</si>
  <si>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</si>
  <si>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</si>
  <si>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</si>
  <si>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</si>
  <si>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</si>
  <si>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</si>
  <si>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</si>
  <si>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</si>
  <si>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</si>
  <si>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</si>
  <si>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</si>
  <si>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</si>
  <si>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</si>
  <si>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</si>
  <si>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</si>
  <si>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</si>
  <si>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</si>
  <si>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</si>
  <si>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</si>
  <si>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</si>
  <si>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</si>
  <si>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</si>
  <si>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</si>
  <si>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</si>
  <si>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</si>
  <si>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</si>
  <si>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</si>
  <si>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</si>
  <si>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</si>
  <si>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</si>
  <si>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</si>
  <si>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</si>
  <si>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</si>
  <si>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</si>
  <si>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</si>
  <si>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</si>
  <si>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</si>
  <si>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</si>
  <si>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</si>
  <si>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</si>
  <si>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</si>
  <si>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</si>
  <si>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</si>
  <si>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</si>
  <si>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</si>
  <si>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</si>
  <si>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</si>
  <si>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</si>
  <si>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</si>
  <si>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</si>
  <si>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</si>
  <si>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</si>
  <si>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</si>
  <si>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</si>
  <si>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</si>
  <si>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</si>
  <si>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</si>
  <si>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</si>
  <si>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</si>
  <si>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</si>
  <si>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</si>
  <si>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</si>
  <si>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</si>
  <si>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</si>
  <si>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</si>
  <si>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</si>
  <si>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</si>
  <si>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</si>
  <si>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</si>
  <si>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</si>
  <si>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</si>
  <si>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</si>
  <si>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</si>
  <si>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</si>
  <si>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</si>
  <si>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</si>
  <si>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</si>
  <si>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</si>
  <si>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</si>
  <si>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</si>
  <si>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</si>
  <si>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</si>
  <si>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</si>
  <si>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</si>
  <si>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</si>
  <si>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</si>
  <si>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</si>
  <si>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</si>
  <si>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</si>
  <si>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</si>
  <si>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</si>
  <si>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</si>
  <si>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</si>
  <si>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</si>
  <si>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</si>
  <si>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</si>
  <si>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</si>
  <si>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</si>
  <si>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</si>
  <si>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</si>
  <si>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</si>
  <si>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</si>
  <si>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</si>
  <si>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</si>
  <si>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</si>
  <si>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</si>
  <si>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</si>
  <si>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</si>
  <si>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</si>
  <si>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</si>
  <si>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</si>
  <si>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</si>
  <si>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</si>
  <si>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</si>
  <si>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</si>
  <si>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</si>
  <si>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</si>
  <si>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</si>
  <si>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</si>
  <si>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</si>
  <si>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</si>
  <si>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</si>
  <si>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</si>
  <si>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</si>
  <si>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</si>
  <si>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</si>
  <si>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</si>
  <si>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</si>
  <si>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</si>
  <si>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</si>
  <si>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</si>
  <si>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</si>
  <si>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</si>
  <si>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</si>
  <si>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</si>
  <si>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</si>
  <si>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</si>
  <si>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</si>
  <si>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</si>
  <si>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</si>
  <si>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</si>
  <si>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</si>
  <si>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</si>
  <si>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</si>
  <si>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</si>
  <si>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</si>
  <si>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</si>
  <si>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</si>
  <si>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</si>
  <si>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</si>
  <si>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</si>
  <si>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</si>
  <si>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</si>
  <si>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</si>
  <si>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</si>
  <si>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</si>
  <si>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</si>
  <si>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</si>
  <si>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</si>
  <si>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</si>
  <si>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</si>
  <si>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</si>
  <si>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</si>
  <si>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</si>
  <si>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</si>
  <si>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</si>
  <si>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</si>
  <si>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</si>
  <si>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</si>
  <si>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</si>
  <si>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</si>
  <si>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</si>
  <si>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</si>
  <si>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</si>
  <si>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</si>
  <si>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</si>
  <si>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</si>
  <si>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</si>
  <si>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</si>
  <si>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</si>
  <si>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</si>
  <si>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</si>
  <si>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</si>
  <si>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</si>
  <si>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</si>
  <si>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</si>
  <si>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</si>
  <si>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</si>
  <si>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</si>
  <si>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</si>
  <si>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</si>
  <si>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</si>
  <si>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</si>
  <si>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</si>
  <si>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</si>
  <si>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</si>
  <si>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</si>
  <si>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</si>
  <si>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</si>
  <si>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</si>
  <si>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</si>
  <si>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</si>
  <si>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</si>
  <si>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</si>
  <si>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</si>
  <si>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</si>
  <si>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</si>
  <si>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</si>
  <si>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</si>
  <si>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</si>
  <si>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</si>
  <si>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</si>
  <si>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</si>
  <si>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</si>
  <si>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</si>
  <si>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</si>
  <si>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</si>
  <si>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</si>
  <si>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</si>
  <si>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</si>
  <si>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</si>
  <si>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</si>
  <si>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</si>
  <si>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</si>
  <si>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</si>
  <si>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</si>
  <si>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</si>
  <si>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</si>
  <si>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</si>
  <si>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</si>
  <si>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</si>
  <si>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</si>
  <si>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</si>
  <si>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</si>
  <si>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</si>
  <si>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</si>
  <si>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</si>
  <si>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</si>
  <si>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</si>
  <si>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</si>
  <si>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</si>
  <si>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</si>
  <si>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</si>
  <si>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</si>
  <si>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</si>
  <si>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</si>
  <si>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</si>
  <si>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</si>
  <si>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</si>
  <si>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</si>
  <si>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</si>
  <si>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</si>
  <si>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</si>
  <si>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</si>
  <si>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</si>
  <si>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</si>
  <si>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</si>
  <si>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</si>
  <si>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</si>
  <si>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</si>
  <si>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</si>
  <si>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</si>
  <si>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</si>
  <si>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</si>
  <si>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</si>
  <si>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</si>
  <si>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</si>
  <si>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</si>
  <si>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</si>
  <si>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</si>
  <si>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</si>
  <si>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</si>
  <si>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</si>
  <si>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</si>
  <si>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</si>
  <si>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</si>
  <si>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</si>
  <si>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</si>
  <si>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</si>
  <si>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</si>
  <si>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</si>
  <si>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</si>
  <si>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</si>
  <si>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</si>
  <si>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</si>
  <si>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</si>
  <si>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</si>
  <si>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</si>
  <si>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</si>
  <si>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</si>
  <si>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</si>
  <si>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</si>
  <si>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</si>
  <si>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</si>
  <si>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</si>
  <si>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</si>
  <si>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</si>
  <si>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</si>
  <si>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</si>
  <si>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</si>
  <si>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</si>
  <si>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</si>
  <si>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</si>
  <si>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</si>
  <si>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</si>
  <si>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</si>
  <si>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</si>
  <si>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</si>
  <si>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</si>
  <si>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</si>
  <si>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</si>
  <si>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</si>
  <si>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</si>
  <si>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</si>
  <si>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</si>
  <si>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</si>
  <si>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</si>
  <si>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</si>
  <si>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</si>
  <si>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</si>
  <si>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</si>
  <si>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</si>
  <si>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</si>
  <si>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</si>
  <si>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</si>
  <si>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</si>
  <si>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</si>
  <si>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</si>
  <si>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</si>
  <si>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</si>
  <si>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</si>
  <si>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</si>
  <si>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</si>
  <si>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</si>
  <si>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</si>
  <si>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</si>
  <si>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</si>
  <si>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</si>
  <si>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</si>
  <si>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</si>
  <si>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</si>
  <si>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</si>
  <si>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</si>
  <si>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</si>
  <si>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</si>
  <si>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</si>
  <si>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</si>
  <si>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</si>
  <si>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</si>
  <si>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</si>
  <si>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</si>
  <si>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</si>
  <si>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</si>
  <si>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</si>
  <si>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</si>
  <si>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</si>
  <si>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</si>
  <si>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</si>
  <si>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</si>
  <si>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</si>
  <si>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</si>
  <si>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</si>
  <si>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</si>
  <si>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</si>
  <si>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</si>
  <si>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</si>
  <si>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</si>
  <si>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</si>
  <si>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</si>
  <si>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</si>
  <si>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</si>
  <si>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</si>
  <si>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</si>
  <si>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</si>
  <si>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</si>
  <si>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</si>
  <si>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</si>
  <si>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</si>
  <si>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</si>
  <si>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</si>
  <si>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</si>
  <si>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</si>
  <si>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</si>
  <si>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</si>
  <si>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</si>
  <si>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</si>
  <si>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</si>
  <si>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</si>
  <si>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</si>
  <si>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</si>
  <si>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</si>
  <si>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</si>
  <si>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</si>
  <si>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</si>
  <si>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</si>
  <si>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</si>
  <si>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</si>
  <si>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</si>
  <si>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</si>
  <si>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</si>
  <si>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</si>
  <si>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</si>
  <si>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</si>
  <si>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</si>
  <si>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</si>
  <si>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</si>
  <si>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</si>
  <si>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</si>
  <si>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</si>
  <si>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</si>
  <si>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</si>
  <si>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</si>
  <si>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</si>
  <si>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</si>
  <si>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</si>
  <si>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</si>
  <si>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</si>
  <si>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</si>
  <si>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</si>
  <si>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</si>
  <si>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</si>
  <si>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</si>
  <si>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</si>
  <si>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</si>
  <si>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</si>
  <si>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</si>
  <si>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</si>
  <si>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</si>
  <si>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</si>
  <si>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</si>
  <si>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</si>
  <si>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</si>
  <si>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</si>
  <si>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</si>
  <si>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</si>
  <si>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</si>
  <si>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</si>
  <si>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</si>
  <si>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</si>
  <si>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</si>
  <si>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</si>
  <si>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</si>
  <si>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</si>
  <si>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Zubaida Associate</t>
  </si>
  <si>
    <t>Address: Attari Darbar Ferozpur Road</t>
  </si>
  <si>
    <t>NTN #: 4269497-3</t>
  </si>
  <si>
    <t>Zubaida Traders</t>
  </si>
  <si>
    <t>Invoice No # :65159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</si>
</sst>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3" xfId="0" applyBorder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515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f ca="1">TODAY()</f>
        <v>46282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>Zubaida Associate</v>
      </c>
      <c r="T3" s="301">
        <f>+'1'!P35</f>
        <v>511226.20522924571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Zubaida Associate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Zubaida Associate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Zubaida Associate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798</v>
      </c>
      <c r="I7" s="235">
        <f>(G7*D7)*F7+H7*F7</f>
        <v>41865.074999999997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7535.7134999999989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34329.361499999999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7912.3728813559292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211.20867190677964</v>
      </c>
      <c r="P7" s="310">
        <f>M7+N7+O7</f>
        <v>42452.943053262708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</v>
      </c>
      <c r="R7" s="314">
        <v>5</v>
      </c>
      <c r="S7" s="300" t="str">
        <f>+'5'!A6:A6</f>
        <v>Zubaida Associate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596</v>
      </c>
      <c r="I8" s="236">
        <f t="shared" ref="I8:I14" si="0">(G8*D8)*F8+H8*F8</f>
        <v>31267.649999999998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5628.1769999999997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25639.472999999998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5909.4915254237267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157.74482262711862</v>
      </c>
      <c r="P8" s="311">
        <f t="shared" ref="P8:P15" si="2">M8+N8+O8</f>
        <v>31706.709348050845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4</v>
      </c>
      <c r="R8" s="314">
        <v>6</v>
      </c>
      <c r="S8" s="300" t="str">
        <f>+'6'!A6:A6</f>
        <v>Zubaida Associate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1600</v>
      </c>
      <c r="I9" s="236">
        <f t="shared" si="0"/>
        <v>83940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15109.199999999999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68830.8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15864.406779661011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423.47603389830505</v>
      </c>
      <c r="P9" s="311">
        <f t="shared" si="2"/>
        <v>85118.68281355931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Zubaida Associate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1999</v>
      </c>
      <c r="I10" s="236">
        <f t="shared" si="0"/>
        <v>145207.36000000002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26137.324800000002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119070.03520000001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27443.898305084746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732.56966752542382</v>
      </c>
      <c r="P10" s="311">
        <f t="shared" si="2"/>
        <v>147246.50317261019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</v>
      </c>
      <c r="R10" s="314">
        <v>8</v>
      </c>
      <c r="S10" s="300" t="str">
        <f>+'8'!A6:A6</f>
        <v>Zubaida Associate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781</v>
      </c>
      <c r="I11" s="236">
        <f t="shared" si="0"/>
        <v>56731.840000000004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10211.7312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46520.108800000002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10722.203389830509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286.21156094915256</v>
      </c>
      <c r="P11" s="311">
        <f t="shared" si="2"/>
        <v>57528.523750779663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19</v>
      </c>
      <c r="R11" s="314">
        <v>9</v>
      </c>
      <c r="S11" s="300" t="str">
        <f>+'9'!A6:A6</f>
        <v>Zubaida Associate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1998</v>
      </c>
      <c r="I12" s="236">
        <f t="shared" si="0"/>
        <v>145134.72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26124.249599999999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119010.47040000001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27430.169491525427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732.20319945762719</v>
      </c>
      <c r="P12" s="311">
        <f t="shared" si="2"/>
        <v>147172.84309098308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2</v>
      </c>
      <c r="R12" s="314">
        <v>10</v>
      </c>
      <c r="S12" s="300" t="str">
        <f>+'10'!A6:A6</f>
        <v>Zubaida Associate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Zubaida Associate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Zubaida Associate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Zubaida Associate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194.3</v>
      </c>
      <c r="H16" s="113">
        <f t="shared" ref="H16:M16" si="3">SUM(H7:H15)</f>
        <v>7772</v>
      </c>
      <c r="I16" s="114">
        <f t="shared" si="3"/>
        <v>504146.64500000002</v>
      </c>
      <c r="J16" s="274">
        <f>SUM(J7:J15)</f>
        <v>90746.396099999998</v>
      </c>
      <c r="K16" s="275">
        <f t="shared" si="3"/>
        <v>0</v>
      </c>
      <c r="L16" s="276">
        <f t="shared" si="3"/>
        <v>0</v>
      </c>
      <c r="M16" s="232">
        <f t="shared" si="3"/>
        <v>413400.24890000001</v>
      </c>
      <c r="N16" s="233">
        <f>SUM(N7:N15)</f>
        <v>95282.542372881348</v>
      </c>
      <c r="O16" s="101">
        <f>SUM(O7:O15)</f>
        <v>2543.4139563644071</v>
      </c>
      <c r="P16" s="113">
        <f>SUM(P7:P15)</f>
        <v>511226.20522924582</v>
      </c>
      <c r="Q16" s="128">
        <f>SUM(Q7:Q15)</f>
        <v>28</v>
      </c>
      <c r="R16" s="314">
        <v>14</v>
      </c>
      <c r="S16" s="300" t="str">
        <f>+'14'!A6:A6</f>
        <v>Zubaida Associate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Zubaida Associate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Zubaida Associate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504146.64500000002</v>
      </c>
      <c r="R19" s="299">
        <v>17</v>
      </c>
      <c r="S19" s="300" t="str">
        <f>+'17'!A6:A6</f>
        <v>Zubaida Associate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90746.396099999998</v>
      </c>
      <c r="R20" s="299">
        <v>18</v>
      </c>
      <c r="S20" s="300" t="str">
        <f>+'18'!A6:A6</f>
        <v>Zubaida Associate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0</v>
      </c>
      <c r="R21" s="299">
        <v>19</v>
      </c>
      <c r="S21" s="300" t="str">
        <f>+'19'!A6:A6</f>
        <v>Zubaida Associate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413400.24890000001</v>
      </c>
      <c r="R22" s="299">
        <v>20</v>
      </c>
      <c r="S22" s="300" t="str">
        <f>+'20'!A6:A6</f>
        <v>Zubaida Associate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95282.542372881348</v>
      </c>
      <c r="R23" s="299">
        <v>21</v>
      </c>
      <c r="S23" s="300" t="str">
        <f>+'21'!A6:A6</f>
        <v>Zubaida Associate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508682.79127288132</v>
      </c>
      <c r="R24" s="299">
        <v>22</v>
      </c>
      <c r="S24" s="300" t="str">
        <f>+'22'!A6:A6</f>
        <v>Zubaida Associate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2543.4139563644071</v>
      </c>
      <c r="R25" s="299">
        <v>23</v>
      </c>
      <c r="S25" s="300" t="str">
        <f>+'23'!A6:A6</f>
        <v>Zubaida Associate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511226.20522924571</v>
      </c>
      <c r="R26" s="299">
        <v>24</v>
      </c>
      <c r="S26" s="300" t="str">
        <f>+'24'!A6:A6</f>
        <v>Zubaida Associate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Zubaida Associate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Zubaida Associate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Zubaida Associate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Zubaida Associate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Zubaida Associate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Zubaida Associate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511226.20522924571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7" workbookViewId="0">
      <selection activeCell="I7" sqref="I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9.36328125" bestFit="1" customWidth="1"/>
    <col min="10" max="10" width="8.36328125" bestFit="1" customWidth="1"/>
    <col min="11" max="11" width="7.36328125" bestFit="1" customWidth="1"/>
    <col min="12" max="12" width="4.36328125" bestFit="1" customWidth="1"/>
    <col min="13" max="13" width="6.81640625" bestFit="1" customWidth="1"/>
    <col min="14" max="14" width="8.36328125" style="61" bestFit="1" customWidth="1"/>
    <col min="15" max="15" width="9.26953125" customWidth="1"/>
    <col min="16" max="16" width="10.54296875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516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46282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46281</v>
      </c>
      <c r="O5" s="369"/>
      <c r="P5" s="369"/>
      <c r="R5" s="85"/>
      <c r="S5" s="266"/>
    </row>
    <row r="6" spans="1:22 16383:16384" ht="17.2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500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89" t="s">
        <v>56</v>
      </c>
      <c r="Q14" s="318" t="s">
        <v>507</v>
      </c>
      <c r="XFD14" t="s">
        <v>106</v>
      </c>
    </row>
    <row r="15" spans="1:22 16383:16384" ht="3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91" t="s">
        <v>38</v>
      </c>
      <c r="Q15" s="318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798</v>
      </c>
      <c r="I16" s="235">
        <f>(G16*D16)*F16+H16*F16</f>
        <v>41865.074999999997</v>
      </c>
      <c r="J16" s="271">
        <f>$I16*S16</f>
        <v>7535.7134999999989</v>
      </c>
      <c r="K16" s="127">
        <f>$I16*T16</f>
        <v>0</v>
      </c>
      <c r="L16" s="118">
        <f>$I16*U16</f>
        <v>0</v>
      </c>
      <c r="M16" s="229">
        <f>I16-SUM(J16:L16)</f>
        <v>34329.361499999999</v>
      </c>
      <c r="N16" s="248">
        <f>+(G16*D16+H16)*V16</f>
        <v>7912.3728813559292</v>
      </c>
      <c r="O16" s="238">
        <f>(N16+M16)*$O$15</f>
        <v>211.20867190677964</v>
      </c>
      <c r="P16" s="118">
        <f>M16+N16+O16</f>
        <v>42452.943053262708</v>
      </c>
      <c r="Q16" s="414">
        <v>2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596</v>
      </c>
      <c r="I17" s="236">
        <f t="shared" ref="I17:I23" si="0">(G17*D17)*F17+H17*F17</f>
        <v>31267.649999999998</v>
      </c>
      <c r="J17" s="272">
        <f t="shared" ref="J17:L24" si="1">$I17*S17</f>
        <v>5628.1769999999997</v>
      </c>
      <c r="K17" s="128">
        <f>$I17*T17</f>
        <v>0</v>
      </c>
      <c r="L17" s="119">
        <f>$I17*U17</f>
        <v>0</v>
      </c>
      <c r="M17" s="230">
        <f t="shared" ref="M17:M24" si="2">I17-SUM(J17:L17)</f>
        <v>25639.472999999998</v>
      </c>
      <c r="N17" s="277">
        <f t="shared" ref="N17:N24" si="3">+(G17*D17+H17)*V17</f>
        <v>5909.4915254237267</v>
      </c>
      <c r="O17" s="239">
        <f t="shared" ref="O17:O24" si="4">(N17+M17)*$O$15</f>
        <v>157.74482262711862</v>
      </c>
      <c r="P17" s="119">
        <f t="shared" ref="P17:P24" si="5">M17+N17+O17</f>
        <v>31706.709348050845</v>
      </c>
      <c r="Q17" s="415">
        <v>4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1600</v>
      </c>
      <c r="I18" s="236">
        <f t="shared" ref="I18:I21" si="7">(G18*D18)*F18+H18*F18</f>
        <v>83940</v>
      </c>
      <c r="J18" s="272">
        <f t="shared" si="1"/>
        <v>15109.199999999999</v>
      </c>
      <c r="K18" s="128">
        <f t="shared" si="1"/>
        <v>0</v>
      </c>
      <c r="L18" s="119">
        <f t="shared" si="1"/>
        <v>0</v>
      </c>
      <c r="M18" s="230">
        <f t="shared" si="2"/>
        <v>68830.8</v>
      </c>
      <c r="N18" s="277">
        <f t="shared" si="3"/>
        <v>15864.406779661011</v>
      </c>
      <c r="O18" s="239">
        <f t="shared" si="4"/>
        <v>423.47603389830505</v>
      </c>
      <c r="P18" s="119">
        <f t="shared" si="5"/>
        <v>85118.68281355931</v>
      </c>
      <c r="Q18" s="415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1999</v>
      </c>
      <c r="I19" s="236">
        <f t="shared" si="7"/>
        <v>145207.36000000002</v>
      </c>
      <c r="J19" s="272">
        <f t="shared" si="1"/>
        <v>26137.324800000002</v>
      </c>
      <c r="K19" s="128">
        <f t="shared" si="1"/>
        <v>0</v>
      </c>
      <c r="L19" s="119">
        <f t="shared" si="1"/>
        <v>0</v>
      </c>
      <c r="M19" s="230">
        <f t="shared" si="2"/>
        <v>119070.03520000001</v>
      </c>
      <c r="N19" s="277">
        <f t="shared" si="3"/>
        <v>27443.898305084746</v>
      </c>
      <c r="O19" s="239">
        <f t="shared" si="4"/>
        <v>732.56966752542382</v>
      </c>
      <c r="P19" s="119">
        <f t="shared" si="5"/>
        <v>147246.50317261019</v>
      </c>
      <c r="Q19" s="415">
        <v>1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781</v>
      </c>
      <c r="I20" s="236">
        <f t="shared" si="7"/>
        <v>56731.840000000004</v>
      </c>
      <c r="J20" s="272">
        <f t="shared" si="1"/>
        <v>10211.7312</v>
      </c>
      <c r="K20" s="128">
        <f t="shared" si="1"/>
        <v>0</v>
      </c>
      <c r="L20" s="119">
        <f t="shared" si="1"/>
        <v>0</v>
      </c>
      <c r="M20" s="230">
        <f t="shared" si="2"/>
        <v>46520.108800000002</v>
      </c>
      <c r="N20" s="277">
        <f t="shared" si="3"/>
        <v>10722.203389830509</v>
      </c>
      <c r="O20" s="239">
        <f t="shared" si="4"/>
        <v>286.21156094915256</v>
      </c>
      <c r="P20" s="119">
        <f t="shared" si="5"/>
        <v>57528.523750779663</v>
      </c>
      <c r="Q20" s="415">
        <v>19</v>
      </c>
      <c r="S20" s="269">
        <f>+S19</f>
        <v>0.18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1998</v>
      </c>
      <c r="I21" s="236">
        <f t="shared" si="7"/>
        <v>145134.72</v>
      </c>
      <c r="J21" s="272">
        <f t="shared" si="1"/>
        <v>26124.249599999999</v>
      </c>
      <c r="K21" s="128">
        <f t="shared" si="1"/>
        <v>0</v>
      </c>
      <c r="L21" s="119">
        <f t="shared" si="1"/>
        <v>0</v>
      </c>
      <c r="M21" s="230">
        <f t="shared" si="2"/>
        <v>119010.47040000001</v>
      </c>
      <c r="N21" s="277">
        <f t="shared" si="3"/>
        <v>27430.169491525427</v>
      </c>
      <c r="O21" s="239">
        <f t="shared" si="4"/>
        <v>732.20319945762719</v>
      </c>
      <c r="P21" s="119">
        <f t="shared" si="5"/>
        <v>147172.84309098308</v>
      </c>
      <c r="Q21" s="415">
        <v>2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415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7772</v>
      </c>
      <c r="I25" s="114">
        <f t="shared" ref="I25:M25" si="10">SUM(I16:I24)</f>
        <v>504146.64500000002</v>
      </c>
      <c r="J25" s="274">
        <f>SUM(J16:J24)</f>
        <v>90746.396099999998</v>
      </c>
      <c r="K25" s="275">
        <f t="shared" si="10"/>
        <v>0</v>
      </c>
      <c r="L25" s="276">
        <f t="shared" si="10"/>
        <v>0</v>
      </c>
      <c r="M25" s="232">
        <f t="shared" si="10"/>
        <v>413400.24890000001</v>
      </c>
      <c r="N25" s="233">
        <f>SUM(N16:N24)</f>
        <v>95282.542372881348</v>
      </c>
      <c r="O25" s="101">
        <f>SUM(O16:O24)</f>
        <v>2543.4139563644071</v>
      </c>
      <c r="P25" s="234">
        <f>SUM(P16:P24)</f>
        <v>511226.20522924582</v>
      </c>
      <c r="Q25" s="239">
        <f>SUM(Q16:Q24)</f>
        <v>28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504146.64500000002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90746.396099999998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413400.24890000001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95282.542372881348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508682.79127288132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2543.4139563644067</v>
      </c>
    </row>
    <row r="35" spans="2:16" ht="15.75" customHeight="1" thickBot="1" x14ac:dyDescent="0.4">
      <c r="N35" s="344" t="s">
        <v>88</v>
      </c>
      <c r="O35" s="345"/>
      <c r="P35" s="297">
        <f>+P33+P34</f>
        <v>511226.20522924571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502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46283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46282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2026-09-17T09:00:04Z</dcterms:modified>
</cp:coreProperties>
</file>