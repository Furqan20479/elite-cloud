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682F0A-BC92-49D8-973F-2D59EFF28C8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2" i="43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<sst xmlns="http://schemas.openxmlformats.org/spreadsheetml/2006/main" count="3948" uniqueCount="524">
  <si>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</si>
  <si>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</si>
  <si>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</si>
  <si>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</si>
  <si>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</si>
  <si>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</si>
  <si>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</si>
  <si>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</si>
  <si>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</si>
  <si>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</si>
  <si>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</si>
  <si>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</si>
  <si>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</si>
  <si>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</si>
  <si>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</si>
  <si>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</si>
  <si>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</si>
  <si>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</si>
  <si>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</si>
  <si>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</si>
  <si>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</si>
  <si>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</si>
  <si>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</si>
  <si>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</si>
  <si>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</si>
  <si>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</si>
  <si>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</si>
  <si>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</si>
  <si>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</si>
  <si>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</si>
  <si>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</si>
  <si>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</si>
  <si>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</si>
  <si>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</si>
  <si>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</si>
  <si>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</si>
  <si>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</si>
  <si>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</si>
  <si>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</si>
  <si>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</si>
  <si>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</si>
  <si>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</si>
  <si>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</si>
  <si>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</si>
  <si>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</si>
  <si>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</si>
  <si>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</si>
  <si>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</si>
  <si>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</si>
  <si>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</si>
  <si>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</si>
  <si>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</si>
  <si>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</si>
  <si>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</si>
  <si>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</si>
  <si>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</si>
  <si>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</si>
  <si>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</si>
  <si>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</si>
  <si>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</si>
  <si>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</si>
  <si>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</si>
  <si>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</si>
  <si>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</si>
  <si>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</si>
  <si>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</si>
  <si>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</si>
  <si>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</si>
  <si>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</si>
  <si>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</si>
  <si>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</si>
  <si>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</si>
  <si>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</si>
  <si>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</si>
  <si>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</si>
  <si>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</si>
  <si>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</si>
  <si>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</si>
  <si>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</si>
  <si>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</si>
  <si>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</si>
  <si>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</si>
  <si>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</si>
  <si>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</si>
  <si>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</si>
  <si>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</si>
  <si>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</si>
  <si>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</si>
  <si>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</si>
  <si>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</si>
  <si>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</si>
  <si>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</si>
  <si>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</si>
  <si>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</si>
  <si>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</si>
  <si>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</si>
  <si>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</si>
  <si>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</si>
  <si>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</si>
  <si>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</si>
  <si>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</si>
  <si>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</si>
  <si>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</si>
  <si>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</si>
  <si>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</si>
  <si>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</si>
  <si>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</si>
  <si>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</si>
  <si>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</si>
  <si>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</si>
  <si>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</si>
  <si>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</si>
  <si>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</si>
  <si>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</si>
  <si>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</si>
  <si>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</si>
  <si>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</si>
  <si>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</si>
  <si>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</si>
  <si>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</si>
  <si>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</si>
  <si>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</si>
  <si>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</si>
  <si>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</si>
  <si>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</si>
  <si>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</si>
  <si>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</si>
  <si>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</si>
  <si>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</si>
  <si>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</si>
  <si>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</si>
  <si>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</si>
  <si>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</si>
  <si>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</si>
  <si>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</si>
  <si>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</si>
  <si>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</si>
  <si>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</si>
  <si>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</si>
  <si>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</si>
  <si>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</si>
  <si>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</si>
  <si>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</si>
  <si>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</si>
  <si>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</si>
  <si>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</si>
  <si>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</si>
  <si>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</si>
  <si>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</si>
  <si>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</si>
  <si>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</si>
  <si>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</si>
  <si>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</si>
  <si>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</si>
  <si>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</si>
  <si>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</si>
  <si>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</si>
  <si>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</si>
  <si>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</si>
  <si>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</si>
  <si>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</si>
  <si>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</si>
  <si>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</si>
  <si>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</si>
  <si>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</si>
  <si>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</si>
  <si>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</si>
  <si>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</si>
  <si>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</si>
  <si>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</si>
  <si>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</si>
  <si>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</si>
  <si>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</si>
  <si>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</si>
  <si>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</si>
  <si>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</si>
  <si>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</si>
  <si>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</si>
  <si>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</si>
  <si>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</si>
  <si>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</si>
  <si>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</si>
  <si>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</si>
  <si>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</si>
  <si>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</si>
  <si>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</si>
  <si>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</si>
  <si>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</si>
  <si>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</si>
  <si>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</si>
  <si>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</si>
  <si>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</si>
  <si>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</si>
  <si>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</si>
  <si>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</si>
  <si>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</si>
  <si>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</si>
  <si>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</si>
  <si>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</si>
  <si>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</si>
  <si>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</si>
  <si>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</si>
  <si>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</si>
  <si>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</si>
  <si>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</si>
  <si>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</si>
  <si>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</si>
  <si>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</si>
  <si>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</si>
  <si>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</si>
  <si>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</si>
  <si>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</si>
  <si>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</si>
  <si>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</si>
  <si>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</si>
  <si>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</si>
  <si>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</si>
  <si>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</si>
  <si>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</si>
  <si>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</si>
  <si>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</si>
  <si>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</si>
  <si>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</si>
  <si>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</si>
  <si>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</si>
  <si>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</si>
  <si>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</si>
  <si>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</si>
  <si>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</si>
  <si>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</si>
  <si>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</si>
  <si>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</si>
  <si>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</si>
  <si>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</si>
  <si>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</si>
  <si>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</si>
  <si>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</si>
  <si>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</si>
  <si>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</si>
  <si>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</si>
  <si>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</si>
  <si>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</si>
  <si>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</si>
  <si>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</si>
  <si>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</si>
  <si>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</si>
  <si>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</si>
  <si>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</si>
  <si>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</si>
  <si>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</si>
  <si>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</si>
  <si>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</si>
  <si>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</si>
  <si>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</si>
  <si>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</si>
  <si>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</si>
  <si>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</si>
  <si>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</si>
  <si>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</si>
  <si>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</si>
  <si>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</si>
  <si>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</si>
  <si>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</si>
  <si>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</si>
  <si>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</si>
  <si>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</si>
  <si>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</si>
  <si>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</si>
  <si>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</si>
  <si>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</si>
  <si>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</si>
  <si>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</si>
  <si>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</si>
  <si>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</si>
  <si>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</si>
  <si>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</si>
  <si>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</si>
  <si>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</si>
  <si>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</si>
  <si>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</si>
  <si>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</si>
  <si>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</si>
  <si>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</si>
  <si>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</si>
  <si>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</si>
  <si>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</si>
  <si>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</si>
  <si>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</si>
  <si>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</si>
  <si>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</si>
  <si>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</si>
  <si>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</si>
  <si>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</si>
  <si>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</si>
  <si>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</si>
  <si>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</si>
  <si>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</si>
  <si>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</si>
  <si>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</si>
  <si>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</si>
  <si>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</si>
  <si>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</si>
  <si>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</si>
  <si>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</si>
  <si>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</si>
  <si>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</si>
  <si>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</si>
  <si>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</si>
  <si>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</si>
  <si>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</si>
  <si>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</si>
  <si>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</si>
  <si>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</si>
  <si>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</si>
  <si>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</si>
  <si>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</si>
  <si>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</si>
  <si>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</si>
  <si>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</si>
  <si>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</si>
  <si>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</si>
  <si>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</si>
  <si>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</si>
  <si>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</si>
  <si>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</si>
  <si>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</si>
  <si>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</si>
  <si>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</si>
  <si>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</si>
  <si>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</si>
  <si>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</si>
  <si>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</si>
  <si>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</si>
  <si>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</si>
  <si>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</si>
  <si>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</si>
  <si>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</si>
  <si>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</si>
  <si>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</si>
  <si>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</si>
  <si>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</si>
  <si>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</si>
  <si>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</si>
  <si>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</si>
  <si>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</si>
  <si>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</si>
  <si>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</si>
  <si>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</si>
  <si>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</si>
  <si>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</si>
  <si>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</si>
  <si>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</si>
  <si>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</si>
  <si>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</si>
  <si>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</si>
  <si>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</si>
  <si>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</si>
  <si>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</si>
  <si>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</si>
  <si>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</si>
  <si>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</si>
  <si>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</si>
  <si>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</si>
  <si>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</si>
  <si>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</si>
  <si>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</si>
  <si>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</si>
  <si>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</si>
  <si>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</si>
  <si>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</si>
  <si>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</si>
  <si>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</si>
  <si>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</si>
  <si>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</si>
  <si>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</si>
  <si>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</si>
  <si>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</si>
  <si>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</si>
  <si>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</si>
  <si>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</si>
  <si>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</si>
  <si>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</si>
  <si>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</si>
  <si>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</si>
  <si>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</si>
  <si>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</si>
  <si>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</si>
  <si>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</si>
  <si>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</si>
  <si>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</si>
  <si>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</si>
  <si>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</si>
  <si>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</si>
  <si>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</si>
  <si>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</si>
  <si>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</si>
  <si>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</si>
  <si>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</si>
  <si>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</si>
  <si>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</si>
  <si>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</si>
  <si>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</si>
  <si>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</si>
  <si>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</si>
  <si>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</si>
  <si>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</si>
  <si>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</si>
  <si>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</si>
  <si>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</si>
  <si>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</si>
  <si>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</si>
  <si>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</si>
  <si>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</si>
  <si>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</si>
  <si>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</si>
  <si>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</si>
  <si>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</si>
  <si>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</si>
  <si>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</si>
  <si>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</si>
  <si>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</si>
  <si>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</si>
  <si>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</si>
  <si>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</si>
  <si>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</si>
  <si>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</si>
  <si>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</si>
  <si>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</si>
  <si>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</si>
  <si>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</si>
  <si>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</si>
  <si>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</si>
  <si>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</si>
  <si>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</si>
  <si>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</si>
  <si>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</si>
  <si>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</si>
  <si>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</si>
  <si>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</si>
  <si>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</si>
  <si>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</si>
  <si>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</si>
  <si>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</si>
  <si>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</si>
  <si>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</si>
  <si>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</si>
  <si>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</si>
  <si>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</si>
  <si>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</si>
  <si>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</si>
  <si>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</si>
  <si>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</si>
  <si>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</si>
  <si>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</si>
  <si>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</si>
  <si>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</si>
  <si>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</si>
  <si>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</si>
  <si>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</si>
  <si>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</si>
  <si>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</si>
  <si>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</si>
  <si>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</si>
  <si>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</si>
  <si>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</si>
  <si>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</si>
  <si>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</si>
  <si>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</si>
  <si>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</si>
  <si>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</si>
  <si>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</si>
  <si>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</si>
  <si>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</si>
  <si>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</si>
  <si>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</si>
  <si>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</si>
  <si>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</si>
  <si>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</si>
  <si>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</si>
  <si>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</si>
  <si>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</si>
  <si>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</si>
  <si>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</si>
  <si>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</si>
  <si>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</si>
  <si>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</si>
  <si>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</si>
  <si>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</si>
  <si>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</si>
  <si>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</si>
  <si>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</si>
  <si>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</si>
  <si>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</si>
  <si>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</si>
  <si>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</si>
  <si>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</si>
  <si>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</si>
  <si>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</si>
  <si>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</si>
  <si>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</si>
  <si>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</si>
  <si>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</si>
  <si>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</si>
  <si>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</si>
  <si>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</si>
  <si>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</si>
  <si>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</si>
  <si>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</si>
  <si>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</si>
  <si>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</si>
  <si>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</si>
  <si>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</si>
  <si>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</si>
  <si>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</si>
  <si>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Workshop Bazar Walton</t>
  </si>
  <si>
    <t>Khan Yousaf Zai Store</t>
  </si>
  <si>
    <t>Rana Anas Store</t>
  </si>
  <si>
    <t xml:space="preserve">Noor Traders </t>
  </si>
  <si>
    <t>Tariq Mithu Store</t>
  </si>
  <si>
    <t>Ahmad Store</t>
  </si>
  <si>
    <t>Khawaja GS</t>
  </si>
  <si>
    <t>Address: Main Market Gullberg</t>
  </si>
  <si>
    <t xml:space="preserve">Walton Pharmacy </t>
  </si>
  <si>
    <t xml:space="preserve">Down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</si>
</sst>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Khan Yousaf Zai Store</v>
      </c>
      <c r="T3" s="301">
        <f>+'1'!P35</f>
        <v>1441.6168495728814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Rana Anas Store</v>
      </c>
      <c r="T4" s="301">
        <f>+'2'!P35</f>
        <v>1904.3937823728813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Noor Traders </v>
      </c>
      <c r="T5" s="301">
        <f>+'3'!P35</f>
        <v>2830.9694355610172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Tariq Mithu Store</v>
      </c>
      <c r="T6" s="301">
        <f>+'4'!P35</f>
        <v>3338.355826983051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</v>
      </c>
      <c r="I7" s="235">
        <f>(G7*D7)*F7+H7*F7</f>
        <v>209.85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16.788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7.3447500000000003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185.71724999999998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39.661016949152526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1.1268913347457625</v>
      </c>
      <c r="P7" s="310">
        <f>M7+N7+O7</f>
        <v>226.50515828389825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Ahmad Store</v>
      </c>
      <c r="T7" s="301">
        <f>+'5'!P35</f>
        <v>6235.8521246694918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36</v>
      </c>
      <c r="I8" s="236">
        <f t="shared" ref="I8:I14" si="0">(G8*D8)*F8+H8*F8</f>
        <v>1888.6499999999999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151.09200000000001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66.10275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1671.45525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356.94915254237276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10.142022012711864</v>
      </c>
      <c r="P8" s="311">
        <f t="shared" ref="P8:P15" si="2">M8+N8+O8</f>
        <v>2038.5464245550845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Khawaja GS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</v>
      </c>
      <c r="I9" s="236">
        <f t="shared" si="0"/>
        <v>1888.6499999999999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151.09200000000001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66.10275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1671.45525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356.94915254237276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10.142022012711864</v>
      </c>
      <c r="P9" s="311">
        <f t="shared" si="2"/>
        <v>2038.5464245550845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Walton Pharmacy </v>
      </c>
      <c r="T9" s="301">
        <f>+'7'!P35</f>
        <v>888.16271403813562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</v>
      </c>
      <c r="I10" s="236">
        <f t="shared" si="0"/>
        <v>217.92000000000002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17.433600000000002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7.6272000000000011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192.85920000000002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41.186440677966104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1.1702282033898306</v>
      </c>
      <c r="P10" s="311">
        <f t="shared" si="2"/>
        <v>235.21586888135593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Down Bakers 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</v>
      </c>
      <c r="I12" s="236">
        <f t="shared" si="0"/>
        <v>2760.32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220.82560000000001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96.611200000000011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2442.8832000000002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521.69491525423734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14.822890576271188</v>
      </c>
      <c r="P12" s="311">
        <f t="shared" si="2"/>
        <v>2979.4010058305089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205</v>
      </c>
      <c r="I13" s="236">
        <f t="shared" si="0"/>
        <v>8042.1500000000005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402.10750000000007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281.47525000000007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410.14964999999995</v>
      </c>
      <c r="M13" s="230">
        <f t="shared" si="1"/>
        <v>6948.4176000000007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1563.5593220338974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42.55988461016949</v>
      </c>
      <c r="P13" s="311">
        <f t="shared" si="2"/>
        <v>8554.5368066440678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8.5500000000000007</v>
      </c>
      <c r="H16" s="113">
        <f t="shared" ref="H16:M16" si="3">SUM(H7:H15)</f>
        <v>342</v>
      </c>
      <c r="I16" s="114">
        <f t="shared" si="3"/>
        <v>16460.34</v>
      </c>
      <c r="J16" s="274">
        <f>SUM(J7:J15)</f>
        <v>1075.5627000000002</v>
      </c>
      <c r="K16" s="275">
        <f t="shared" si="3"/>
        <v>576.11190000000011</v>
      </c>
      <c r="L16" s="276">
        <f t="shared" si="3"/>
        <v>410.14964999999995</v>
      </c>
      <c r="M16" s="232">
        <f t="shared" si="3"/>
        <v>14398.51575</v>
      </c>
      <c r="N16" s="233">
        <f>SUM(N7:N15)</f>
        <v>3154.5762711864395</v>
      </c>
      <c r="O16" s="101">
        <f>SUM(O7:O15)</f>
        <v>87.765460105932206</v>
      </c>
      <c r="P16" s="113">
        <f>SUM(P7:P15)</f>
        <v>17640.857481292373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16460.34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1075.5627000000002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986.26155000000006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14398.51575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3154.5762711864395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17553.09202118644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87.765460105932206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17640.857481292373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17640.857481292373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1342.44</v>
      </c>
      <c r="J25" s="274">
        <f>SUM(J16:J24)</f>
        <v>93.272400000000005</v>
      </c>
      <c r="K25" s="275">
        <f t="shared" si="10"/>
        <v>46.985400000000013</v>
      </c>
      <c r="L25" s="276">
        <f t="shared" si="10"/>
        <v>24.008760000000002</v>
      </c>
      <c r="M25" s="232">
        <f t="shared" si="10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1342.44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93.272400000000005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70.994160000000022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1178.17344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1434.4446264406779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4" t="s">
        <v>88</v>
      </c>
      <c r="O35" s="375"/>
      <c r="P35" s="297">
        <f>+P33+P34</f>
        <v>1441.6168495728814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43</v>
      </c>
      <c r="I25" s="114">
        <f t="shared" si="7"/>
        <v>1787.1200000000003</v>
      </c>
      <c r="J25" s="274">
        <f>SUM(J16:J24)</f>
        <v>95.893600000000021</v>
      </c>
      <c r="K25" s="275">
        <f t="shared" si="7"/>
        <v>62.549200000000013</v>
      </c>
      <c r="L25" s="276">
        <f t="shared" si="7"/>
        <v>80.029200000000003</v>
      </c>
      <c r="M25" s="232">
        <f t="shared" si="7"/>
        <v>1548.6480000000004</v>
      </c>
      <c r="N25" s="233">
        <f>SUM(N16:N24)</f>
        <v>346.27118644067781</v>
      </c>
      <c r="O25" s="101">
        <f>SUM(O16:O24)</f>
        <v>9.4745959322033908</v>
      </c>
      <c r="P25" s="234">
        <f>SUM(P16:P24)</f>
        <v>1904.3937823728813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1787.1200000000003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95.893600000000021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142.57840000000002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1548.6480000000001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346.27118644067781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1894.919186440678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9.4745959322033908</v>
      </c>
    </row>
    <row r="35" spans="2:16" ht="15.75" customHeight="1" thickBot="1" x14ac:dyDescent="0.4">
      <c r="N35" s="374" t="s">
        <v>88</v>
      </c>
      <c r="O35" s="375"/>
      <c r="P35" s="297">
        <f>+P33+P34</f>
        <v>1904.3937823728813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54</v>
      </c>
      <c r="I25" s="114">
        <f t="shared" si="7"/>
        <v>2636.46</v>
      </c>
      <c r="J25" s="274">
        <f>SUM(J16:J24)</f>
        <v>182.6712</v>
      </c>
      <c r="K25" s="275">
        <f t="shared" si="7"/>
        <v>92.276100000000014</v>
      </c>
      <c r="L25" s="276">
        <f t="shared" si="7"/>
        <v>48.017520000000005</v>
      </c>
      <c r="M25" s="232">
        <f t="shared" si="7"/>
        <v>2313.4951799999999</v>
      </c>
      <c r="N25" s="233">
        <f>SUM(N16:N24)</f>
        <v>503.38983050847435</v>
      </c>
      <c r="O25" s="101">
        <f>SUM(O16:O24)</f>
        <v>14.084425052542372</v>
      </c>
      <c r="P25" s="234">
        <f>SUM(P16:P24)</f>
        <v>2830.9694355610168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2636.46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182.6712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140.29362000000003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2313.4951800000003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503.38983050847435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2816.8850105084748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14.084425052542374</v>
      </c>
    </row>
    <row r="35" spans="2:16" ht="15.75" customHeight="1" thickBot="1" x14ac:dyDescent="0.4">
      <c r="N35" s="374" t="s">
        <v>88</v>
      </c>
      <c r="O35" s="375"/>
      <c r="P35" s="297">
        <f>+P33+P34</f>
        <v>2830.9694355610172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439.55799999999999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5106.5229000000008</v>
      </c>
      <c r="N25" s="233">
        <f>SUM(N16:N24)</f>
        <v>1098.3050847457625</v>
      </c>
      <c r="O25" s="101">
        <f>SUM(O16:O24)</f>
        <v>31.024139923728811</v>
      </c>
      <c r="P25" s="234">
        <f>SUM(P16:P24)</f>
        <v>6235.8521246694918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5788.7000000000007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439.55799999999999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242.61910000000003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5106.5229000000008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6204.8279847457634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74" t="s">
        <v>88</v>
      </c>
      <c r="O35" s="375"/>
      <c r="P35" s="297">
        <f>+P33+P34</f>
        <v>6235.8521246694918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17</v>
      </c>
      <c r="I25" s="114">
        <f t="shared" si="7"/>
        <v>825.7</v>
      </c>
      <c r="J25" s="274">
        <f>SUM(J16:J24)</f>
        <v>60.171500000000009</v>
      </c>
      <c r="K25" s="275">
        <f t="shared" si="7"/>
        <v>28.899500000000003</v>
      </c>
      <c r="L25" s="276">
        <f t="shared" si="7"/>
        <v>10.00365</v>
      </c>
      <c r="M25" s="232">
        <f t="shared" si="7"/>
        <v>726.62535000000003</v>
      </c>
      <c r="N25" s="233">
        <f>SUM(N16:N24)</f>
        <v>157.11864406779654</v>
      </c>
      <c r="O25" s="101">
        <f>SUM(O16:O24)</f>
        <v>4.4187199703389828</v>
      </c>
      <c r="P25" s="234">
        <f>SUM(P16:P24)</f>
        <v>888.16271403813539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825.7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60.171500000000009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38.903150000000004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726.62535000000003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157.11864406779654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883.74399406779662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4.4187199703389828</v>
      </c>
    </row>
    <row r="35" spans="2:16" ht="15.75" customHeight="1" thickBot="1" x14ac:dyDescent="0.4">
      <c r="N35" s="374" t="s">
        <v>88</v>
      </c>
      <c r="O35" s="375"/>
      <c r="P35" s="297">
        <f>+P33+P34</f>
        <v>888.16271403813562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17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2026-09-16T10:49:23Z</dcterms:modified>
</cp:coreProperties>
</file>