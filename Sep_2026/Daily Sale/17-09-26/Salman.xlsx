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20CD527-2FE3-40AA-8456-3F9461824985}" xr6:coauthVersionLast="47" xr6:coauthVersionMax="47" xr10:uidLastSave="{00000000-0000-0000-0000-000000000000}"/>
  <bookViews>
    <workbookView xWindow="-110" yWindow="-110" windowWidth="19420" windowHeight="10420" tabRatio="948" firstSheet="3" activeTab="2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64" l="1"/>
  <c r="M21" i="5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<sst xmlns="http://schemas.openxmlformats.org/spreadsheetml/2006/main" count="3948" uniqueCount="528">
  <si>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</si>
  <si>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</si>
  <si>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</si>
  <si>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</si>
  <si>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</si>
  <si>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</si>
  <si>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</si>
  <si>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</si>
  <si>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</si>
  <si>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</si>
  <si>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</si>
  <si>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</si>
  <si>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</si>
  <si>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</si>
  <si>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</si>
  <si>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</si>
  <si>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</si>
  <si>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</si>
  <si>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</si>
  <si>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</si>
  <si>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</si>
  <si>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</si>
  <si>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</si>
  <si>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</si>
  <si>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</si>
  <si>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</si>
  <si>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</si>
  <si>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</si>
  <si>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</si>
  <si>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</si>
  <si>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</si>
  <si>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</si>
  <si>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</si>
  <si>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</si>
  <si>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</si>
  <si>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</si>
  <si>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</si>
  <si>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</si>
  <si>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</si>
  <si>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</si>
  <si>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</si>
  <si>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</si>
  <si>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</si>
  <si>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</si>
  <si>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</si>
  <si>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</si>
  <si>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</si>
  <si>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</si>
  <si>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</si>
  <si>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</si>
  <si>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</si>
  <si>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</si>
  <si>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</si>
  <si>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</si>
  <si>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</si>
  <si>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</si>
  <si>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</si>
  <si>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</si>
  <si>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</si>
  <si>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</si>
  <si>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</si>
  <si>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</si>
  <si>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</si>
  <si>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</si>
  <si>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</si>
  <si>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</si>
  <si>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</si>
  <si>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</si>
  <si>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</si>
  <si>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</si>
  <si>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</si>
  <si>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</si>
  <si>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</si>
  <si>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</si>
  <si>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</si>
  <si>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</si>
  <si>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</si>
  <si>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</si>
  <si>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</si>
  <si>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</si>
  <si>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</si>
  <si>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</si>
  <si>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</si>
  <si>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</si>
  <si>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</si>
  <si>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</si>
  <si>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</si>
  <si>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</si>
  <si>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</si>
  <si>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</si>
  <si>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</si>
  <si>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</si>
  <si>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</si>
  <si>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</si>
  <si>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</si>
  <si>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</si>
  <si>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</si>
  <si>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</si>
  <si>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</si>
  <si>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</si>
  <si>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</si>
  <si>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</si>
  <si>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</si>
  <si>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</si>
  <si>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</si>
  <si>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</si>
  <si>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</si>
  <si>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</si>
  <si>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</si>
  <si>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</si>
  <si>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</si>
  <si>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</si>
  <si>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</si>
  <si>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</si>
  <si>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</si>
  <si>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</si>
  <si>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</si>
  <si>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</si>
  <si>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</si>
  <si>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</si>
  <si>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</si>
  <si>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</si>
  <si>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</si>
  <si>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</si>
  <si>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</si>
  <si>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</si>
  <si>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</si>
  <si>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</si>
  <si>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</si>
  <si>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</si>
  <si>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</si>
  <si>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</si>
  <si>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</si>
  <si>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</si>
  <si>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</si>
  <si>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</si>
  <si>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</si>
  <si>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</si>
  <si>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</si>
  <si>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</si>
  <si>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</si>
  <si>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</si>
  <si>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</si>
  <si>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</si>
  <si>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</si>
  <si>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</si>
  <si>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</si>
  <si>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</si>
  <si>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</si>
  <si>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</si>
  <si>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</si>
  <si>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</si>
  <si>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</si>
  <si>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</si>
  <si>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</si>
  <si>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</si>
  <si>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</si>
  <si>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</si>
  <si>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</si>
  <si>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</si>
  <si>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</si>
  <si>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</si>
  <si>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</si>
  <si>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</si>
  <si>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</si>
  <si>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</si>
  <si>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</si>
  <si>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</si>
  <si>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</si>
  <si>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</si>
  <si>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</si>
  <si>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</si>
  <si>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</si>
  <si>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</si>
  <si>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</si>
  <si>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</si>
  <si>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</si>
  <si>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</si>
  <si>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</si>
  <si>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</si>
  <si>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</si>
  <si>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</si>
  <si>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</si>
  <si>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</si>
  <si>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</si>
  <si>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</si>
  <si>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</si>
  <si>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</si>
  <si>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</si>
  <si>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</si>
  <si>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</si>
  <si>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</si>
  <si>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</si>
  <si>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</si>
  <si>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</si>
  <si>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</si>
  <si>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</si>
  <si>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</si>
  <si>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</si>
  <si>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</si>
  <si>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</si>
  <si>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</si>
  <si>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</si>
  <si>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</si>
  <si>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</si>
  <si>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</si>
  <si>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</si>
  <si>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</si>
  <si>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</si>
  <si>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</si>
  <si>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</si>
  <si>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</si>
  <si>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</si>
  <si>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</si>
  <si>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</si>
  <si>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</si>
  <si>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</si>
  <si>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</si>
  <si>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</si>
  <si>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</si>
  <si>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</si>
  <si>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</si>
  <si>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</si>
  <si>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</si>
  <si>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</si>
  <si>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</si>
  <si>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</si>
  <si>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</si>
  <si>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</si>
  <si>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</si>
  <si>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</si>
  <si>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</si>
  <si>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</si>
  <si>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</si>
  <si>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</si>
  <si>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</si>
  <si>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</si>
  <si>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</si>
  <si>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</si>
  <si>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</si>
  <si>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</si>
  <si>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</si>
  <si>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</si>
  <si>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</si>
  <si>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</si>
  <si>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</si>
  <si>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</si>
  <si>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</si>
  <si>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</si>
  <si>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</si>
  <si>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</si>
  <si>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</si>
  <si>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</si>
  <si>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</si>
  <si>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</si>
  <si>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</si>
  <si>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</si>
  <si>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</si>
  <si>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</si>
  <si>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</si>
  <si>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</si>
  <si>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</si>
  <si>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</si>
  <si>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</si>
  <si>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</si>
  <si>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</si>
  <si>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</si>
  <si>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</si>
  <si>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</si>
  <si>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</si>
  <si>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</si>
  <si>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</si>
  <si>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</si>
  <si>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</si>
  <si>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</si>
  <si>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</si>
  <si>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</si>
  <si>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</si>
  <si>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</si>
  <si>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</si>
  <si>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</si>
  <si>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</si>
  <si>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</si>
  <si>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</si>
  <si>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</si>
  <si>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</si>
  <si>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</si>
  <si>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</si>
  <si>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</si>
  <si>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</si>
  <si>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</si>
  <si>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</si>
  <si>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</si>
  <si>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</si>
  <si>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</si>
  <si>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</si>
  <si>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</si>
  <si>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</si>
  <si>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</si>
  <si>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</si>
  <si>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</si>
  <si>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</si>
  <si>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</si>
  <si>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</si>
  <si>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</si>
  <si>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</si>
  <si>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</si>
  <si>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</si>
  <si>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</si>
  <si>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</si>
  <si>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</si>
  <si>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</si>
  <si>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</si>
  <si>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</si>
  <si>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</si>
  <si>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</si>
  <si>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</si>
  <si>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</si>
  <si>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</si>
  <si>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</si>
  <si>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</si>
  <si>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</si>
  <si>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</si>
  <si>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</si>
  <si>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</si>
  <si>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</si>
  <si>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</si>
  <si>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</si>
  <si>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</si>
  <si>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</si>
  <si>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</si>
  <si>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</si>
  <si>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</si>
  <si>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</si>
  <si>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</si>
  <si>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</si>
  <si>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</si>
  <si>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</si>
  <si>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</si>
  <si>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</si>
  <si>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</si>
  <si>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</si>
  <si>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</si>
  <si>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</si>
  <si>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</si>
  <si>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</si>
  <si>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</si>
  <si>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</si>
  <si>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</si>
  <si>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</si>
  <si>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</si>
  <si>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</si>
  <si>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</si>
  <si>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</si>
  <si>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</si>
  <si>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</si>
  <si>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</si>
  <si>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</si>
  <si>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</si>
  <si>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</si>
  <si>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</si>
  <si>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</si>
  <si>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</si>
  <si>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</si>
  <si>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</si>
  <si>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</si>
  <si>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</si>
  <si>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</si>
  <si>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</si>
  <si>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</si>
  <si>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</si>
  <si>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</si>
  <si>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</si>
  <si>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</si>
  <si>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</si>
  <si>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</si>
  <si>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</si>
  <si>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</si>
  <si>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</si>
  <si>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</si>
  <si>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</si>
  <si>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</si>
  <si>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</si>
  <si>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</si>
  <si>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</si>
  <si>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</si>
  <si>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</si>
  <si>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</si>
  <si>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</si>
  <si>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</si>
  <si>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</si>
  <si>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</si>
  <si>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</si>
  <si>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</si>
  <si>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</si>
  <si>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</si>
  <si>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</si>
  <si>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</si>
  <si>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</si>
  <si>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</si>
  <si>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</si>
  <si>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</si>
  <si>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</si>
  <si>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</si>
  <si>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</si>
  <si>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</si>
  <si>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</si>
  <si>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</si>
  <si>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</si>
  <si>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</si>
  <si>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</si>
  <si>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</si>
  <si>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</si>
  <si>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</si>
  <si>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</si>
  <si>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</si>
  <si>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</si>
  <si>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</si>
  <si>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</si>
  <si>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</si>
  <si>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</si>
  <si>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</si>
  <si>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</si>
  <si>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</si>
  <si>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</si>
  <si>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</si>
  <si>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</si>
  <si>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</si>
  <si>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</si>
  <si>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</si>
  <si>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</si>
  <si>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</si>
  <si>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</si>
  <si>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</si>
  <si>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</si>
  <si>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</si>
  <si>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</si>
  <si>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</si>
  <si>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</si>
  <si>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</si>
  <si>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</si>
  <si>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</si>
  <si>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</si>
  <si>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</si>
  <si>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</si>
  <si>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</si>
  <si>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</si>
  <si>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</si>
  <si>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</si>
  <si>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</si>
  <si>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</si>
  <si>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</si>
  <si>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</si>
  <si>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</si>
  <si>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</si>
  <si>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</si>
  <si>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</si>
  <si>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</si>
  <si>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</si>
  <si>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</si>
  <si>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</si>
  <si>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</si>
  <si>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</si>
  <si>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</si>
  <si>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</si>
  <si>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</si>
  <si>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</si>
  <si>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</si>
  <si>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</si>
  <si>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</si>
  <si>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</si>
  <si>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</si>
  <si>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</si>
  <si>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</si>
  <si>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</si>
  <si>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</si>
  <si>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</si>
  <si>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</si>
  <si>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</si>
  <si>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</si>
  <si>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</si>
  <si>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</si>
  <si>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</si>
  <si>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</si>
  <si>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</si>
  <si>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</si>
  <si>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</si>
  <si>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</si>
  <si>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</si>
  <si>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</si>
  <si>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</si>
  <si>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</si>
  <si>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</si>
  <si>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</si>
  <si>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</si>
  <si>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</si>
  <si>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</si>
  <si>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</si>
  <si>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</si>
  <si>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</si>
  <si>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</si>
  <si>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</si>
  <si>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</si>
  <si>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</si>
  <si>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</si>
  <si>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</si>
  <si>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</si>
  <si>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</si>
  <si>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</si>
  <si>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</si>
  <si>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</si>
  <si>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</si>
  <si>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</si>
  <si>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Salman</t>
  </si>
  <si>
    <t>Address: Askari Market</t>
  </si>
  <si>
    <t>Khuram Store</t>
  </si>
  <si>
    <t>Feroz GS</t>
  </si>
  <si>
    <t>Rao Store</t>
  </si>
  <si>
    <t>Khan Store</t>
  </si>
  <si>
    <t>Al Madina Store</t>
  </si>
  <si>
    <t>Hadi Store</t>
  </si>
  <si>
    <t>Al rehman Store</t>
  </si>
  <si>
    <t>Bilal Store</t>
  </si>
  <si>
    <t>Data Store</t>
  </si>
  <si>
    <t xml:space="preserve">New Data Sweets </t>
  </si>
  <si>
    <t>Ali Haidri Store</t>
  </si>
  <si>
    <t>Tariq Store</t>
  </si>
  <si>
    <t xml:space="preserve">Ghos Bakers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</si>
</sst>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46282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Khuram Store</v>
      </c>
      <c r="T3" s="301">
        <f>+'1'!P35</f>
        <v>566.26289570974575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Feroz GS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Rao Store</v>
      </c>
      <c r="T5" s="301">
        <f>+'3'!P35</f>
        <v>566.26289570974575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Khan Store</v>
      </c>
      <c r="T6" s="301">
        <f>+'4'!P35</f>
        <v>566.26289570974575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Al Madina Store</v>
      </c>
      <c r="T7" s="301">
        <f>+'5'!P35</f>
        <v>566.26289570974575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335.76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3714.3450000000003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22.537826694915253</v>
      </c>
      <c r="P8" s="311">
        <f t="shared" ref="P8:P15" si="2">M8+N8+O8</f>
        <v>4530.103165677966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Hadi Store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335.76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3714.3450000000003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22.537826694915253</v>
      </c>
      <c r="P9" s="311">
        <f t="shared" si="2"/>
        <v>4530.103165677966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Al rehman Store</v>
      </c>
      <c r="T9" s="301">
        <f>+'7'!P35</f>
        <v>566.26289570974575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Bilal Store</v>
      </c>
      <c r="T10" s="301">
        <f>+'8'!P35</f>
        <v>566.26289570974575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Data Store</v>
      </c>
      <c r="T11" s="301">
        <f>+'9'!P35</f>
        <v>1669.1779134915255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</v>
      </c>
      <c r="I12" s="236">
        <f t="shared" si="0"/>
        <v>1452.8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116.224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50.848000000000006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1285.7280000000001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274.57627118644069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7.8015213559322039</v>
      </c>
      <c r="P12" s="311">
        <f t="shared" si="2"/>
        <v>1568.1057925423729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 xml:space="preserve">New Data Sweets </v>
      </c>
      <c r="T12" s="301">
        <f>+'10'!P35</f>
        <v>3237.2837060338979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80</v>
      </c>
      <c r="I13" s="236">
        <f t="shared" si="0"/>
        <v>3138.4000000000005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156.92000000000004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109.84400000000002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160.05840000000001</v>
      </c>
      <c r="M13" s="230">
        <f t="shared" si="1"/>
        <v>2711.5776000000005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610.16949152542338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16.60873545762712</v>
      </c>
      <c r="P13" s="311">
        <f t="shared" si="2"/>
        <v>3338.355826983051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Ali Haidri Store</v>
      </c>
      <c r="T13" s="301">
        <f>+'11'!P35</f>
        <v>2265.051582838983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Tariq Store</v>
      </c>
      <c r="T14" s="301">
        <f>+'12'!P35</f>
        <v>2265.051582838983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6.5</v>
      </c>
      <c r="H16" s="113">
        <f t="shared" ref="H16:M16" si="3">SUM(H7:H15)</f>
        <v>260</v>
      </c>
      <c r="I16" s="114">
        <f t="shared" si="3"/>
        <v>12985.2</v>
      </c>
      <c r="J16" s="274">
        <f>SUM(J7:J15)</f>
        <v>944.6640000000001</v>
      </c>
      <c r="K16" s="275">
        <f t="shared" si="3"/>
        <v>454.48200000000008</v>
      </c>
      <c r="L16" s="276">
        <f t="shared" si="3"/>
        <v>160.05840000000001</v>
      </c>
      <c r="M16" s="232">
        <f t="shared" si="3"/>
        <v>11425.995600000002</v>
      </c>
      <c r="N16" s="233">
        <f>SUM(N7:N15)</f>
        <v>2471.186440677965</v>
      </c>
      <c r="O16" s="101">
        <f>SUM(O7:O15)</f>
        <v>69.485910203389835</v>
      </c>
      <c r="P16" s="113">
        <f>SUM(P7:P15)</f>
        <v>13966.667950881354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12985.2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944.6640000000001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614.54040000000009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11425.9956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2471.186440677965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13897.182040677966</v>
      </c>
      <c r="R24" s="299">
        <v>22</v>
      </c>
      <c r="S24" s="300" t="str">
        <f>+'22'!A6:A6</f>
        <v xml:space="preserve">Ghos Bakers 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69.485910203389835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13966.667950881356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13966.667950881358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ref="I18:I21" si="7">(G18*D18)*F18+H18*F18</f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524.625</v>
      </c>
      <c r="J25" s="274">
        <f>SUM(J16:J24)</f>
        <v>41.97</v>
      </c>
      <c r="K25" s="275">
        <f t="shared" si="10"/>
        <v>18.361875000000001</v>
      </c>
      <c r="L25" s="276">
        <f t="shared" si="10"/>
        <v>0</v>
      </c>
      <c r="M25" s="232">
        <f t="shared" si="10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1569.2000000000003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78.460000000000022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134.95120000000003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1355.7888000000003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1660.873545762712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4" t="s">
        <v>88</v>
      </c>
      <c r="O35" s="375"/>
      <c r="P35" s="297">
        <f>+P33+P34</f>
        <v>1669.1779134915255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60</v>
      </c>
      <c r="I25" s="114">
        <f t="shared" si="7"/>
        <v>3022</v>
      </c>
      <c r="J25" s="274">
        <f>SUM(J16:J24)</f>
        <v>194.68400000000003</v>
      </c>
      <c r="K25" s="275">
        <f t="shared" si="7"/>
        <v>105.77000000000001</v>
      </c>
      <c r="L25" s="276">
        <f t="shared" si="7"/>
        <v>80.029200000000003</v>
      </c>
      <c r="M25" s="232">
        <f t="shared" si="7"/>
        <v>2641.5168000000003</v>
      </c>
      <c r="N25" s="233">
        <f>SUM(N16:N24)</f>
        <v>579.66101694915233</v>
      </c>
      <c r="O25" s="101">
        <f>SUM(O16:O24)</f>
        <v>16.105889084745762</v>
      </c>
      <c r="P25" s="234">
        <f>SUM(P16:P24)</f>
        <v>3237.2837060338984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3022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194.68400000000003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185.79920000000001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2641.5167999999999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579.66101694915233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3221.1778169491522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16.105889084745762</v>
      </c>
    </row>
    <row r="35" spans="2:16" ht="15.75" customHeight="1" thickBot="1" x14ac:dyDescent="0.4">
      <c r="N35" s="374" t="s">
        <v>88</v>
      </c>
      <c r="O35" s="375"/>
      <c r="P35" s="297">
        <f>+P33+P34</f>
        <v>3237.2837060338979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abSelected="1" topLeftCell="A7" workbookViewId="0">
      <selection activeCell="I10" sqref="I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4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46281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46283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46282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2026-09-17T04:28:12Z</dcterms:modified>
</cp:coreProperties>
</file>