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9E4A41B-EB13-4B48-99B5-B7086BFF2A6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<sst xmlns="http://schemas.openxmlformats.org/spreadsheetml/2006/main" count="3948" uniqueCount="534">
  <si>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</si>
  <si>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</si>
  <si>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</si>
  <si>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</si>
  <si>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</si>
  <si>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</si>
  <si>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</si>
  <si>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</si>
  <si>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</si>
  <si>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</si>
  <si>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</si>
  <si>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</si>
  <si>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</si>
  <si>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</si>
  <si>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</si>
  <si>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</si>
  <si>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</si>
  <si>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</si>
  <si>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</si>
  <si>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</si>
  <si>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</si>
  <si>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</si>
  <si>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</si>
  <si>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</si>
  <si>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</si>
  <si>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</si>
  <si>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</si>
  <si>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</si>
  <si>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</si>
  <si>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</si>
  <si>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</si>
  <si>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</si>
  <si>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</si>
  <si>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</si>
  <si>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</si>
  <si>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</si>
  <si>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</si>
  <si>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</si>
  <si>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</si>
  <si>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</si>
  <si>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</si>
  <si>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</si>
  <si>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</si>
  <si>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</si>
  <si>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</si>
  <si>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</si>
  <si>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</si>
  <si>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</si>
  <si>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</si>
  <si>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</si>
  <si>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</si>
  <si>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</si>
  <si>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</si>
  <si>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</si>
  <si>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</si>
  <si>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</si>
  <si>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</si>
  <si>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</si>
  <si>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</si>
  <si>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</si>
  <si>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</si>
  <si>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</si>
  <si>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</si>
  <si>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</si>
  <si>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</si>
  <si>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</si>
  <si>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</si>
  <si>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</si>
  <si>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</si>
  <si>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</si>
  <si>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</si>
  <si>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</si>
  <si>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</si>
  <si>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</si>
  <si>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</si>
  <si>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</si>
  <si>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</si>
  <si>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</si>
  <si>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</si>
  <si>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</si>
  <si>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</si>
  <si>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</si>
  <si>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</si>
  <si>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</si>
  <si>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</si>
  <si>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</si>
  <si>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</si>
  <si>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</si>
  <si>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</si>
  <si>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</si>
  <si>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</si>
  <si>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</si>
  <si>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</si>
  <si>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</si>
  <si>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</si>
  <si>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</si>
  <si>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</si>
  <si>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</si>
  <si>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</si>
  <si>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</si>
  <si>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</si>
  <si>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</si>
  <si>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</si>
  <si>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</si>
  <si>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</si>
  <si>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</si>
  <si>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</si>
  <si>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</si>
  <si>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</si>
  <si>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</si>
  <si>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</si>
  <si>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</si>
  <si>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</si>
  <si>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</si>
  <si>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</si>
  <si>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</si>
  <si>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</si>
  <si>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</si>
  <si>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</si>
  <si>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</si>
  <si>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</si>
  <si>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</si>
  <si>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</si>
  <si>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</si>
  <si>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</si>
  <si>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</si>
  <si>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</si>
  <si>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</si>
  <si>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</si>
  <si>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</si>
  <si>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</si>
  <si>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</si>
  <si>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</si>
  <si>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</si>
  <si>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</si>
  <si>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</si>
  <si>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</si>
  <si>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</si>
  <si>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</si>
  <si>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</si>
  <si>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</si>
  <si>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</si>
  <si>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</si>
  <si>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</si>
  <si>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</si>
  <si>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</si>
  <si>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</si>
  <si>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</si>
  <si>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</si>
  <si>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</si>
  <si>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</si>
  <si>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</si>
  <si>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</si>
  <si>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</si>
  <si>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</si>
  <si>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</si>
  <si>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</si>
  <si>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</si>
  <si>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</si>
  <si>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</si>
  <si>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</si>
  <si>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</si>
  <si>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</si>
  <si>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</si>
  <si>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</si>
  <si>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</si>
  <si>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</si>
  <si>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</si>
  <si>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</si>
  <si>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</si>
  <si>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</si>
  <si>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</si>
  <si>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</si>
  <si>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</si>
  <si>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</si>
  <si>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</si>
  <si>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</si>
  <si>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</si>
  <si>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</si>
  <si>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</si>
  <si>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</si>
  <si>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</si>
  <si>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</si>
  <si>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</si>
  <si>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</si>
  <si>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</si>
  <si>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</si>
  <si>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</si>
  <si>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</si>
  <si>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</si>
  <si>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</si>
  <si>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</si>
  <si>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</si>
  <si>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</si>
  <si>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</si>
  <si>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</si>
  <si>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</si>
  <si>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</si>
  <si>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</si>
  <si>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</si>
  <si>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</si>
  <si>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</si>
  <si>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</si>
  <si>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</si>
  <si>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</si>
  <si>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</si>
  <si>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</si>
  <si>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</si>
  <si>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</si>
  <si>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</si>
  <si>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</si>
  <si>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</si>
  <si>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</si>
  <si>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</si>
  <si>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</si>
  <si>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</si>
  <si>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</si>
  <si>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</si>
  <si>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</si>
  <si>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</si>
  <si>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</si>
  <si>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</si>
  <si>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</si>
  <si>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</si>
  <si>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</si>
  <si>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</si>
  <si>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</si>
  <si>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</si>
  <si>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</si>
  <si>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</si>
  <si>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</si>
  <si>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</si>
  <si>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</si>
  <si>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</si>
  <si>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</si>
  <si>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</si>
  <si>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</si>
  <si>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</si>
  <si>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</si>
  <si>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</si>
  <si>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</si>
  <si>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</si>
  <si>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</si>
  <si>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</si>
  <si>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</si>
  <si>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</si>
  <si>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</si>
  <si>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</si>
  <si>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</si>
  <si>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</si>
  <si>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</si>
  <si>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</si>
  <si>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</si>
  <si>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</si>
  <si>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</si>
  <si>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</si>
  <si>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</si>
  <si>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</si>
  <si>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</si>
  <si>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</si>
  <si>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</si>
  <si>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</si>
  <si>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</si>
  <si>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</si>
  <si>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</si>
  <si>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</si>
  <si>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</si>
  <si>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</si>
  <si>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</si>
  <si>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</si>
  <si>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</si>
  <si>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</si>
  <si>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</si>
  <si>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</si>
  <si>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</si>
  <si>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</si>
  <si>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</si>
  <si>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</si>
  <si>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</si>
  <si>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</si>
  <si>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</si>
  <si>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</si>
  <si>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</si>
  <si>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</si>
  <si>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</si>
  <si>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</si>
  <si>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</si>
  <si>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</si>
  <si>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</si>
  <si>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</si>
  <si>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</si>
  <si>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</si>
  <si>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</si>
  <si>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</si>
  <si>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</si>
  <si>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</si>
  <si>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</si>
  <si>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</si>
  <si>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</si>
  <si>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</si>
  <si>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</si>
  <si>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</si>
  <si>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</si>
  <si>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</si>
  <si>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</si>
  <si>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</si>
  <si>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</si>
  <si>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</si>
  <si>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</si>
  <si>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</si>
  <si>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</si>
  <si>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</si>
  <si>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</si>
  <si>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</si>
  <si>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</si>
  <si>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</si>
  <si>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</si>
  <si>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</si>
  <si>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</si>
  <si>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</si>
  <si>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</si>
  <si>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</si>
  <si>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</si>
  <si>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</si>
  <si>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</si>
  <si>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</si>
  <si>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</si>
  <si>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</si>
  <si>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</si>
  <si>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</si>
  <si>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</si>
  <si>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</si>
  <si>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</si>
  <si>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</si>
  <si>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</si>
  <si>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</si>
  <si>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</si>
  <si>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</si>
  <si>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</si>
  <si>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</si>
  <si>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</si>
  <si>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</si>
  <si>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</si>
  <si>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</si>
  <si>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</si>
  <si>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</si>
  <si>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</si>
  <si>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</si>
  <si>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</si>
  <si>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</si>
  <si>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</si>
  <si>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</si>
  <si>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</si>
  <si>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</si>
  <si>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</si>
  <si>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</si>
  <si>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</si>
  <si>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</si>
  <si>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</si>
  <si>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</si>
  <si>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</si>
  <si>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</si>
  <si>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</si>
  <si>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</si>
  <si>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</si>
  <si>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</si>
  <si>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</si>
  <si>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</si>
  <si>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</si>
  <si>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</si>
  <si>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</si>
  <si>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</si>
  <si>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</si>
  <si>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</si>
  <si>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</si>
  <si>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</si>
  <si>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</si>
  <si>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</si>
  <si>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</si>
  <si>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</si>
  <si>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</si>
  <si>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</si>
  <si>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</si>
  <si>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</si>
  <si>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</si>
  <si>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</si>
  <si>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</si>
  <si>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</si>
  <si>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</si>
  <si>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</si>
  <si>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</si>
  <si>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</si>
  <si>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</si>
  <si>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</si>
  <si>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</si>
  <si>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</si>
  <si>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</si>
  <si>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</si>
  <si>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</si>
  <si>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</si>
  <si>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</si>
  <si>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</si>
  <si>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</si>
  <si>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</si>
  <si>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</si>
  <si>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</si>
  <si>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</si>
  <si>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</si>
  <si>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</si>
  <si>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</si>
  <si>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</si>
  <si>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</si>
  <si>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</si>
  <si>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</si>
  <si>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</si>
  <si>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</si>
  <si>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</si>
  <si>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</si>
  <si>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</si>
  <si>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</si>
  <si>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</si>
  <si>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</si>
  <si>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</si>
  <si>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</si>
  <si>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</si>
  <si>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</si>
  <si>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</si>
  <si>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</si>
  <si>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</si>
  <si>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</si>
  <si>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</si>
  <si>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</si>
  <si>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</si>
  <si>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</si>
  <si>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</si>
  <si>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</si>
  <si>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</si>
  <si>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</si>
  <si>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</si>
  <si>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</si>
  <si>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</si>
  <si>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</si>
  <si>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</si>
  <si>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</si>
  <si>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</si>
  <si>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</si>
  <si>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</si>
  <si>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</si>
  <si>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</si>
  <si>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</si>
  <si>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</si>
  <si>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</si>
  <si>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</si>
  <si>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</si>
  <si>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</si>
  <si>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</si>
  <si>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</si>
  <si>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</si>
  <si>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</si>
  <si>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</si>
  <si>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</si>
  <si>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</si>
  <si>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</si>
  <si>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</si>
  <si>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</si>
  <si>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</si>
  <si>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</si>
  <si>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</si>
  <si>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</si>
  <si>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</si>
  <si>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</si>
  <si>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</si>
  <si>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</si>
  <si>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</si>
  <si>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</si>
  <si>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</si>
  <si>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</si>
  <si>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</si>
  <si>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</si>
  <si>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</si>
  <si>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</si>
  <si>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</si>
  <si>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</si>
  <si>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</si>
  <si>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</si>
  <si>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</si>
  <si>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</si>
  <si>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</si>
  <si>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</si>
  <si>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</si>
  <si>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</si>
  <si>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</si>
  <si>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</si>
  <si>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</si>
  <si>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</si>
  <si>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</si>
  <si>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</si>
  <si>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</si>
  <si>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</si>
  <si>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</si>
  <si>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</si>
  <si>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</si>
  <si>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</si>
  <si>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</si>
  <si>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</si>
  <si>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</si>
  <si>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</si>
  <si>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</si>
  <si>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</si>
  <si>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</si>
  <si>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</si>
  <si>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</si>
  <si>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</si>
  <si>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Jabbar</t>
  </si>
  <si>
    <t xml:space="preserve">Hashim Mart </t>
  </si>
  <si>
    <t>Address: GOR1</t>
  </si>
  <si>
    <t>Shehzad GS</t>
  </si>
  <si>
    <t xml:space="preserve">Address: Shadman </t>
  </si>
  <si>
    <t>Adnan Store</t>
  </si>
  <si>
    <t xml:space="preserve">Bilal Book Depot </t>
  </si>
  <si>
    <t xml:space="preserve">Address:  Shadman </t>
  </si>
  <si>
    <t>Imran Store</t>
  </si>
  <si>
    <t xml:space="preserve">Address: Kashmir Bakery </t>
  </si>
  <si>
    <t>Mashallah Statinary Store</t>
  </si>
  <si>
    <t xml:space="preserve">Address: Kashmir Bakery Wli Gali </t>
  </si>
  <si>
    <t xml:space="preserve">Shabeer Kite House </t>
  </si>
  <si>
    <t>Address: Fazlia Colony</t>
  </si>
  <si>
    <t>QF Store</t>
  </si>
  <si>
    <t>Muhamdi Store</t>
  </si>
  <si>
    <t>Address: Shah jamaal Colony</t>
  </si>
  <si>
    <t>Azan Store</t>
  </si>
  <si>
    <t xml:space="preserve">Address: Shah Jamaal </t>
  </si>
  <si>
    <t>Arham Store</t>
  </si>
  <si>
    <t xml:space="preserve">Address: Ichra Shoping Center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</si>
</sst>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Hashim Mart </v>
      </c>
      <c r="T3" s="301">
        <f>+'1'!P35</f>
        <v>3323.3438006237293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Shehzad GS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Adnan Store</v>
      </c>
      <c r="T5" s="301">
        <f>+'3'!P35</f>
        <v>1681.0222229466103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Bilal Book Depot </v>
      </c>
      <c r="T6" s="301">
        <f>+'4'!P35</f>
        <v>4137.7183331796605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Imran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Mashallah Statinary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Shabeer Kite House 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QF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139.83199999999999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Muhamdi Store</v>
      </c>
      <c r="T11" s="301">
        <f>+'9'!P35</f>
        <v>7941.6010836610158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121</v>
      </c>
      <c r="I12" s="236">
        <f t="shared" si="0"/>
        <v>8789.44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703.15520000000004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307.63040000000001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7778.6544000000004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1661.1864406779662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47.199204203389833</v>
      </c>
      <c r="P12" s="311">
        <f t="shared" si="2"/>
        <v>9487.0400448813562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Azan Store</v>
      </c>
      <c r="T12" s="301">
        <f>+'10'!P35</f>
        <v>4805.3894985762709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284</v>
      </c>
      <c r="I13" s="236">
        <f t="shared" si="0"/>
        <v>11141.320000000002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557.06600000000014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389.94620000000015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568.20731999999998</v>
      </c>
      <c r="M13" s="230">
        <f t="shared" si="1"/>
        <v>9626.100480000001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2166.1016949152527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58.961010874576274</v>
      </c>
      <c r="P13" s="311">
        <f t="shared" si="2"/>
        <v>11851.16318578983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Arham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13.3</v>
      </c>
      <c r="H16" s="113">
        <f t="shared" ref="H16:M16" si="3">SUM(H7:H15)</f>
        <v>532</v>
      </c>
      <c r="I16" s="114">
        <f t="shared" si="3"/>
        <v>28913.910000000003</v>
      </c>
      <c r="J16" s="274">
        <f>SUM(J7:J15)</f>
        <v>1978.8732</v>
      </c>
      <c r="K16" s="275">
        <f t="shared" si="3"/>
        <v>1011.9868500000002</v>
      </c>
      <c r="L16" s="276">
        <f t="shared" si="3"/>
        <v>568.20731999999998</v>
      </c>
      <c r="M16" s="232">
        <f t="shared" si="3"/>
        <v>25354.842630000003</v>
      </c>
      <c r="N16" s="233">
        <f>SUM(N7:N15)</f>
        <v>5525.0847457627106</v>
      </c>
      <c r="O16" s="101">
        <f>SUM(O7:O15)</f>
        <v>154.39963687881357</v>
      </c>
      <c r="P16" s="113">
        <f>SUM(P7:P15)</f>
        <v>31034.327012641523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28913.910000000003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1978.8732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1580.1941700000002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25354.842630000003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5525.0847457627106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30879.927375762712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154.39963687881357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31034.327012641526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31034.327012641526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48</v>
      </c>
      <c r="I25" s="114">
        <f t="shared" ref="I25:M25" si="10">SUM(I16:I24)</f>
        <v>3085.8</v>
      </c>
      <c r="J25" s="274">
        <f>SUM(J16:J24)</f>
        <v>232.74120000000005</v>
      </c>
      <c r="K25" s="275">
        <f t="shared" si="10"/>
        <v>108.00300000000001</v>
      </c>
      <c r="L25" s="276">
        <f t="shared" si="10"/>
        <v>24.008760000000002</v>
      </c>
      <c r="M25" s="232">
        <f t="shared" si="10"/>
        <v>2721.0470400000004</v>
      </c>
      <c r="N25" s="233">
        <f>SUM(N16:N24)</f>
        <v>585.76271186440681</v>
      </c>
      <c r="O25" s="101">
        <f>SUM(O16:O24)</f>
        <v>16.534048759322033</v>
      </c>
      <c r="P25" s="234">
        <f>SUM(P16:P24)</f>
        <v>3323.3438006237288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3085.8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232.74120000000005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132.01176000000001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2721.0470400000004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585.76271186440681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3306.8097518644072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16.534048759322037</v>
      </c>
    </row>
    <row r="35" spans="2:16" ht="15.75" customHeight="1" thickBot="1" x14ac:dyDescent="0.4">
      <c r="N35" s="374" t="s">
        <v>88</v>
      </c>
      <c r="O35" s="375"/>
      <c r="P35" s="297">
        <f>+P33+P34</f>
        <v>3323.3438006237293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1571.0700000000002</v>
      </c>
      <c r="J25" s="274">
        <f>SUM(J16:J24)</f>
        <v>97.44</v>
      </c>
      <c r="K25" s="275">
        <f t="shared" si="7"/>
        <v>54.98745000000001</v>
      </c>
      <c r="L25" s="276">
        <f t="shared" si="7"/>
        <v>48.017520000000005</v>
      </c>
      <c r="M25" s="232">
        <f t="shared" si="7"/>
        <v>1370.6250300000002</v>
      </c>
      <c r="N25" s="233">
        <f>SUM(N16:N24)</f>
        <v>302.03389830508456</v>
      </c>
      <c r="O25" s="101">
        <f>SUM(O16:O24)</f>
        <v>8.3632946415254228</v>
      </c>
      <c r="P25" s="234">
        <f>SUM(P16:P24)</f>
        <v>1681.0222229466101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1571.0700000000002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97.44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103.00497000000001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1370.6250300000002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302.03389830508456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1672.6589283050848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8.3632946415254246</v>
      </c>
    </row>
    <row r="35" spans="2:16" ht="15.75" customHeight="1" thickBot="1" x14ac:dyDescent="0.4">
      <c r="N35" s="374" t="s">
        <v>88</v>
      </c>
      <c r="O35" s="375"/>
      <c r="P35" s="297">
        <f>+P33+P34</f>
        <v>1681.0222229466103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64</v>
      </c>
      <c r="I25" s="114">
        <f t="shared" si="7"/>
        <v>3847.1200000000003</v>
      </c>
      <c r="J25" s="274">
        <f>SUM(J16:J24)</f>
        <v>279.52400000000006</v>
      </c>
      <c r="K25" s="275">
        <f t="shared" si="7"/>
        <v>134.64920000000001</v>
      </c>
      <c r="L25" s="276">
        <f t="shared" si="7"/>
        <v>48.017520000000005</v>
      </c>
      <c r="M25" s="232">
        <f t="shared" si="7"/>
        <v>3384.9292800000003</v>
      </c>
      <c r="N25" s="233">
        <f>SUM(N16:N24)</f>
        <v>732.2033898305084</v>
      </c>
      <c r="O25" s="101">
        <f>SUM(O16:O24)</f>
        <v>20.585663349152544</v>
      </c>
      <c r="P25" s="234">
        <f>SUM(P16:P24)</f>
        <v>4137.7183331796614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3847.1200000000003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279.52400000000006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182.66672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3384.9292800000003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732.2033898305084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4117.1326698305083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20.585663349152544</v>
      </c>
    </row>
    <row r="35" spans="2:16" ht="15.75" customHeight="1" thickBot="1" x14ac:dyDescent="0.4">
      <c r="N35" s="374" t="s">
        <v>88</v>
      </c>
      <c r="O35" s="375"/>
      <c r="P35" s="297">
        <f>+P33+P34</f>
        <v>4137.7183331796605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7380.4</v>
      </c>
      <c r="J25" s="274">
        <f>SUM(J16:J24)</f>
        <v>543.35599999999999</v>
      </c>
      <c r="K25" s="275">
        <f t="shared" si="7"/>
        <v>258.31400000000002</v>
      </c>
      <c r="L25" s="276">
        <f t="shared" si="7"/>
        <v>80.029200000000003</v>
      </c>
      <c r="M25" s="232">
        <f t="shared" si="7"/>
        <v>6498.7008000000005</v>
      </c>
      <c r="N25" s="233">
        <f>SUM(N16:N24)</f>
        <v>1403.3898305084745</v>
      </c>
      <c r="O25" s="101">
        <f>SUM(O16:O24)</f>
        <v>39.510453152542375</v>
      </c>
      <c r="P25" s="234">
        <f>SUM(P16:P24)</f>
        <v>7941.6010836610167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7380.4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543.35599999999999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338.34320000000002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6498.7007999999996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1403.3898305084745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7902.0906305084736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39.510453152542368</v>
      </c>
    </row>
    <row r="35" spans="2:16" ht="15.75" customHeight="1" thickBot="1" x14ac:dyDescent="0.4">
      <c r="N35" s="374" t="s">
        <v>88</v>
      </c>
      <c r="O35" s="375"/>
      <c r="P35" s="297">
        <f>+P33+P34</f>
        <v>7941.6010836610158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0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2026-09-16T11:32:35Z</dcterms:modified>
</cp:coreProperties>
</file>