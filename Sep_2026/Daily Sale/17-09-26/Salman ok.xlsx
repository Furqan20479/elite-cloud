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B887DB7-EBCA-4C9B-84C6-8F1FF6889E8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<sst xmlns="http://schemas.openxmlformats.org/spreadsheetml/2006/main" count="3948" uniqueCount="528">
  <si>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</si>
  <si>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</si>
  <si>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</si>
  <si>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</si>
  <si>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</si>
  <si>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</si>
  <si>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</si>
  <si>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</si>
  <si>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</si>
  <si>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</si>
  <si>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</si>
  <si>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</si>
  <si>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</si>
  <si>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</si>
  <si>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</si>
  <si>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</si>
  <si>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</si>
  <si>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</si>
  <si>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</si>
  <si>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</si>
  <si>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</si>
  <si>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</si>
  <si>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</si>
  <si>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</si>
  <si>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</si>
  <si>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</si>
  <si>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</si>
  <si>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</si>
  <si>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</si>
  <si>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</si>
  <si>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</si>
  <si>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</si>
  <si>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</si>
  <si>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</si>
  <si>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</si>
  <si>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</si>
  <si>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</si>
  <si>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</si>
  <si>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</si>
  <si>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</si>
  <si>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</si>
  <si>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</si>
  <si>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</si>
  <si>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</si>
  <si>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</si>
  <si>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</si>
  <si>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</si>
  <si>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</si>
  <si>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</si>
  <si>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</si>
  <si>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</si>
  <si>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</si>
  <si>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</si>
  <si>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</si>
  <si>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</si>
  <si>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</si>
  <si>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</si>
  <si>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</si>
  <si>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</si>
  <si>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</si>
  <si>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</si>
  <si>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</si>
  <si>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</si>
  <si>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</si>
  <si>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</si>
  <si>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</si>
  <si>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</si>
  <si>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</si>
  <si>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</si>
  <si>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</si>
  <si>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</si>
  <si>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</si>
  <si>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</si>
  <si>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</si>
  <si>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</si>
  <si>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</si>
  <si>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</si>
  <si>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</si>
  <si>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</si>
  <si>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</si>
  <si>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</si>
  <si>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</si>
  <si>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</si>
  <si>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</si>
  <si>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</si>
  <si>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</si>
  <si>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</si>
  <si>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</si>
  <si>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</si>
  <si>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</si>
  <si>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</si>
  <si>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</si>
  <si>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</si>
  <si>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</si>
  <si>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</si>
  <si>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</si>
  <si>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</si>
  <si>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</si>
  <si>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</si>
  <si>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</si>
  <si>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</si>
  <si>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</si>
  <si>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</si>
  <si>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</si>
  <si>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</si>
  <si>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</si>
  <si>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</si>
  <si>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</si>
  <si>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</si>
  <si>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</si>
  <si>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</si>
  <si>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</si>
  <si>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</si>
  <si>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</si>
  <si>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</si>
  <si>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</si>
  <si>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</si>
  <si>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</si>
  <si>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</si>
  <si>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</si>
  <si>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</si>
  <si>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</si>
  <si>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</si>
  <si>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</si>
  <si>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</si>
  <si>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</si>
  <si>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</si>
  <si>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</si>
  <si>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</si>
  <si>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</si>
  <si>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</si>
  <si>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</si>
  <si>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</si>
  <si>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</si>
  <si>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</si>
  <si>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</si>
  <si>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</si>
  <si>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</si>
  <si>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</si>
  <si>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</si>
  <si>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</si>
  <si>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</si>
  <si>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</si>
  <si>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</si>
  <si>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</si>
  <si>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</si>
  <si>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</si>
  <si>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</si>
  <si>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</si>
  <si>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</si>
  <si>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</si>
  <si>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</si>
  <si>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</si>
  <si>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</si>
  <si>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</si>
  <si>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</si>
  <si>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</si>
  <si>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</si>
  <si>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</si>
  <si>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</si>
  <si>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</si>
  <si>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</si>
  <si>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</si>
  <si>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</si>
  <si>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</si>
  <si>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</si>
  <si>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</si>
  <si>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</si>
  <si>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</si>
  <si>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</si>
  <si>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</si>
  <si>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</si>
  <si>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</si>
  <si>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</si>
  <si>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</si>
  <si>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</si>
  <si>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</si>
  <si>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</si>
  <si>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</si>
  <si>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</si>
  <si>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</si>
  <si>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</si>
  <si>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</si>
  <si>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</si>
  <si>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</si>
  <si>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</si>
  <si>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</si>
  <si>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</si>
  <si>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</si>
  <si>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</si>
  <si>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</si>
  <si>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</si>
  <si>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</si>
  <si>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</si>
  <si>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</si>
  <si>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</si>
  <si>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</si>
  <si>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</si>
  <si>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</si>
  <si>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</si>
  <si>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</si>
  <si>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</si>
  <si>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</si>
  <si>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</si>
  <si>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</si>
  <si>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</si>
  <si>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</si>
  <si>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</si>
  <si>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</si>
  <si>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</si>
  <si>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</si>
  <si>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</si>
  <si>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</si>
  <si>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</si>
  <si>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</si>
  <si>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</si>
  <si>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</si>
  <si>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</si>
  <si>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</si>
  <si>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</si>
  <si>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</si>
  <si>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</si>
  <si>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</si>
  <si>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</si>
  <si>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</si>
  <si>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</si>
  <si>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</si>
  <si>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</si>
  <si>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</si>
  <si>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</si>
  <si>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</si>
  <si>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</si>
  <si>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</si>
  <si>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</si>
  <si>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</si>
  <si>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</si>
  <si>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</si>
  <si>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</si>
  <si>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</si>
  <si>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</si>
  <si>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</si>
  <si>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</si>
  <si>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</si>
  <si>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</si>
  <si>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</si>
  <si>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</si>
  <si>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</si>
  <si>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</si>
  <si>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</si>
  <si>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</si>
  <si>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</si>
  <si>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</si>
  <si>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</si>
  <si>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</si>
  <si>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</si>
  <si>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</si>
  <si>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</si>
  <si>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</si>
  <si>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</si>
  <si>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</si>
  <si>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</si>
  <si>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</si>
  <si>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</si>
  <si>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</si>
  <si>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</si>
  <si>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</si>
  <si>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</si>
  <si>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</si>
  <si>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</si>
  <si>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</si>
  <si>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</si>
  <si>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</si>
  <si>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</si>
  <si>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</si>
  <si>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</si>
  <si>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</si>
  <si>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</si>
  <si>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</si>
  <si>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</si>
  <si>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</si>
  <si>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</si>
  <si>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</si>
  <si>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</si>
  <si>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</si>
  <si>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</si>
  <si>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</si>
  <si>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</si>
  <si>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</si>
  <si>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</si>
  <si>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</si>
  <si>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</si>
  <si>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</si>
  <si>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</si>
  <si>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</si>
  <si>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</si>
  <si>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</si>
  <si>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</si>
  <si>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</si>
  <si>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</si>
  <si>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</si>
  <si>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</si>
  <si>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</si>
  <si>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</si>
  <si>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</si>
  <si>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</si>
  <si>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</si>
  <si>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</si>
  <si>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</si>
  <si>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</si>
  <si>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</si>
  <si>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</si>
  <si>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</si>
  <si>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</si>
  <si>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</si>
  <si>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</si>
  <si>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</si>
  <si>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</si>
  <si>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</si>
  <si>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</si>
  <si>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</si>
  <si>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</si>
  <si>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</si>
  <si>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</si>
  <si>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</si>
  <si>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</si>
  <si>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</si>
  <si>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</si>
  <si>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</si>
  <si>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</si>
  <si>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</si>
  <si>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</si>
  <si>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</si>
  <si>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</si>
  <si>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</si>
  <si>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</si>
  <si>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</si>
  <si>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</si>
  <si>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</si>
  <si>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</si>
  <si>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</si>
  <si>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</si>
  <si>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</si>
  <si>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</si>
  <si>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</si>
  <si>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</si>
  <si>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</si>
  <si>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</si>
  <si>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</si>
  <si>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</si>
  <si>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</si>
  <si>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</si>
  <si>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</si>
  <si>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</si>
  <si>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</si>
  <si>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</si>
  <si>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</si>
  <si>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</si>
  <si>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</si>
  <si>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</si>
  <si>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</si>
  <si>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</si>
  <si>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</si>
  <si>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</si>
  <si>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</si>
  <si>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</si>
  <si>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</si>
  <si>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</si>
  <si>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</si>
  <si>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</si>
  <si>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</si>
  <si>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</si>
  <si>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</si>
  <si>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</si>
  <si>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</si>
  <si>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</si>
  <si>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</si>
  <si>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</si>
  <si>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</si>
  <si>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</si>
  <si>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</si>
  <si>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</si>
  <si>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</si>
  <si>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</si>
  <si>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</si>
  <si>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</si>
  <si>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</si>
  <si>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</si>
  <si>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</si>
  <si>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</si>
  <si>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</si>
  <si>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</si>
  <si>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</si>
  <si>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</si>
  <si>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</si>
  <si>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</si>
  <si>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</si>
  <si>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</si>
  <si>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</si>
  <si>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</si>
  <si>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</si>
  <si>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</si>
  <si>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</si>
  <si>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</si>
  <si>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</si>
  <si>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</si>
  <si>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</si>
  <si>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</si>
  <si>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</si>
  <si>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</si>
  <si>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</si>
  <si>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</si>
  <si>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</si>
  <si>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</si>
  <si>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</si>
  <si>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</si>
  <si>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</si>
  <si>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</si>
  <si>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</si>
  <si>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</si>
  <si>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</si>
  <si>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</si>
  <si>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</si>
  <si>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</si>
  <si>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</si>
  <si>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</si>
  <si>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</si>
  <si>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</si>
  <si>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</si>
  <si>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</si>
  <si>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</si>
  <si>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</si>
  <si>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</si>
  <si>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</si>
  <si>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</si>
  <si>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</si>
  <si>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</si>
  <si>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</si>
  <si>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</si>
  <si>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</si>
  <si>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</si>
  <si>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</si>
  <si>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</si>
  <si>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</si>
  <si>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</si>
  <si>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</si>
  <si>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</si>
  <si>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</si>
  <si>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</si>
  <si>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</si>
  <si>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</si>
  <si>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</si>
  <si>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</si>
  <si>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</si>
  <si>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</si>
  <si>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</si>
  <si>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</si>
  <si>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</si>
  <si>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</si>
  <si>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</si>
  <si>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</si>
  <si>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</si>
  <si>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</si>
  <si>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</si>
  <si>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</si>
  <si>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</si>
  <si>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</si>
  <si>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</si>
  <si>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</si>
  <si>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</si>
  <si>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</si>
  <si>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</si>
  <si>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</si>
  <si>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</si>
  <si>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</si>
  <si>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</si>
  <si>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</si>
  <si>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</si>
  <si>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</si>
  <si>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</si>
  <si>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</si>
  <si>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</si>
  <si>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</si>
  <si>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</si>
  <si>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</si>
  <si>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</si>
  <si>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</si>
  <si>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</si>
  <si>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</si>
  <si>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</si>
  <si>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</si>
  <si>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</si>
  <si>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</si>
  <si>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</si>
  <si>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</si>
  <si>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</si>
  <si>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</si>
  <si>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</si>
  <si>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</si>
  <si>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</si>
  <si>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</si>
  <si>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</si>
  <si>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</si>
  <si>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</si>
  <si>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</si>
  <si>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</si>
  <si>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</si>
  <si>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</si>
  <si>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</si>
  <si>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</si>
  <si>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</si>
  <si>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</si>
  <si>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</si>
  <si>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</si>
  <si>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</si>
  <si>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</si>
  <si>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>Khuram Store</t>
  </si>
  <si>
    <t>Feroz GS</t>
  </si>
  <si>
    <t>Rao Store</t>
  </si>
  <si>
    <t>Khan Store</t>
  </si>
  <si>
    <t>Al Madina Store</t>
  </si>
  <si>
    <t>Hadi Store</t>
  </si>
  <si>
    <t>Al rehman Store</t>
  </si>
  <si>
    <t>Bilal Store</t>
  </si>
  <si>
    <t>Data Store</t>
  </si>
  <si>
    <t xml:space="preserve">New Data Sweets </t>
  </si>
  <si>
    <t>Ali Haidri Store</t>
  </si>
  <si>
    <t>Tariq Store</t>
  </si>
  <si>
    <t xml:space="preserve">Ghos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</si>
</sst>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Khuram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Feroz GS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Rao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Madina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Hadi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Bilal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Data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New Data Sweets </v>
      </c>
      <c r="T12" s="301">
        <f>+'10'!P35</f>
        <v>3237.2837060338979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Ali Haidri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Tariq Store</v>
      </c>
      <c r="T14" s="301">
        <f>+'12'!P35</f>
        <v>2265.051582838983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6.5</v>
      </c>
      <c r="H16" s="113">
        <f t="shared" ref="H16:M16" si="3">SUM(H7:H15)</f>
        <v>260</v>
      </c>
      <c r="I16" s="114">
        <f t="shared" si="3"/>
        <v>12985.2</v>
      </c>
      <c r="J16" s="274">
        <f>SUM(J7:J15)</f>
        <v>944.6640000000001</v>
      </c>
      <c r="K16" s="275">
        <f t="shared" si="3"/>
        <v>454.48200000000008</v>
      </c>
      <c r="L16" s="276">
        <f t="shared" si="3"/>
        <v>160.05840000000001</v>
      </c>
      <c r="M16" s="232">
        <f t="shared" si="3"/>
        <v>11425.995600000002</v>
      </c>
      <c r="N16" s="233">
        <f>SUM(N7:N15)</f>
        <v>2471.186440677965</v>
      </c>
      <c r="O16" s="101">
        <f>SUM(O7:O15)</f>
        <v>69.485910203389835</v>
      </c>
      <c r="P16" s="113">
        <f>SUM(P7:P15)</f>
        <v>13966.667950881354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12985.2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944.6640000000001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614.54040000000009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11425.9956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2471.186440677965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13897.182040677966</v>
      </c>
      <c r="R24" s="299">
        <v>22</v>
      </c>
      <c r="S24" s="300" t="str">
        <f>+'22'!A6:A6</f>
        <v xml:space="preserve">Ghos Bakers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69.485910203389835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13966.667950881356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13966.667950881358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3022</v>
      </c>
      <c r="J25" s="274">
        <f>SUM(J16:J24)</f>
        <v>194.68400000000003</v>
      </c>
      <c r="K25" s="275">
        <f t="shared" si="7"/>
        <v>105.77000000000001</v>
      </c>
      <c r="L25" s="276">
        <f t="shared" si="7"/>
        <v>80.029200000000003</v>
      </c>
      <c r="M25" s="232">
        <f t="shared" si="7"/>
        <v>2641.5168000000003</v>
      </c>
      <c r="N25" s="233">
        <f>SUM(N16:N24)</f>
        <v>579.66101694915233</v>
      </c>
      <c r="O25" s="101">
        <f>SUM(O16:O24)</f>
        <v>16.105889084745762</v>
      </c>
      <c r="P25" s="234">
        <f>SUM(P16:P24)</f>
        <v>3237.2837060338984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3022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194.68400000000003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185.79920000000001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2641.5167999999999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579.66101694915233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3221.1778169491522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16.105889084745762</v>
      </c>
    </row>
    <row r="35" spans="2:16" ht="15.75" customHeight="1" thickBot="1" x14ac:dyDescent="0.4">
      <c r="N35" s="345" t="s">
        <v>88</v>
      </c>
      <c r="O35" s="346"/>
      <c r="P35" s="297">
        <f>+P33+P34</f>
        <v>3237.2837060338979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C25" sqref="C25:F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2026-09-17T12:09:05Z</dcterms:modified>
</cp:coreProperties>
</file>