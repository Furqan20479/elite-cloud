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E139E2A-97AE-4EE8-B4CA-D791948F4853}" xr6:coauthVersionLast="47" xr6:coauthVersionMax="47" xr10:uidLastSave="{00000000-0000-0000-0000-000000000000}"/>
  <bookViews>
    <workbookView xWindow="-110" yWindow="-110" windowWidth="19420" windowHeight="10420" tabRatio="878" firstSheet="3" activeTab="16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43"/>
  <c r="N4" i="44"/>
  <c r="N4" i="45"/>
  <c r="N4" i="46"/>
  <c r="N4" i="47"/>
  <c r="N4" i="48"/>
  <c r="N4" i="49"/>
  <c r="N4" i="50"/>
  <c r="N4" i="51"/>
  <c r="N4" i="52"/>
  <c r="N4" i="53"/>
  <c r="N4" i="55"/>
  <c r="N4" i="56"/>
  <c r="N4" i="57"/>
  <c r="N4" i="58"/>
  <c r="N4" i="59"/>
  <c r="N4" i="60"/>
  <c r="N4" i="61"/>
  <c r="N4" i="63"/>
  <c r="N4" i="64"/>
  <c r="N4" i="65"/>
  <c r="N4" i="66"/>
  <c r="N4" i="67"/>
  <c r="N4" i="68"/>
  <c r="N4" i="69"/>
  <c r="N4" i="70"/>
  <c r="N4" i="71"/>
  <c r="N4" i="72"/>
  <c r="N4" i="1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K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51" l="1"/>
  <c r="O22" i="51" s="1"/>
  <c r="P22" i="51" s="1"/>
  <c r="M24" i="56"/>
  <c r="O24" i="56" s="1"/>
  <c r="P24" i="56" s="1"/>
  <c r="M24" i="46"/>
  <c r="O24" i="46" s="1"/>
  <c r="P24" i="46" s="1"/>
  <c r="M24" i="43"/>
  <c r="O24" i="43" s="1"/>
  <c r="P24" i="43" s="1"/>
  <c r="M22" i="56"/>
  <c r="O22" i="56" s="1"/>
  <c r="P22" i="56" s="1"/>
  <c r="M24" i="48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4" i="48"/>
  <c r="P24" i="48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5" i="62" l="1"/>
  <c r="P24" i="7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70" l="1"/>
  <c r="O25" i="54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<sst xmlns="http://schemas.openxmlformats.org/spreadsheetml/2006/main" count="3920" uniqueCount="561">
  <si>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</si>
  <si>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</si>
  <si>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</si>
  <si>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</si>
  <si>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</si>
  <si>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</si>
  <si>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</si>
  <si>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</si>
  <si>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</si>
  <si>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</si>
  <si>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</si>
  <si>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</si>
  <si>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</si>
  <si>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</si>
  <si>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</si>
  <si>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</si>
  <si>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</si>
  <si>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</si>
  <si>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</si>
  <si>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</si>
  <si>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</si>
  <si>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</si>
  <si>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</si>
  <si>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</si>
  <si>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</si>
  <si>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</si>
  <si>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</si>
  <si>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</si>
  <si>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</si>
  <si>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</si>
  <si>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</si>
  <si>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</si>
  <si>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</si>
  <si>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</si>
  <si>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</si>
  <si>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</si>
  <si>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</si>
  <si>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</si>
  <si>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</si>
  <si>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</si>
  <si>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</si>
  <si>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</si>
  <si>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</si>
  <si>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</si>
  <si>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</si>
  <si>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</si>
  <si>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</si>
  <si>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</si>
  <si>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</si>
  <si>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</si>
  <si>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</si>
  <si>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</si>
  <si>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</si>
  <si>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</si>
  <si>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</si>
  <si>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</si>
  <si>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</si>
  <si>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</si>
  <si>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</si>
  <si>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</si>
  <si>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</si>
  <si>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</si>
  <si>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</si>
  <si>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</si>
  <si>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</si>
  <si>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</si>
  <si>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</si>
  <si>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</si>
  <si>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</si>
  <si>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</si>
  <si>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</si>
  <si>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</si>
  <si>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</si>
  <si>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</si>
  <si>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</si>
  <si>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</si>
  <si>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</si>
  <si>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</si>
  <si>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</si>
  <si>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</si>
  <si>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</si>
  <si>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</si>
  <si>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</si>
  <si>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</si>
  <si>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</si>
  <si>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</si>
  <si>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</si>
  <si>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</si>
  <si>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</si>
  <si>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</si>
  <si>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</si>
  <si>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</si>
  <si>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</si>
  <si>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</si>
  <si>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</si>
  <si>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</si>
  <si>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</si>
  <si>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</si>
  <si>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</si>
  <si>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</si>
  <si>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</si>
  <si>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</si>
  <si>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</si>
  <si>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</si>
  <si>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</si>
  <si>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</si>
  <si>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</si>
  <si>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</si>
  <si>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</si>
  <si>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</si>
  <si>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</si>
  <si>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</si>
  <si>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</si>
  <si>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</si>
  <si>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</si>
  <si>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</si>
  <si>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</si>
  <si>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</si>
  <si>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</si>
  <si>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</si>
  <si>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</si>
  <si>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</si>
  <si>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</si>
  <si>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</si>
  <si>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</si>
  <si>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</si>
  <si>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</si>
  <si>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</si>
  <si>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</si>
  <si>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</si>
  <si>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</si>
  <si>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</si>
  <si>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</si>
  <si>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</si>
  <si>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</si>
  <si>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</si>
  <si>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</si>
  <si>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</si>
  <si>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</si>
  <si>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</si>
  <si>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</si>
  <si>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</si>
  <si>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</si>
  <si>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</si>
  <si>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</si>
  <si>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</si>
  <si>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</si>
  <si>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</si>
  <si>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</si>
  <si>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</si>
  <si>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</si>
  <si>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</si>
  <si>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</si>
  <si>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</si>
  <si>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</si>
  <si>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</si>
  <si>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</si>
  <si>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</si>
  <si>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</si>
  <si>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</si>
  <si>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</si>
  <si>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</si>
  <si>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</si>
  <si>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</si>
  <si>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</si>
  <si>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</si>
  <si>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</si>
  <si>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</si>
  <si>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</si>
  <si>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</si>
  <si>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</si>
  <si>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</si>
  <si>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</si>
  <si>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</si>
  <si>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</si>
  <si>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</si>
  <si>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</si>
  <si>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</si>
  <si>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</si>
  <si>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</si>
  <si>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</si>
  <si>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</si>
  <si>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</si>
  <si>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</si>
  <si>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</si>
  <si>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</si>
  <si>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</si>
  <si>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</si>
  <si>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</si>
  <si>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</si>
  <si>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</si>
  <si>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</si>
  <si>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</si>
  <si>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</si>
  <si>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</si>
  <si>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</si>
  <si>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</si>
  <si>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</si>
  <si>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</si>
  <si>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</si>
  <si>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</si>
  <si>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</si>
  <si>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</si>
  <si>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</si>
  <si>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</si>
  <si>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</si>
  <si>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</si>
  <si>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</si>
  <si>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</si>
  <si>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</si>
  <si>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</si>
  <si>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</si>
  <si>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</si>
  <si>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</si>
  <si>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</si>
  <si>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</si>
  <si>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</si>
  <si>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</si>
  <si>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</si>
  <si>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</si>
  <si>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</si>
  <si>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</si>
  <si>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</si>
  <si>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</si>
  <si>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</si>
  <si>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</si>
  <si>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</si>
  <si>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</si>
  <si>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</si>
  <si>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</si>
  <si>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</si>
  <si>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</si>
  <si>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</si>
  <si>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</si>
  <si>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</si>
  <si>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</si>
  <si>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</si>
  <si>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</si>
  <si>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</si>
  <si>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</si>
  <si>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</si>
  <si>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</si>
  <si>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</si>
  <si>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</si>
  <si>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</si>
  <si>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</si>
  <si>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</si>
  <si>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</si>
  <si>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</si>
  <si>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</si>
  <si>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</si>
  <si>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</si>
  <si>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</si>
  <si>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</si>
  <si>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</si>
  <si>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</si>
  <si>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</si>
  <si>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</si>
  <si>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</si>
  <si>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</si>
  <si>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</si>
  <si>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</si>
  <si>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</si>
  <si>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</si>
  <si>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</si>
  <si>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</si>
  <si>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</si>
  <si>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</si>
  <si>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</si>
  <si>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</si>
  <si>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</si>
  <si>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</si>
  <si>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</si>
  <si>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</si>
  <si>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</si>
  <si>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</si>
  <si>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</si>
  <si>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</si>
  <si>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</si>
  <si>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</si>
  <si>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</si>
  <si>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</si>
  <si>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</si>
  <si>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</si>
  <si>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</si>
  <si>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</si>
  <si>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</si>
  <si>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</si>
  <si>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</si>
  <si>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</si>
  <si>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</si>
  <si>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</si>
  <si>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</si>
  <si>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</si>
  <si>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</si>
  <si>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</si>
  <si>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</si>
  <si>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</si>
  <si>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</si>
  <si>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</si>
  <si>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</si>
  <si>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</si>
  <si>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</si>
  <si>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</si>
  <si>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</si>
  <si>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</si>
  <si>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</si>
  <si>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</si>
  <si>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</si>
  <si>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</si>
  <si>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</si>
  <si>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</si>
  <si>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</si>
  <si>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</si>
  <si>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</si>
  <si>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</si>
  <si>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</si>
  <si>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</si>
  <si>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</si>
  <si>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</si>
  <si>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</si>
  <si>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</si>
  <si>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</si>
  <si>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</si>
  <si>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</si>
  <si>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</si>
  <si>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</si>
  <si>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</si>
  <si>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</si>
  <si>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</si>
  <si>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</si>
  <si>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</si>
  <si>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</si>
  <si>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</si>
  <si>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</si>
  <si>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</si>
  <si>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</si>
  <si>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</si>
  <si>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</si>
  <si>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</si>
  <si>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</si>
  <si>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</si>
  <si>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</si>
  <si>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</si>
  <si>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</si>
  <si>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</si>
  <si>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</si>
  <si>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</si>
  <si>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</si>
  <si>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</si>
  <si>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</si>
  <si>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</si>
  <si>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</si>
  <si>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</si>
  <si>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</si>
  <si>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</si>
  <si>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</si>
  <si>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</si>
  <si>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</si>
  <si>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</si>
  <si>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</si>
  <si>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</si>
  <si>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</si>
  <si>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</si>
  <si>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</si>
  <si>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</si>
  <si>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</si>
  <si>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</si>
  <si>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</si>
  <si>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</si>
  <si>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</si>
  <si>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</si>
  <si>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</si>
  <si>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</si>
  <si>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</si>
  <si>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</si>
  <si>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</si>
  <si>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</si>
  <si>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</si>
  <si>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</si>
  <si>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</si>
  <si>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</si>
  <si>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</si>
  <si>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</si>
  <si>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</si>
  <si>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</si>
  <si>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</si>
  <si>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</si>
  <si>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</si>
  <si>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</si>
  <si>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</si>
  <si>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</si>
  <si>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</si>
  <si>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</si>
  <si>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</si>
  <si>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</si>
  <si>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</si>
  <si>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</si>
  <si>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</si>
  <si>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</si>
  <si>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</si>
  <si>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</si>
  <si>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</si>
  <si>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</si>
  <si>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</si>
  <si>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</si>
  <si>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</si>
  <si>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</si>
  <si>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</si>
  <si>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</si>
  <si>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</si>
  <si>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</si>
  <si>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</si>
  <si>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</si>
  <si>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</si>
  <si>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</si>
  <si>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</si>
  <si>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</si>
  <si>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</si>
  <si>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</si>
  <si>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</si>
  <si>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</si>
  <si>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</si>
  <si>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</si>
  <si>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</si>
  <si>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</si>
  <si>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</si>
  <si>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</si>
  <si>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</si>
  <si>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</si>
  <si>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</si>
  <si>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</si>
  <si>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</si>
  <si>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</si>
  <si>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</si>
  <si>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</si>
  <si>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</si>
  <si>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</si>
  <si>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</si>
  <si>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</si>
  <si>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</si>
  <si>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</si>
  <si>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</si>
  <si>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</si>
  <si>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</si>
  <si>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</si>
  <si>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</si>
  <si>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</si>
  <si>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</si>
  <si>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</si>
  <si>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</si>
  <si>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</si>
  <si>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</si>
  <si>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</si>
  <si>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</si>
  <si>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</si>
  <si>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</si>
  <si>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</si>
  <si>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</si>
  <si>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</si>
  <si>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</si>
  <si>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</si>
  <si>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</si>
  <si>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</si>
  <si>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</si>
  <si>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</si>
  <si>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</si>
  <si>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</si>
  <si>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</si>
  <si>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</si>
  <si>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</si>
  <si>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</si>
  <si>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</si>
  <si>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</si>
  <si>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</si>
  <si>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</si>
  <si>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</si>
  <si>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</si>
  <si>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</si>
  <si>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</si>
  <si>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</si>
  <si>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</si>
  <si>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</si>
  <si>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</si>
  <si>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</si>
  <si>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</si>
  <si>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</si>
  <si>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</si>
  <si>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</si>
  <si>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</si>
  <si>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</si>
  <si>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</si>
  <si>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</si>
  <si>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</si>
  <si>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</si>
  <si>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</si>
  <si>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</si>
  <si>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</si>
  <si>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</si>
  <si>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</si>
  <si>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</si>
  <si>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</si>
  <si>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</si>
  <si>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</si>
  <si>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</si>
  <si>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</si>
  <si>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</si>
  <si>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</si>
  <si>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</si>
  <si>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</si>
  <si>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</si>
  <si>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</si>
  <si>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</si>
  <si>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 xml:space="preserve">Gourmet Food C Block Model Town </t>
  </si>
  <si>
    <t xml:space="preserve">Gourmet Food Liyaqat Chowk </t>
  </si>
  <si>
    <t>Gourmet Food Krishan Nagar</t>
  </si>
  <si>
    <t>Gourmet Food Poonch Road</t>
  </si>
  <si>
    <t xml:space="preserve">Gourmet Food Nadeem Shaheed </t>
  </si>
  <si>
    <t xml:space="preserve">Gourmet Food Gulshan Ravi </t>
  </si>
  <si>
    <t xml:space="preserve">Gourmet Food Riwind City </t>
  </si>
  <si>
    <t xml:space="preserve">Gourmet Food Link Road Model Town </t>
  </si>
  <si>
    <t>Gourmet Food Batapur</t>
  </si>
  <si>
    <t xml:space="preserve">Gourmet Food Jauray Pull </t>
  </si>
  <si>
    <t xml:space="preserve">Gourmet Food Bhatta Chowk </t>
  </si>
  <si>
    <t xml:space="preserve">Gourmet Food EME Society </t>
  </si>
  <si>
    <t xml:space="preserve">Gourmet Food  DHA XX- Block </t>
  </si>
  <si>
    <t>Gourmet Food Riwind Road Thokar</t>
  </si>
  <si>
    <t xml:space="preserve"> </t>
  </si>
  <si>
    <t>Gourmet Food Walton</t>
  </si>
  <si>
    <t xml:space="preserve">Shakoor </t>
  </si>
  <si>
    <t>Invoice No # 56156</t>
  </si>
  <si>
    <t xml:space="preserve">Gourmet Food Zahore Ilahi </t>
  </si>
  <si>
    <t>Gourmet Food Younaabad</t>
  </si>
  <si>
    <t xml:space="preserve">Gourmet Food Wahdat Road </t>
  </si>
  <si>
    <t xml:space="preserve">Address: Multan </t>
  </si>
  <si>
    <t>Gourmet Food Riwind Road</t>
  </si>
  <si>
    <t xml:space="preserve">Gourmet Food Muslim Town Ayoubia </t>
  </si>
  <si>
    <t>Gourmet Food Barkat Market</t>
  </si>
  <si>
    <t xml:space="preserve">Gourmet Food Kahna </t>
  </si>
  <si>
    <t xml:space="preserve">Gourmet Food Joahr Town B Block </t>
  </si>
  <si>
    <t>Gourmet Food Faisal Town</t>
  </si>
  <si>
    <t>Gourmet Food EME</t>
  </si>
  <si>
    <t xml:space="preserve">Gourmet Food DHA Z Block </t>
  </si>
  <si>
    <t xml:space="preserve">Gourmet Food Central Park </t>
  </si>
  <si>
    <t xml:space="preserve">Gourmet Food Bankers Society </t>
  </si>
  <si>
    <t xml:space="preserve">Gourmet Food Air Line </t>
  </si>
  <si>
    <t>Gourmet Food 12-G</t>
  </si>
  <si>
    <t>Invoice No # 56654</t>
  </si>
  <si>
    <t>Invoice No # 561561</t>
  </si>
  <si>
    <t>Invoice No # 561784</t>
  </si>
  <si>
    <t>Invoice No # 564861</t>
  </si>
  <si>
    <t>Invoice No # 5615645</t>
  </si>
  <si>
    <t>Invoice No # 56156846</t>
  </si>
  <si>
    <t>Invoice No # 561568496</t>
  </si>
  <si>
    <t>Invoice No # 56158941</t>
  </si>
  <si>
    <t>Invoice No # 5611561</t>
  </si>
  <si>
    <t>Invoice No # 56154161</t>
  </si>
  <si>
    <t>Invoice No # 56145561</t>
  </si>
  <si>
    <t>Invoice No # 56151651</t>
  </si>
  <si>
    <t>Invoice No # 561565651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</si>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</sst>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  <font>
      <b/>
      <sz val="12"/>
      <color theme="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B10" workbookViewId="0">
      <selection activeCell="S15" sqref="S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.36328125" bestFit="1" customWidth="1"/>
    <col min="8" max="8" width="5.453125" customWidth="1"/>
    <col min="9" max="9" width="15" customWidth="1"/>
    <col min="10" max="10" width="9.179687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529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v>46281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17" t="str">
        <f>+'1'!A6:A6</f>
        <v xml:space="preserve">Gourmet Food Zahore Ilahi </v>
      </c>
      <c r="T3" s="300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17" t="str">
        <f>+'2'!A6:A6</f>
        <v>Gourmet Food Younaabad</v>
      </c>
      <c r="T4" s="300">
        <f>+'2'!P35</f>
        <v>21607.012217288135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3" t="s">
        <v>507</v>
      </c>
      <c r="R5" s="312">
        <v>3</v>
      </c>
      <c r="S5" s="317" t="str">
        <f>+'3'!A6:A6</f>
        <v xml:space="preserve">Gourmet Food Wahdat Road </v>
      </c>
      <c r="T5" s="300">
        <f>+'3'!P35</f>
        <v>13095.143935932207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3" t="s">
        <v>506</v>
      </c>
      <c r="R6" s="312">
        <v>4</v>
      </c>
      <c r="S6" s="317" t="str">
        <f>+'4'!A6:A6</f>
        <v>Gourmet Food Riwind Road</v>
      </c>
      <c r="T6" s="300">
        <f>+'4'!P35</f>
        <v>10148.740670847459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440</v>
      </c>
      <c r="I7" s="235">
        <f>(G7*D7)*F7+H7*F7</f>
        <v>23083.5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4155.03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18928.47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4362.7118644067768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116.45590932203389</v>
      </c>
      <c r="P7" s="309">
        <f>M7+N7+O7</f>
        <v>23407.637773728813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20</v>
      </c>
      <c r="R7" s="312">
        <v>5</v>
      </c>
      <c r="S7" s="317" t="str">
        <f>+'5'!A6:A6</f>
        <v xml:space="preserve">Gourmet Food Muslim Town Ayoubia </v>
      </c>
      <c r="T7" s="300">
        <f>+'5'!P35</f>
        <v>8020.7736005084762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640</v>
      </c>
      <c r="I8" s="236">
        <f t="shared" ref="I8:I14" si="0">(G8*D8)*F8+H8*F8</f>
        <v>33576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6043.6799999999994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27532.32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6345.7627118644032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169.39041355932201</v>
      </c>
      <c r="P8" s="310">
        <f t="shared" ref="P8:P15" si="2">M8+N8+O8</f>
        <v>34047.473125423719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80</v>
      </c>
      <c r="R8" s="312">
        <v>6</v>
      </c>
      <c r="S8" s="317" t="str">
        <f>+'6'!A6:A6</f>
        <v>Gourmet Food Barkat Market</v>
      </c>
      <c r="T8" s="300">
        <f>+'6'!P35</f>
        <v>20297.481341694918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720</v>
      </c>
      <c r="I9" s="236">
        <f t="shared" si="0"/>
        <v>37773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6799.1399999999994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30973.86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7138.9830508474533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190.56421525423727</v>
      </c>
      <c r="P9" s="310">
        <f t="shared" si="2"/>
        <v>38303.407266101691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80</v>
      </c>
      <c r="R9" s="312">
        <v>7</v>
      </c>
      <c r="S9" s="317" t="str">
        <f>+'7'!A6:A6</f>
        <v xml:space="preserve">Gourmet Food Kahna </v>
      </c>
      <c r="T9" s="300">
        <f>+'7'!P35</f>
        <v>19479.045146949149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400</v>
      </c>
      <c r="I10" s="236">
        <f t="shared" si="0"/>
        <v>29056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5230.079999999999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23825.920000000002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5491.5254237288145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146.58722711864411</v>
      </c>
      <c r="P10" s="310">
        <f t="shared" si="2"/>
        <v>29464.032650847461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40</v>
      </c>
      <c r="R10" s="312">
        <v>8</v>
      </c>
      <c r="S10" s="317" t="str">
        <f>+'8'!A6:A6</f>
        <v xml:space="preserve">Gourmet Food Joahr Town B Block </v>
      </c>
      <c r="T10" s="300">
        <f>+'8'!P35</f>
        <v>17351.078076610171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400</v>
      </c>
      <c r="I11" s="236">
        <f t="shared" si="0"/>
        <v>29056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5230.079999999999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23825.920000000002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5491.5254237288145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146.58722711864411</v>
      </c>
      <c r="P11" s="310">
        <f t="shared" si="2"/>
        <v>29464.032650847461</v>
      </c>
      <c r="Q11" s="213" t="e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#VALUE!</v>
      </c>
      <c r="R11" s="312">
        <v>9</v>
      </c>
      <c r="S11" s="317" t="str">
        <f>+'9'!A6:A6</f>
        <v>Gourmet Food Faisal Town</v>
      </c>
      <c r="T11" s="300">
        <f>+'9'!P35</f>
        <v>10148.740670847459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500</v>
      </c>
      <c r="I12" s="236">
        <f t="shared" si="0"/>
        <v>36320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6537.5999999999985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29782.400000000001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6864.4067796610188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183.23403389830511</v>
      </c>
      <c r="P12" s="310">
        <f t="shared" si="2"/>
        <v>36830.040813559324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160</v>
      </c>
      <c r="R12" s="312">
        <v>10</v>
      </c>
      <c r="S12" s="317" t="str">
        <f>+'10'!A6:A6</f>
        <v>Gourmet Food EME</v>
      </c>
      <c r="T12" s="300">
        <f>+'10'!P35</f>
        <v>12276.707741186441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2">
        <v>11</v>
      </c>
      <c r="S13" s="317" t="str">
        <f>+'11'!A6:A6</f>
        <v xml:space="preserve">Gourmet Food DHA Z Block </v>
      </c>
      <c r="T13" s="300">
        <f>+'11'!P35</f>
        <v>10148.740670847459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2">
        <v>12</v>
      </c>
      <c r="S14" s="317" t="str">
        <f>+'12'!A6:A6</f>
        <v xml:space="preserve">Gourmet Food Central Park </v>
      </c>
      <c r="T14" s="300">
        <f>+'12'!P35</f>
        <v>5729.1357732203387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2">
        <v>13</v>
      </c>
      <c r="S15" s="317" t="str">
        <f>+'13'!A6:A6</f>
        <v xml:space="preserve">Gourmet Food Bankers Society </v>
      </c>
      <c r="T15" s="300">
        <f>+'13'!P35</f>
        <v>12276.707741186441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274">
        <f>H16/40</f>
        <v>77.5</v>
      </c>
      <c r="H16" s="113">
        <f t="shared" ref="H16:M16" si="3">SUM(H7:H15)</f>
        <v>3100</v>
      </c>
      <c r="I16" s="114">
        <f t="shared" si="3"/>
        <v>188864.5</v>
      </c>
      <c r="J16" s="274">
        <f>SUM(J7:J15)</f>
        <v>33995.609999999993</v>
      </c>
      <c r="K16" s="275">
        <f t="shared" si="3"/>
        <v>0</v>
      </c>
      <c r="L16" s="276">
        <f t="shared" si="3"/>
        <v>0</v>
      </c>
      <c r="M16" s="232">
        <f t="shared" si="3"/>
        <v>154868.88999999998</v>
      </c>
      <c r="N16" s="233">
        <f>SUM(N7:N15)</f>
        <v>35694.915254237276</v>
      </c>
      <c r="O16" s="101">
        <f>SUM(O7:O15)</f>
        <v>952.81902627118654</v>
      </c>
      <c r="P16" s="113">
        <f>SUM(P7:P15)</f>
        <v>191516.62428050846</v>
      </c>
      <c r="Q16" s="128" t="e">
        <f>SUM(Q7:Q15)</f>
        <v>#VALUE!</v>
      </c>
      <c r="R16" s="312">
        <v>14</v>
      </c>
      <c r="S16" s="317" t="str">
        <f>+'14'!A6:A6</f>
        <v xml:space="preserve">Gourmet Food Air Line </v>
      </c>
      <c r="T16" s="300">
        <f>+'14'!P35</f>
        <v>10803.506108644067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17" t="str">
        <f>+'15'!A6:A6</f>
        <v>Gourmet Food 12-G</v>
      </c>
      <c r="T17" s="300">
        <f>+'15'!P35</f>
        <v>20133.810584745759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18" t="str">
        <f>+'16'!A6:A6</f>
        <v>Gourmet Food Walton</v>
      </c>
      <c r="T18" s="300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188864.5</v>
      </c>
      <c r="R19" s="299">
        <v>17</v>
      </c>
      <c r="S19" s="317" t="str">
        <f>+'17'!A6:A6</f>
        <v xml:space="preserve">Gourmet Food C Block Model Town </v>
      </c>
      <c r="T19" s="300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33995.609999999993</v>
      </c>
      <c r="R20" s="299">
        <v>18</v>
      </c>
      <c r="S20" s="317" t="str">
        <f>+'18'!A6:A6</f>
        <v xml:space="preserve">Gourmet Food Liyaqat Chowk </v>
      </c>
      <c r="T20" s="300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0</v>
      </c>
      <c r="R21" s="299">
        <v>19</v>
      </c>
      <c r="S21" s="317" t="str">
        <f>+'19'!A6:A6</f>
        <v>Gourmet Food Krishan Nagar</v>
      </c>
      <c r="T21" s="300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154868.89000000001</v>
      </c>
      <c r="R22" s="299">
        <v>20</v>
      </c>
      <c r="S22" s="317" t="str">
        <f>+'20'!A6:A6</f>
        <v>Gourmet Food Poonch Road</v>
      </c>
      <c r="T22" s="300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35694.915254237276</v>
      </c>
      <c r="R23" s="299">
        <v>21</v>
      </c>
      <c r="S23" s="317" t="str">
        <f>+'21'!A6:A6</f>
        <v xml:space="preserve">Gourmet Food Nadeem Shaheed </v>
      </c>
      <c r="T23" s="300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190563.80525423729</v>
      </c>
      <c r="R24" s="299">
        <v>22</v>
      </c>
      <c r="S24" s="317" t="str">
        <f>+'22'!A6:A6</f>
        <v xml:space="preserve">Gourmet Food Gulshan Ravi </v>
      </c>
      <c r="T24" s="300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952.81902627118654</v>
      </c>
      <c r="R25" s="299">
        <v>23</v>
      </c>
      <c r="S25" s="317" t="str">
        <f>+'23'!A6:A6</f>
        <v xml:space="preserve">Gourmet Food Riwind City </v>
      </c>
      <c r="T25" s="300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191516.62428050846</v>
      </c>
      <c r="R26" s="299">
        <v>24</v>
      </c>
      <c r="S26" s="317" t="str">
        <f>+'24'!A6:A6</f>
        <v xml:space="preserve">Gourmet Food Link Road Model Town </v>
      </c>
      <c r="T26" s="300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17" t="str">
        <f>+'25'!A6:A6</f>
        <v>Gourmet Food Batapur</v>
      </c>
      <c r="T27" s="300">
        <f>+'25'!P35</f>
        <v>0</v>
      </c>
    </row>
    <row r="28" spans="1:20" ht="21.75" customHeight="1" x14ac:dyDescent="0.35">
      <c r="R28" s="299">
        <v>26</v>
      </c>
      <c r="S28" s="317" t="str">
        <f>+'26'!A6:A6</f>
        <v xml:space="preserve">Gourmet Food Jauray Pull </v>
      </c>
      <c r="T28" s="300">
        <f>+'26'!P35</f>
        <v>0</v>
      </c>
    </row>
    <row r="29" spans="1:20" ht="21.75" customHeight="1" x14ac:dyDescent="0.35">
      <c r="L29">
        <v>0</v>
      </c>
      <c r="R29" s="299">
        <v>27</v>
      </c>
      <c r="S29" s="317" t="str">
        <f>+'27'!A6:A6</f>
        <v xml:space="preserve">Gourmet Food Bhatta Chowk </v>
      </c>
      <c r="T29" s="300">
        <f>+'27'!P35</f>
        <v>0</v>
      </c>
    </row>
    <row r="30" spans="1:20" ht="21.75" customHeight="1" x14ac:dyDescent="0.35">
      <c r="R30" s="299">
        <v>28</v>
      </c>
      <c r="S30" s="317" t="str">
        <f>+'28'!A6:A6</f>
        <v xml:space="preserve">Gourmet Food EME Society </v>
      </c>
      <c r="T30" s="300">
        <f>+'28'!P35</f>
        <v>0</v>
      </c>
    </row>
    <row r="31" spans="1:20" ht="21.75" customHeight="1" x14ac:dyDescent="0.35">
      <c r="R31" s="299">
        <v>29</v>
      </c>
      <c r="S31" s="317" t="str">
        <f>+'29'!A6:A6</f>
        <v xml:space="preserve">Gourmet Food  DHA XX- Block </v>
      </c>
      <c r="T31" s="300">
        <f>+'29'!P35</f>
        <v>0</v>
      </c>
    </row>
    <row r="32" spans="1:20" ht="21.75" customHeight="1" x14ac:dyDescent="0.35">
      <c r="R32" s="299">
        <v>30</v>
      </c>
      <c r="S32" s="317" t="str">
        <f>+'30'!A6:A6</f>
        <v>Gourmet Food Riwind Road Thokar</v>
      </c>
      <c r="T32" s="300">
        <f>+'30'!P35</f>
        <v>0</v>
      </c>
    </row>
    <row r="33" spans="2:20" ht="21.75" customHeight="1" thickBot="1" x14ac:dyDescent="0.6">
      <c r="R33" s="302"/>
      <c r="S33" s="301" t="s">
        <v>496</v>
      </c>
      <c r="T33" s="303">
        <f>SUM(T3:T32)</f>
        <v>191516.62428050846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zoomScaleNormal="100" workbookViewId="0">
      <selection activeCell="Q21" sqref="Q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530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46280</v>
      </c>
      <c r="O5" s="371"/>
      <c r="P5" s="371"/>
      <c r="R5" s="85"/>
      <c r="S5" s="266"/>
    </row>
    <row r="6" spans="1:22 16383:16384" ht="17.25" customHeight="1" x14ac:dyDescent="0.4">
      <c r="A6" s="400" t="s">
        <v>531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4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9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320">
        <v>40</v>
      </c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321">
        <v>40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320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320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320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  <c r="F2" t="s">
        <v>527</v>
      </c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547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46280</v>
      </c>
      <c r="O5" s="371"/>
      <c r="P5" s="371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755.45999999999992</v>
      </c>
      <c r="K16" s="127">
        <f>$I16*T16</f>
        <v>0</v>
      </c>
      <c r="L16" s="118">
        <f>$I16*U16</f>
        <v>0</v>
      </c>
      <c r="M16" s="229">
        <f>I16-SUM(J16:L16)</f>
        <v>3441.54</v>
      </c>
      <c r="N16" s="248">
        <f>+(G16*D16+H16)*V16</f>
        <v>793.22033898305051</v>
      </c>
      <c r="O16" s="238">
        <f>(N16+M16)*$O$15</f>
        <v>21.173801694915252</v>
      </c>
      <c r="P16" s="309">
        <f>M16+N16+O16</f>
        <v>4255.9341406779649</v>
      </c>
      <c r="Q16" s="319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755.45999999999992</v>
      </c>
      <c r="K17" s="128">
        <f>$I17*T17</f>
        <v>0</v>
      </c>
      <c r="L17" s="119">
        <f>$I17*U17</f>
        <v>0</v>
      </c>
      <c r="M17" s="230">
        <f t="shared" ref="M17:M24" si="2">I17-SUM(J17:L17)</f>
        <v>3441.54</v>
      </c>
      <c r="N17" s="277">
        <f t="shared" ref="N17:N24" si="3">+(G17*D17+H17)*V17</f>
        <v>793.22033898305051</v>
      </c>
      <c r="O17" s="239">
        <f t="shared" ref="O17:O24" si="4">(N17+M17)*$O$15</f>
        <v>21.173801694915252</v>
      </c>
      <c r="P17" s="310">
        <f t="shared" ref="P17:P24" si="5">M17+N17+O17</f>
        <v>4255.9341406779649</v>
      </c>
      <c r="Q17" s="320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755.45999999999992</v>
      </c>
      <c r="K18" s="128">
        <f t="shared" si="1"/>
        <v>0</v>
      </c>
      <c r="L18" s="119">
        <f t="shared" si="1"/>
        <v>0</v>
      </c>
      <c r="M18" s="230">
        <f t="shared" si="2"/>
        <v>3441.54</v>
      </c>
      <c r="N18" s="277">
        <f t="shared" si="3"/>
        <v>793.22033898305051</v>
      </c>
      <c r="O18" s="239">
        <f t="shared" si="4"/>
        <v>21.173801694915252</v>
      </c>
      <c r="P18" s="310">
        <f t="shared" si="5"/>
        <v>4255.9341406779649</v>
      </c>
      <c r="Q18" s="320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320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320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320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360</v>
      </c>
      <c r="I25" s="114">
        <f t="shared" si="7"/>
        <v>21307.8</v>
      </c>
      <c r="J25" s="274">
        <f>SUM(J16:J24)</f>
        <v>3835.4039999999991</v>
      </c>
      <c r="K25" s="275">
        <f t="shared" si="7"/>
        <v>0</v>
      </c>
      <c r="L25" s="276">
        <f t="shared" si="7"/>
        <v>0</v>
      </c>
      <c r="M25" s="232">
        <f t="shared" si="7"/>
        <v>17472.396000000001</v>
      </c>
      <c r="N25" s="233">
        <f>SUM(N16:N24)</f>
        <v>4027.1186440677952</v>
      </c>
      <c r="O25" s="101">
        <f>SUM(O16:O24)</f>
        <v>107.49757322033898</v>
      </c>
      <c r="P25" s="113">
        <f>SUM(P16:P24)</f>
        <v>21607.012217288131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21307.8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3835.4039999999991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17472.396000000001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4027.1186440677952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21499.514644067796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107.49757322033898</v>
      </c>
    </row>
    <row r="35" spans="2:16" ht="15.75" customHeight="1" thickBot="1" x14ac:dyDescent="0.4">
      <c r="N35" s="346" t="s">
        <v>88</v>
      </c>
      <c r="O35" s="347"/>
      <c r="P35" s="297">
        <f>+P33+P34</f>
        <v>21607.012217288135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548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46280</v>
      </c>
      <c r="O5" s="371"/>
      <c r="P5" s="371"/>
      <c r="R5" s="85"/>
      <c r="S5" s="266"/>
    </row>
    <row r="6" spans="1:22 16383:16384" ht="18.75" customHeight="1" x14ac:dyDescent="0.4">
      <c r="A6" s="400" t="s">
        <v>533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534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9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320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321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320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320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320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2324.4839999999995</v>
      </c>
      <c r="K25" s="275">
        <f t="shared" si="7"/>
        <v>0</v>
      </c>
      <c r="L25" s="276">
        <f t="shared" si="7"/>
        <v>0</v>
      </c>
      <c r="M25" s="232">
        <f t="shared" si="7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12913.800000000001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2324.4839999999995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10589.316000000003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13029.993966101698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46" t="s">
        <v>88</v>
      </c>
      <c r="O35" s="347"/>
      <c r="P35" s="297">
        <f>+P33+P34</f>
        <v>13095.143935932207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9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46280</v>
      </c>
      <c r="O5" s="371"/>
      <c r="P5" s="371"/>
      <c r="R5" s="85"/>
      <c r="S5" s="266"/>
    </row>
    <row r="6" spans="1:22 16383:16384" ht="15" customHeight="1" x14ac:dyDescent="0.4">
      <c r="A6" s="400" t="s">
        <v>535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9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320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321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320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320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320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1801.4759999999997</v>
      </c>
      <c r="K25" s="275">
        <f t="shared" si="7"/>
        <v>0</v>
      </c>
      <c r="L25" s="276">
        <f t="shared" si="7"/>
        <v>0</v>
      </c>
      <c r="M25" s="232">
        <f t="shared" si="7"/>
        <v>8206.7240000000002</v>
      </c>
      <c r="N25" s="233">
        <f>SUM(N16:N24)</f>
        <v>1891.5254237288132</v>
      </c>
      <c r="O25" s="101">
        <f>SUM(O16:O24)</f>
        <v>50.491247118644061</v>
      </c>
      <c r="P25" s="113">
        <f>SUM(P16:P24)</f>
        <v>10148.740670847455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10008.200000000001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1801.4759999999997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8206.724000000002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10098.249423728816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50.491247118644083</v>
      </c>
    </row>
    <row r="35" spans="2:16" ht="15.75" customHeight="1" thickBot="1" x14ac:dyDescent="0.4">
      <c r="N35" s="346" t="s">
        <v>88</v>
      </c>
      <c r="O35" s="347"/>
      <c r="P35" s="297">
        <f>+P33+P34</f>
        <v>10148.740670847459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zoomScaleNormal="100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550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46280</v>
      </c>
      <c r="O5" s="371"/>
      <c r="P5" s="371"/>
      <c r="R5" s="85"/>
      <c r="S5" s="266"/>
    </row>
    <row r="6" spans="1:22 16383:16384" ht="15" customHeight="1" x14ac:dyDescent="0.4">
      <c r="A6" s="400" t="s">
        <v>536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9">
        <v>20</v>
      </c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320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321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320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320">
        <v>20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320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0</v>
      </c>
      <c r="L25" s="276">
        <f t="shared" si="7"/>
        <v>0</v>
      </c>
      <c r="M25" s="232">
        <f t="shared" si="7"/>
        <v>6485.9539999999997</v>
      </c>
      <c r="N25" s="233">
        <f>SUM(N16:N24)</f>
        <v>1494.9152542372881</v>
      </c>
      <c r="O25" s="101">
        <f>SUM(O16:O24)</f>
        <v>39.904346271186441</v>
      </c>
      <c r="P25" s="113">
        <f>SUM(P16:P24)</f>
        <v>8020.7736005084735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7909.7000000000007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1423.7459999999996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6485.9540000000015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7980.8692542372901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39.904346271186448</v>
      </c>
    </row>
    <row r="35" spans="2:16" ht="15.75" customHeight="1" thickBot="1" x14ac:dyDescent="0.4">
      <c r="N35" s="346" t="s">
        <v>88</v>
      </c>
      <c r="O35" s="347"/>
      <c r="P35" s="297">
        <f>+P33+P34</f>
        <v>8020.7736005084762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548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46280</v>
      </c>
      <c r="O5" s="371"/>
      <c r="P5" s="371"/>
      <c r="R5" s="85"/>
      <c r="S5" s="266"/>
    </row>
    <row r="6" spans="1:22 16383:16384" ht="15" customHeight="1" x14ac:dyDescent="0.4">
      <c r="A6" s="400" t="s">
        <v>537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9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320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755.45999999999992</v>
      </c>
      <c r="K18" s="128">
        <f t="shared" si="1"/>
        <v>0</v>
      </c>
      <c r="L18" s="119">
        <f t="shared" si="1"/>
        <v>0</v>
      </c>
      <c r="M18" s="230">
        <f t="shared" si="2"/>
        <v>3441.54</v>
      </c>
      <c r="N18" s="277">
        <f t="shared" si="3"/>
        <v>793.22033898305051</v>
      </c>
      <c r="O18" s="239">
        <f t="shared" si="4"/>
        <v>21.173801694915252</v>
      </c>
      <c r="P18" s="310">
        <f t="shared" si="5"/>
        <v>4255.9341406779649</v>
      </c>
      <c r="Q18" s="321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320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320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1046.0159999999998</v>
      </c>
      <c r="K21" s="128">
        <f t="shared" si="1"/>
        <v>0</v>
      </c>
      <c r="L21" s="119">
        <f t="shared" si="1"/>
        <v>0</v>
      </c>
      <c r="M21" s="230">
        <f t="shared" si="2"/>
        <v>4765.1840000000002</v>
      </c>
      <c r="N21" s="277">
        <f t="shared" si="3"/>
        <v>1098.3050847457628</v>
      </c>
      <c r="O21" s="239">
        <f t="shared" si="4"/>
        <v>29.317445423728813</v>
      </c>
      <c r="P21" s="310">
        <f t="shared" si="5"/>
        <v>5892.8065301694915</v>
      </c>
      <c r="Q21" s="320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320</v>
      </c>
      <c r="I25" s="114">
        <f t="shared" si="7"/>
        <v>20016.400000000001</v>
      </c>
      <c r="J25" s="274">
        <f>SUM(J16:J24)</f>
        <v>3602.9519999999993</v>
      </c>
      <c r="K25" s="275">
        <f t="shared" si="7"/>
        <v>0</v>
      </c>
      <c r="L25" s="276">
        <f t="shared" si="7"/>
        <v>0</v>
      </c>
      <c r="M25" s="232">
        <f t="shared" si="7"/>
        <v>16413.448</v>
      </c>
      <c r="N25" s="233">
        <f>SUM(N16:N24)</f>
        <v>3783.0508474576263</v>
      </c>
      <c r="O25" s="101">
        <f>SUM(O16:O24)</f>
        <v>100.98249423728812</v>
      </c>
      <c r="P25" s="113">
        <f>SUM(P16:P24)</f>
        <v>20297.481341694911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20016.400000000001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3602.9519999999993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16413.448000000004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3783.0508474576263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20196.498847457631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100.98249423728817</v>
      </c>
    </row>
    <row r="35" spans="2:16" ht="15.75" customHeight="1" thickBot="1" x14ac:dyDescent="0.4">
      <c r="N35" s="346" t="s">
        <v>88</v>
      </c>
      <c r="O35" s="347"/>
      <c r="P35" s="297">
        <f>+P33+P34</f>
        <v>20297.481341694918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551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46280</v>
      </c>
      <c r="O5" s="371"/>
      <c r="P5" s="371"/>
      <c r="R5" s="85"/>
      <c r="S5" s="266"/>
    </row>
    <row r="6" spans="1:22 16383:16384" ht="15" customHeight="1" x14ac:dyDescent="0.4">
      <c r="A6" s="400" t="s">
        <v>538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9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755.45999999999992</v>
      </c>
      <c r="K17" s="128">
        <f>$I17*T17</f>
        <v>0</v>
      </c>
      <c r="L17" s="119">
        <f>$I17*U17</f>
        <v>0</v>
      </c>
      <c r="M17" s="230">
        <f t="shared" ref="M17:M24" si="2">I17-SUM(J17:L17)</f>
        <v>3441.54</v>
      </c>
      <c r="N17" s="277">
        <f t="shared" ref="N17:N24" si="3">+(G17*D17+H17)*V17</f>
        <v>793.22033898305051</v>
      </c>
      <c r="O17" s="239">
        <f t="shared" ref="O17:O24" si="4">(N17+M17)*$O$15</f>
        <v>21.173801694915252</v>
      </c>
      <c r="P17" s="310">
        <f t="shared" ref="P17:P24" si="5">M17+N17+O17</f>
        <v>4255.9341406779649</v>
      </c>
      <c r="Q17" s="320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755.45999999999992</v>
      </c>
      <c r="K18" s="128">
        <f t="shared" si="1"/>
        <v>0</v>
      </c>
      <c r="L18" s="119">
        <f t="shared" si="1"/>
        <v>0</v>
      </c>
      <c r="M18" s="230">
        <f t="shared" si="2"/>
        <v>3441.54</v>
      </c>
      <c r="N18" s="277">
        <f t="shared" si="3"/>
        <v>793.22033898305051</v>
      </c>
      <c r="O18" s="239">
        <f t="shared" si="4"/>
        <v>21.173801694915252</v>
      </c>
      <c r="P18" s="310">
        <f t="shared" si="5"/>
        <v>4255.9341406779649</v>
      </c>
      <c r="Q18" s="320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320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320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320">
        <v>40</v>
      </c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320</v>
      </c>
      <c r="I25" s="114">
        <f t="shared" si="7"/>
        <v>19209.3</v>
      </c>
      <c r="J25" s="274">
        <f>SUM(J16:J24)</f>
        <v>3457.6739999999991</v>
      </c>
      <c r="K25" s="275">
        <f t="shared" si="7"/>
        <v>0</v>
      </c>
      <c r="L25" s="276">
        <f t="shared" si="7"/>
        <v>0</v>
      </c>
      <c r="M25" s="232">
        <f t="shared" si="7"/>
        <v>15751.626</v>
      </c>
      <c r="N25" s="233">
        <f>SUM(N16:N24)</f>
        <v>3630.5084745762701</v>
      </c>
      <c r="O25" s="101">
        <f>SUM(O16:O24)</f>
        <v>96.910672372881351</v>
      </c>
      <c r="P25" s="113">
        <f>SUM(P16:P24)</f>
        <v>19479.045146949153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19209.3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3457.6739999999991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15751.626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3630.5084745762701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19382.134474576269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96.910672372881351</v>
      </c>
    </row>
    <row r="35" spans="2:16" ht="15.75" customHeight="1" thickBot="1" x14ac:dyDescent="0.4">
      <c r="N35" s="346" t="s">
        <v>88</v>
      </c>
      <c r="O35" s="347"/>
      <c r="P35" s="297">
        <f>+P33+P34</f>
        <v>19479.045146949149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2" zoomScale="110" zoomScaleNormal="110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552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46280</v>
      </c>
      <c r="O5" s="371"/>
      <c r="P5" s="371"/>
      <c r="R5" s="85"/>
      <c r="S5" s="266"/>
    </row>
    <row r="6" spans="1:22 16383:16384" ht="15" customHeight="1" x14ac:dyDescent="0.4">
      <c r="A6" s="400" t="s">
        <v>539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9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320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755.45999999999992</v>
      </c>
      <c r="K18" s="128">
        <f t="shared" si="1"/>
        <v>0</v>
      </c>
      <c r="L18" s="119">
        <f t="shared" si="1"/>
        <v>0</v>
      </c>
      <c r="M18" s="230">
        <f t="shared" si="2"/>
        <v>3441.54</v>
      </c>
      <c r="N18" s="277">
        <f t="shared" si="3"/>
        <v>793.22033898305051</v>
      </c>
      <c r="O18" s="239">
        <f t="shared" si="4"/>
        <v>21.173801694915252</v>
      </c>
      <c r="P18" s="310">
        <f t="shared" si="5"/>
        <v>4255.9341406779649</v>
      </c>
      <c r="Q18" s="320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320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320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320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280</v>
      </c>
      <c r="I25" s="114">
        <f t="shared" si="7"/>
        <v>17110.8</v>
      </c>
      <c r="J25" s="274">
        <f>SUM(J16:J24)</f>
        <v>3079.9439999999995</v>
      </c>
      <c r="K25" s="275">
        <f t="shared" si="7"/>
        <v>0</v>
      </c>
      <c r="L25" s="276">
        <f t="shared" si="7"/>
        <v>0</v>
      </c>
      <c r="M25" s="232">
        <f t="shared" si="7"/>
        <v>14030.856000000002</v>
      </c>
      <c r="N25" s="233">
        <f>SUM(N16:N24)</f>
        <v>3233.8983050847451</v>
      </c>
      <c r="O25" s="101">
        <f>SUM(O16:O24)</f>
        <v>86.323771525423723</v>
      </c>
      <c r="P25" s="113">
        <f>SUM(P16:P24)</f>
        <v>17351.078076610167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17110.8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3079.9439999999995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14030.856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3233.8983050847451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17264.754305084745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86.323771525423723</v>
      </c>
    </row>
    <row r="35" spans="2:16" ht="15.75" customHeight="1" thickBot="1" x14ac:dyDescent="0.4">
      <c r="N35" s="346" t="s">
        <v>88</v>
      </c>
      <c r="O35" s="347"/>
      <c r="P35" s="297">
        <f>+P33+P34</f>
        <v>17351.078076610171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8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553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46280</v>
      </c>
      <c r="O5" s="371"/>
      <c r="P5" s="371"/>
      <c r="R5" s="85"/>
      <c r="S5" s="266"/>
    </row>
    <row r="6" spans="1:22 16383:16384" ht="15" customHeight="1" x14ac:dyDescent="0.4">
      <c r="A6" s="400" t="s">
        <v>540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9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320">
        <v>40</v>
      </c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321">
        <v>40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320">
        <v>40</v>
      </c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320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320">
        <v>40</v>
      </c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1801.4759999999997</v>
      </c>
      <c r="K25" s="275">
        <f t="shared" si="7"/>
        <v>0</v>
      </c>
      <c r="L25" s="276">
        <f t="shared" si="7"/>
        <v>0</v>
      </c>
      <c r="M25" s="232">
        <f t="shared" si="7"/>
        <v>8206.7240000000002</v>
      </c>
      <c r="N25" s="233">
        <f>SUM(N16:N24)</f>
        <v>1891.5254237288132</v>
      </c>
      <c r="O25" s="101">
        <f>SUM(O16:O24)</f>
        <v>50.491247118644061</v>
      </c>
      <c r="P25" s="113">
        <f>SUM(P16:P24)</f>
        <v>10148.740670847455</v>
      </c>
      <c r="Q25" s="128">
        <f>SUM(Q16:Q24)</f>
        <v>160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10008.200000000001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1801.4759999999997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8206.724000000002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10098.249423728816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50.491247118644083</v>
      </c>
    </row>
    <row r="35" spans="2:16" ht="15.75" customHeight="1" thickBot="1" x14ac:dyDescent="0.4">
      <c r="N35" s="346" t="s">
        <v>88</v>
      </c>
      <c r="O35" s="347"/>
      <c r="P35" s="297">
        <f>+P33+P34</f>
        <v>10148.740670847459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B10" workbookViewId="0">
      <selection activeCell="H16" sqref="H16: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554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46280</v>
      </c>
      <c r="O5" s="371"/>
      <c r="P5" s="371"/>
      <c r="R5" s="85"/>
      <c r="S5" s="266"/>
    </row>
    <row r="6" spans="1:22 16383:16384" ht="15" customHeight="1" x14ac:dyDescent="0.4">
      <c r="A6" s="400" t="s">
        <v>541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9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320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321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320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320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320">
        <v>40</v>
      </c>
      <c r="S21" s="269">
        <f>+S20</f>
        <v>0.18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200</v>
      </c>
      <c r="I25" s="114">
        <f t="shared" si="7"/>
        <v>12106.7</v>
      </c>
      <c r="J25" s="274">
        <f>SUM(J16:J24)</f>
        <v>2179.2059999999997</v>
      </c>
      <c r="K25" s="275">
        <f t="shared" si="7"/>
        <v>0</v>
      </c>
      <c r="L25" s="276">
        <f t="shared" si="7"/>
        <v>0</v>
      </c>
      <c r="M25" s="232">
        <f t="shared" si="7"/>
        <v>9927.4940000000006</v>
      </c>
      <c r="N25" s="233">
        <f>SUM(N16:N24)</f>
        <v>2288.1355932203383</v>
      </c>
      <c r="O25" s="101">
        <f>SUM(O16:O24)</f>
        <v>61.078147966101689</v>
      </c>
      <c r="P25" s="113">
        <f>SUM(P16:P24)</f>
        <v>12276.707741186439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12106.7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2179.2059999999997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9927.4940000000006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2288.1355932203383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12215.629593220339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61.078147966101696</v>
      </c>
    </row>
    <row r="35" spans="2:16" ht="15.75" customHeight="1" thickBot="1" x14ac:dyDescent="0.4">
      <c r="N35" s="346" t="s">
        <v>88</v>
      </c>
      <c r="O35" s="347"/>
      <c r="P35" s="297">
        <f>+P33+P34</f>
        <v>12276.707741186441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7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555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46280</v>
      </c>
      <c r="O5" s="371"/>
      <c r="P5" s="371"/>
      <c r="R5" s="85"/>
      <c r="S5" s="266"/>
    </row>
    <row r="6" spans="1:22 16383:16384" ht="15" customHeight="1" x14ac:dyDescent="0.4">
      <c r="A6" s="400" t="s">
        <v>542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9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755.45999999999992</v>
      </c>
      <c r="K17" s="128">
        <f>$I17*T17</f>
        <v>0</v>
      </c>
      <c r="L17" s="119">
        <f>$I17*U17</f>
        <v>0</v>
      </c>
      <c r="M17" s="230">
        <f t="shared" ref="M17:M24" si="2">I17-SUM(J17:L17)</f>
        <v>3441.54</v>
      </c>
      <c r="N17" s="277">
        <f t="shared" ref="N17:N24" si="3">+(G17*D17+H17)*V17</f>
        <v>793.22033898305051</v>
      </c>
      <c r="O17" s="239">
        <f t="shared" ref="O17:O24" si="4">(N17+M17)*$O$15</f>
        <v>21.173801694915252</v>
      </c>
      <c r="P17" s="310">
        <f t="shared" ref="P17:P24" si="5">M17+N17+O17</f>
        <v>4255.9341406779649</v>
      </c>
      <c r="Q17" s="320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321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320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320">
        <v>40</v>
      </c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320">
        <v>40</v>
      </c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1801.4759999999997</v>
      </c>
      <c r="K25" s="275">
        <f t="shared" si="7"/>
        <v>0</v>
      </c>
      <c r="L25" s="276">
        <f t="shared" si="7"/>
        <v>0</v>
      </c>
      <c r="M25" s="232">
        <f t="shared" si="7"/>
        <v>8206.7240000000002</v>
      </c>
      <c r="N25" s="233">
        <f>SUM(N16:N24)</f>
        <v>1891.5254237288132</v>
      </c>
      <c r="O25" s="101">
        <f>SUM(O16:O24)</f>
        <v>50.491247118644061</v>
      </c>
      <c r="P25" s="113">
        <f>SUM(P16:P24)</f>
        <v>10148.740670847455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10008.200000000001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1801.4759999999997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8206.724000000002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10098.249423728816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50.491247118644083</v>
      </c>
    </row>
    <row r="35" spans="2:16" ht="15.75" customHeight="1" thickBot="1" x14ac:dyDescent="0.4">
      <c r="N35" s="346" t="s">
        <v>88</v>
      </c>
      <c r="O35" s="347"/>
      <c r="P35" s="297">
        <f>+P33+P34</f>
        <v>10148.740670847459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11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556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46280</v>
      </c>
      <c r="O5" s="371"/>
      <c r="P5" s="371"/>
      <c r="R5" s="85"/>
      <c r="S5" s="266"/>
    </row>
    <row r="6" spans="1:22 16383:16384" ht="15" customHeight="1" x14ac:dyDescent="0.4">
      <c r="A6" s="400" t="s">
        <v>543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9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320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755.45999999999992</v>
      </c>
      <c r="K18" s="128">
        <f t="shared" si="1"/>
        <v>0</v>
      </c>
      <c r="L18" s="119">
        <f t="shared" si="1"/>
        <v>0</v>
      </c>
      <c r="M18" s="230">
        <f t="shared" si="2"/>
        <v>3441.54</v>
      </c>
      <c r="N18" s="277">
        <f t="shared" si="3"/>
        <v>793.22033898305051</v>
      </c>
      <c r="O18" s="239">
        <f t="shared" si="4"/>
        <v>21.173801694915252</v>
      </c>
      <c r="P18" s="310">
        <f t="shared" si="5"/>
        <v>4255.9341406779649</v>
      </c>
      <c r="Q18" s="320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320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320">
        <v>40</v>
      </c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320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100</v>
      </c>
      <c r="I25" s="114">
        <f t="shared" si="7"/>
        <v>5649.8</v>
      </c>
      <c r="J25" s="274">
        <f>SUM(J16:J24)</f>
        <v>1016.9639999999999</v>
      </c>
      <c r="K25" s="275">
        <f t="shared" si="7"/>
        <v>0</v>
      </c>
      <c r="L25" s="276">
        <f t="shared" si="7"/>
        <v>0</v>
      </c>
      <c r="M25" s="232">
        <f t="shared" si="7"/>
        <v>4632.8360000000002</v>
      </c>
      <c r="N25" s="233">
        <f>SUM(N16:N24)</f>
        <v>1067.7966101694913</v>
      </c>
      <c r="O25" s="101">
        <f>SUM(O16:O24)</f>
        <v>28.503163050847455</v>
      </c>
      <c r="P25" s="113">
        <f>SUM(P16:P24)</f>
        <v>5729.1357732203378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5649.8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1016.9639999999999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4632.8360000000002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1067.7966101694913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5700.6326101694913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28.503163050847458</v>
      </c>
    </row>
    <row r="35" spans="2:16" ht="15.75" customHeight="1" thickBot="1" x14ac:dyDescent="0.4">
      <c r="N35" s="346" t="s">
        <v>88</v>
      </c>
      <c r="O35" s="347"/>
      <c r="P35" s="297">
        <f>+P33+P34</f>
        <v>5729.1357732203387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abSelected="1" topLeftCell="A20" zoomScale="85" zoomScaleNormal="8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557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5" customHeight="1" x14ac:dyDescent="0.4">
      <c r="A6" s="400" t="s">
        <v>544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9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320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755.45999999999992</v>
      </c>
      <c r="K18" s="128">
        <f t="shared" si="1"/>
        <v>0</v>
      </c>
      <c r="L18" s="119">
        <f t="shared" si="1"/>
        <v>0</v>
      </c>
      <c r="M18" s="230">
        <f t="shared" si="2"/>
        <v>3441.54</v>
      </c>
      <c r="N18" s="277">
        <f t="shared" si="3"/>
        <v>793.22033898305051</v>
      </c>
      <c r="O18" s="239">
        <f t="shared" si="4"/>
        <v>21.173801694915252</v>
      </c>
      <c r="P18" s="310">
        <f t="shared" si="5"/>
        <v>4255.9341406779649</v>
      </c>
      <c r="Q18" s="320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320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320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320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200</v>
      </c>
      <c r="I25" s="114">
        <f t="shared" si="7"/>
        <v>12106.7</v>
      </c>
      <c r="J25" s="274">
        <f>SUM(J16:J24)</f>
        <v>2179.2059999999997</v>
      </c>
      <c r="K25" s="275">
        <f t="shared" si="7"/>
        <v>0</v>
      </c>
      <c r="L25" s="276">
        <f t="shared" si="7"/>
        <v>0</v>
      </c>
      <c r="M25" s="232">
        <f t="shared" si="7"/>
        <v>9927.4940000000006</v>
      </c>
      <c r="N25" s="233">
        <f>SUM(N16:N24)</f>
        <v>2288.1355932203383</v>
      </c>
      <c r="O25" s="101">
        <f>SUM(O16:O24)</f>
        <v>61.078147966101689</v>
      </c>
      <c r="P25" s="113">
        <f>SUM(P16:P24)</f>
        <v>12276.707741186439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12106.7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2179.2059999999997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9927.4940000000006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2288.1355932203383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12215.629593220339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61.078147966101696</v>
      </c>
    </row>
    <row r="35" spans="2:16" ht="15.75" customHeight="1" thickBot="1" x14ac:dyDescent="0.4">
      <c r="N35" s="346" t="s">
        <v>88</v>
      </c>
      <c r="O35" s="347"/>
      <c r="P35" s="297">
        <f>+P33+P34</f>
        <v>12276.707741186441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11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558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46280</v>
      </c>
      <c r="O5" s="371"/>
      <c r="P5" s="371"/>
      <c r="R5" s="85"/>
      <c r="S5" s="266"/>
    </row>
    <row r="6" spans="1:22 16383:16384" ht="15" customHeight="1" x14ac:dyDescent="0.4">
      <c r="A6" s="400" t="s">
        <v>545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9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320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321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320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320" t="s">
        <v>560</v>
      </c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321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180</v>
      </c>
      <c r="I25" s="114">
        <f t="shared" si="7"/>
        <v>10653.9</v>
      </c>
      <c r="J25" s="274">
        <f>SUM(J16:J24)</f>
        <v>1917.7019999999995</v>
      </c>
      <c r="K25" s="275">
        <f t="shared" si="7"/>
        <v>0</v>
      </c>
      <c r="L25" s="276">
        <f t="shared" si="7"/>
        <v>0</v>
      </c>
      <c r="M25" s="232">
        <f t="shared" si="7"/>
        <v>8736.1980000000003</v>
      </c>
      <c r="N25" s="233">
        <f>SUM(N16:N24)</f>
        <v>2013.5593220338976</v>
      </c>
      <c r="O25" s="101">
        <f>SUM(O16:O24)</f>
        <v>53.748786610169489</v>
      </c>
      <c r="P25" s="113">
        <f>SUM(P16:P24)</f>
        <v>10803.506108644066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10653.9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1917.7019999999995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8736.1980000000003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2013.5593220338976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10749.757322033898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53.748786610169489</v>
      </c>
    </row>
    <row r="35" spans="2:16" ht="15.75" customHeight="1" thickBot="1" x14ac:dyDescent="0.4">
      <c r="N35" s="346" t="s">
        <v>88</v>
      </c>
      <c r="O35" s="347"/>
      <c r="P35" s="297">
        <f>+P33+P34</f>
        <v>10803.506108644067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7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559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46280</v>
      </c>
      <c r="O5" s="371"/>
      <c r="P5" s="371"/>
      <c r="R5" s="85"/>
      <c r="S5" s="266"/>
    </row>
    <row r="6" spans="1:22 16383:16384" ht="15" customHeight="1" x14ac:dyDescent="0.4">
      <c r="A6" s="400" t="s">
        <v>546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755.45999999999992</v>
      </c>
      <c r="K16" s="127">
        <f>$I16*T16</f>
        <v>0</v>
      </c>
      <c r="L16" s="118">
        <f>$I16*U16</f>
        <v>0</v>
      </c>
      <c r="M16" s="229">
        <f>I16-SUM(J16:L16)</f>
        <v>3441.54</v>
      </c>
      <c r="N16" s="248">
        <f>+(G16*D16+H16)*V16</f>
        <v>793.22033898305051</v>
      </c>
      <c r="O16" s="238">
        <f>(N16+M16)*$O$15</f>
        <v>21.173801694915252</v>
      </c>
      <c r="P16" s="309">
        <f>M16+N16+O16</f>
        <v>4255.9341406779649</v>
      </c>
      <c r="Q16" s="319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755.45999999999992</v>
      </c>
      <c r="K17" s="128">
        <f>$I17*T17</f>
        <v>0</v>
      </c>
      <c r="L17" s="119">
        <f>$I17*U17</f>
        <v>0</v>
      </c>
      <c r="M17" s="230">
        <f t="shared" ref="M17:M24" si="2">I17-SUM(J17:L17)</f>
        <v>3441.54</v>
      </c>
      <c r="N17" s="277">
        <f t="shared" ref="N17:N24" si="3">+(G17*D17+H17)*V17</f>
        <v>793.22033898305051</v>
      </c>
      <c r="O17" s="239">
        <f t="shared" ref="O17:O24" si="4">(N17+M17)*$O$15</f>
        <v>21.173801694915252</v>
      </c>
      <c r="P17" s="310">
        <f t="shared" ref="P17:P24" si="5">M17+N17+O17</f>
        <v>4255.9341406779649</v>
      </c>
      <c r="Q17" s="320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755.45999999999992</v>
      </c>
      <c r="K18" s="128">
        <f t="shared" si="1"/>
        <v>0</v>
      </c>
      <c r="L18" s="119">
        <f t="shared" si="1"/>
        <v>0</v>
      </c>
      <c r="M18" s="230">
        <f t="shared" si="2"/>
        <v>3441.54</v>
      </c>
      <c r="N18" s="277">
        <f t="shared" si="3"/>
        <v>793.22033898305051</v>
      </c>
      <c r="O18" s="239">
        <f t="shared" si="4"/>
        <v>21.173801694915252</v>
      </c>
      <c r="P18" s="310">
        <f t="shared" si="5"/>
        <v>4255.9341406779649</v>
      </c>
      <c r="Q18" s="320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320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320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320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340</v>
      </c>
      <c r="I25" s="114">
        <f t="shared" si="7"/>
        <v>19855</v>
      </c>
      <c r="J25" s="274">
        <f>SUM(J16:J24)</f>
        <v>3573.8999999999992</v>
      </c>
      <c r="K25" s="275">
        <f t="shared" si="7"/>
        <v>0</v>
      </c>
      <c r="L25" s="276">
        <f t="shared" si="7"/>
        <v>0</v>
      </c>
      <c r="M25" s="232">
        <f t="shared" si="7"/>
        <v>16281.1</v>
      </c>
      <c r="N25" s="233">
        <f>SUM(N16:N24)</f>
        <v>3752.5423728813548</v>
      </c>
      <c r="O25" s="101">
        <f>SUM(O16:O24)</f>
        <v>100.16821186440677</v>
      </c>
      <c r="P25" s="113">
        <f>SUM(P16:P24)</f>
        <v>20133.810584745759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19855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3573.8999999999992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16281.1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3752.5423728813548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20033.642372881353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100.16821186440677</v>
      </c>
    </row>
    <row r="35" spans="2:16" ht="15.75" customHeight="1" thickBot="1" x14ac:dyDescent="0.4">
      <c r="N35" s="346" t="s">
        <v>88</v>
      </c>
      <c r="O35" s="347"/>
      <c r="P35" s="297">
        <f>+P33+P34</f>
        <v>20133.810584745759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16" workbookViewId="0">
      <selection activeCell="Q19" sqref="Q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530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46280</v>
      </c>
      <c r="O5" s="371"/>
      <c r="P5" s="371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9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320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320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320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320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320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  <c r="S30" s="215"/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8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530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46280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9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320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320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320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320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4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320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5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530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46280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9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320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320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320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320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320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10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530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46280</v>
      </c>
      <c r="O5" s="371"/>
      <c r="P5" s="371"/>
      <c r="R5" s="85"/>
      <c r="S5" s="266"/>
    </row>
    <row r="6" spans="1:22 16383:16384" ht="15" customHeight="1" x14ac:dyDescent="0.4">
      <c r="A6" s="400" t="s">
        <v>515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9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320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320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320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320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320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6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530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46280</v>
      </c>
      <c r="O5" s="371"/>
      <c r="P5" s="371"/>
      <c r="R5" s="85"/>
      <c r="S5" s="266"/>
    </row>
    <row r="6" spans="1:22 16383:16384" ht="18.7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9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320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320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320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320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320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5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530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46280</v>
      </c>
      <c r="O5" s="371"/>
      <c r="P5" s="371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9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320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320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320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320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320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5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530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46280</v>
      </c>
      <c r="O5" s="371"/>
      <c r="P5" s="371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9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320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320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320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320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320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8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530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46280</v>
      </c>
      <c r="O5" s="371"/>
      <c r="P5" s="371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9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320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320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320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320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320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8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530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46280</v>
      </c>
      <c r="O5" s="371"/>
      <c r="P5" s="371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9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320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320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320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320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320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6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530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46280</v>
      </c>
      <c r="O5" s="371"/>
      <c r="P5" s="371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9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320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320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320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320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320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4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530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46280</v>
      </c>
      <c r="O5" s="371"/>
      <c r="P5" s="371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9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320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320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320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320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320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2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530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46280</v>
      </c>
      <c r="O5" s="371"/>
      <c r="P5" s="371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9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320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320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320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320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320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2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530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46280</v>
      </c>
      <c r="O5" s="371"/>
      <c r="P5" s="371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9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320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320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320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320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320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4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530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46280</v>
      </c>
      <c r="O5" s="371"/>
      <c r="P5" s="371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9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320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320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320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320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320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530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46281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46280</v>
      </c>
      <c r="O5" s="371"/>
      <c r="P5" s="371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6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9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320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320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320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320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320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46294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46293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2026-09-28T11:09:41Z</dcterms:modified>
</cp:coreProperties>
</file>