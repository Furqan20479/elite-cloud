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E189CE-5583-407A-ACF6-1786CE0C2E0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<sst xmlns="http://schemas.openxmlformats.org/spreadsheetml/2006/main" count="3948" uniqueCount="522">
  <si>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</si>
  <si>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</si>
  <si>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</si>
  <si>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</si>
  <si>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</si>
  <si>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</si>
  <si>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</si>
  <si>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</si>
  <si>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</si>
  <si>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</si>
  <si>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</si>
  <si>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</si>
  <si>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</si>
  <si>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</si>
  <si>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</si>
  <si>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</si>
  <si>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</si>
  <si>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</si>
  <si>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</si>
  <si>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</si>
  <si>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</si>
  <si>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</si>
  <si>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</si>
  <si>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</si>
  <si>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</si>
  <si>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</si>
  <si>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</si>
  <si>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</si>
  <si>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</si>
  <si>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</si>
  <si>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</si>
  <si>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</si>
  <si>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</si>
  <si>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</si>
  <si>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</si>
  <si>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</si>
  <si>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</si>
  <si>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</si>
  <si>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</si>
  <si>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</si>
  <si>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</si>
  <si>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</si>
  <si>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</si>
  <si>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</si>
  <si>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</si>
  <si>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</si>
  <si>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</si>
  <si>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</si>
  <si>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</si>
  <si>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</si>
  <si>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</si>
  <si>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</si>
  <si>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</si>
  <si>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</si>
  <si>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</si>
  <si>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</si>
  <si>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</si>
  <si>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</si>
  <si>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</si>
  <si>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</si>
  <si>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</si>
  <si>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</si>
  <si>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</si>
  <si>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</si>
  <si>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</si>
  <si>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</si>
  <si>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</si>
  <si>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</si>
  <si>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</si>
  <si>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</si>
  <si>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</si>
  <si>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</si>
  <si>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</si>
  <si>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</si>
  <si>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</si>
  <si>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</si>
  <si>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</si>
  <si>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</si>
  <si>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</si>
  <si>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</si>
  <si>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</si>
  <si>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</si>
  <si>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</si>
  <si>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</si>
  <si>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</si>
  <si>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</si>
  <si>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</si>
  <si>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</si>
  <si>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</si>
  <si>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</si>
  <si>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</si>
  <si>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</si>
  <si>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</si>
  <si>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</si>
  <si>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</si>
  <si>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</si>
  <si>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</si>
  <si>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</si>
  <si>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</si>
  <si>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</si>
  <si>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</si>
  <si>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</si>
  <si>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</si>
  <si>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</si>
  <si>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</si>
  <si>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</si>
  <si>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</si>
  <si>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</si>
  <si>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</si>
  <si>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</si>
  <si>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</si>
  <si>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</si>
  <si>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</si>
  <si>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</si>
  <si>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</si>
  <si>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</si>
  <si>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</si>
  <si>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</si>
  <si>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</si>
  <si>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</si>
  <si>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</si>
  <si>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</si>
  <si>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</si>
  <si>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</si>
  <si>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</si>
  <si>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</si>
  <si>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</si>
  <si>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</si>
  <si>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</si>
  <si>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</si>
  <si>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</si>
  <si>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</si>
  <si>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</si>
  <si>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</si>
  <si>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</si>
  <si>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</si>
  <si>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</si>
  <si>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</si>
  <si>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</si>
  <si>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</si>
  <si>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</si>
  <si>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</si>
  <si>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</si>
  <si>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</si>
  <si>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</si>
  <si>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</si>
  <si>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</si>
  <si>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</si>
  <si>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</si>
  <si>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</si>
  <si>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</si>
  <si>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</si>
  <si>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</si>
  <si>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</si>
  <si>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</si>
  <si>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</si>
  <si>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</si>
  <si>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</si>
  <si>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</si>
  <si>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</si>
  <si>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</si>
  <si>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</si>
  <si>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</si>
  <si>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</si>
  <si>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</si>
  <si>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</si>
  <si>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</si>
  <si>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</si>
  <si>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</si>
  <si>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</si>
  <si>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</si>
  <si>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</si>
  <si>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</si>
  <si>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</si>
  <si>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</si>
  <si>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</si>
  <si>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</si>
  <si>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</si>
  <si>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</si>
  <si>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</si>
  <si>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</si>
  <si>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</si>
  <si>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</si>
  <si>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</si>
  <si>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</si>
  <si>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</si>
  <si>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</si>
  <si>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</si>
  <si>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</si>
  <si>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</si>
  <si>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</si>
  <si>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</si>
  <si>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</si>
  <si>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</si>
  <si>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</si>
  <si>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</si>
  <si>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</si>
  <si>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</si>
  <si>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</si>
  <si>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</si>
  <si>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</si>
  <si>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</si>
  <si>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</si>
  <si>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</si>
  <si>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</si>
  <si>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</si>
  <si>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</si>
  <si>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</si>
  <si>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</si>
  <si>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</si>
  <si>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</si>
  <si>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</si>
  <si>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</si>
  <si>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</si>
  <si>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</si>
  <si>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</si>
  <si>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</si>
  <si>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</si>
  <si>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</si>
  <si>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</si>
  <si>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</si>
  <si>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</si>
  <si>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</si>
  <si>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</si>
  <si>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</si>
  <si>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</si>
  <si>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</si>
  <si>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</si>
  <si>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</si>
  <si>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</si>
  <si>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</si>
  <si>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</si>
  <si>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</si>
  <si>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</si>
  <si>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</si>
  <si>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</si>
  <si>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</si>
  <si>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</si>
  <si>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</si>
  <si>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</si>
  <si>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</si>
  <si>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</si>
  <si>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</si>
  <si>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</si>
  <si>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</si>
  <si>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</si>
  <si>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</si>
  <si>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</si>
  <si>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</si>
  <si>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</si>
  <si>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</si>
  <si>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</si>
  <si>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</si>
  <si>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</si>
  <si>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</si>
  <si>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</si>
  <si>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</si>
  <si>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</si>
  <si>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</si>
  <si>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</si>
  <si>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</si>
  <si>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</si>
  <si>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</si>
  <si>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</si>
  <si>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</si>
  <si>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</si>
  <si>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</si>
  <si>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</si>
  <si>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</si>
  <si>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</si>
  <si>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</si>
  <si>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</si>
  <si>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</si>
  <si>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</si>
  <si>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</si>
  <si>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</si>
  <si>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</si>
  <si>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</si>
  <si>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</si>
  <si>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</si>
  <si>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</si>
  <si>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</si>
  <si>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</si>
  <si>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</si>
  <si>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</si>
  <si>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</si>
  <si>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</si>
  <si>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</si>
  <si>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</si>
  <si>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</si>
  <si>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</si>
  <si>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</si>
  <si>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</si>
  <si>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</si>
  <si>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</si>
  <si>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</si>
  <si>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</si>
  <si>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</si>
  <si>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</si>
  <si>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</si>
  <si>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</si>
  <si>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</si>
  <si>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</si>
  <si>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</si>
  <si>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</si>
  <si>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</si>
  <si>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</si>
  <si>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</si>
  <si>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</si>
  <si>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</si>
  <si>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</si>
  <si>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</si>
  <si>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</si>
  <si>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</si>
  <si>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</si>
  <si>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</si>
  <si>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</si>
  <si>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</si>
  <si>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</si>
  <si>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</si>
  <si>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</si>
  <si>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</si>
  <si>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</si>
  <si>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</si>
  <si>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</si>
  <si>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</si>
  <si>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</si>
  <si>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</si>
  <si>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</si>
  <si>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</si>
  <si>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</si>
  <si>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</si>
  <si>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</si>
  <si>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</si>
  <si>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</si>
  <si>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</si>
  <si>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</si>
  <si>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</si>
  <si>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</si>
  <si>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</si>
  <si>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</si>
  <si>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</si>
  <si>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</si>
  <si>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</si>
  <si>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</si>
  <si>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</si>
  <si>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</si>
  <si>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</si>
  <si>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</si>
  <si>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</si>
  <si>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</si>
  <si>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</si>
  <si>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</si>
  <si>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</si>
  <si>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</si>
  <si>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</si>
  <si>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</si>
  <si>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</si>
  <si>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</si>
  <si>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</si>
  <si>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</si>
  <si>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</si>
  <si>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</si>
  <si>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</si>
  <si>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</si>
  <si>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</si>
  <si>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</si>
  <si>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</si>
  <si>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</si>
  <si>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</si>
  <si>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</si>
  <si>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</si>
  <si>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</si>
  <si>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</si>
  <si>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</si>
  <si>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</si>
  <si>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</si>
  <si>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</si>
  <si>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</si>
  <si>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</si>
  <si>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</si>
  <si>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</si>
  <si>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</si>
  <si>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</si>
  <si>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</si>
  <si>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</si>
  <si>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</si>
  <si>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</si>
  <si>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</si>
  <si>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</si>
  <si>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</si>
  <si>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</si>
  <si>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</si>
  <si>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</si>
  <si>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</si>
  <si>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</si>
  <si>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</si>
  <si>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</si>
  <si>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</si>
  <si>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</si>
  <si>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</si>
  <si>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</si>
  <si>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</si>
  <si>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</si>
  <si>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</si>
  <si>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</si>
  <si>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</si>
  <si>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</si>
  <si>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</si>
  <si>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</si>
  <si>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</si>
  <si>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</si>
  <si>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</si>
  <si>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</si>
  <si>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</si>
  <si>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</si>
  <si>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</si>
  <si>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</si>
  <si>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</si>
  <si>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</si>
  <si>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</si>
  <si>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</si>
  <si>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</si>
  <si>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</si>
  <si>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</si>
  <si>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</si>
  <si>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</si>
  <si>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</si>
  <si>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</si>
  <si>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</si>
  <si>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</si>
  <si>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</si>
  <si>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</si>
  <si>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</si>
  <si>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</si>
  <si>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</si>
  <si>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</si>
  <si>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</si>
  <si>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</si>
  <si>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</si>
  <si>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</si>
  <si>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</si>
  <si>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</si>
  <si>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</si>
  <si>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</si>
  <si>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</si>
  <si>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</si>
  <si>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</si>
  <si>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</si>
  <si>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</si>
  <si>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</si>
  <si>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</si>
  <si>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</si>
  <si>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</si>
  <si>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</si>
  <si>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</si>
  <si>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</si>
  <si>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</si>
  <si>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</si>
  <si>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</si>
  <si>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</si>
  <si>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</si>
  <si>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</si>
  <si>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</si>
  <si>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</si>
  <si>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</si>
  <si>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</si>
  <si>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</si>
  <si>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</si>
  <si>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</si>
  <si>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</si>
  <si>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</si>
  <si>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</si>
  <si>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</si>
  <si>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</si>
  <si>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</si>
  <si>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</si>
  <si>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</si>
  <si>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</si>
  <si>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</si>
  <si>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</si>
  <si>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</si>
  <si>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</si>
  <si>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</si>
  <si>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</si>
  <si>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</si>
  <si>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</si>
  <si>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</si>
  <si>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</si>
  <si>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</si>
  <si>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</si>
  <si>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</si>
  <si>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</si>
  <si>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</si>
  <si>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</si>
  <si>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</si>
  <si>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</si>
  <si>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</si>
  <si>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</si>
  <si>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</si>
  <si>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</si>
  <si>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</si>
  <si>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</si>
  <si>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</si>
  <si>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</si>
  <si>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</si>
  <si>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</si>
  <si>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</si>
  <si>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</si>
  <si>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</si>
  <si>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</si>
  <si>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</si>
  <si>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</si>
  <si>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</si>
  <si>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Panda Mart </t>
  </si>
  <si>
    <t xml:space="preserve">Address: Pak Arab </t>
  </si>
  <si>
    <t>Al Yousaf Super Store</t>
  </si>
  <si>
    <t>Roshan Store</t>
  </si>
  <si>
    <t>Bismillah Store</t>
  </si>
  <si>
    <t xml:space="preserve">Tayyab Bakery </t>
  </si>
  <si>
    <t>Awan Super Store</t>
  </si>
  <si>
    <t>Waleed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</si>
</sst>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Panda Mart </v>
      </c>
      <c r="T3" s="301">
        <f>+'1'!P35</f>
        <v>12544.846340338983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Yousaf Super Store</v>
      </c>
      <c r="T4" s="301">
        <f>+'2'!P35</f>
        <v>2352.1586888135594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Roshan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Bismillah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Tayyab Bakery </v>
      </c>
      <c r="T7" s="301">
        <f>+'5'!P35</f>
        <v>1568.1057925423731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Awan Super Store</v>
      </c>
      <c r="T8" s="301">
        <f>+'6'!P35</f>
        <v>1254.4846340338984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Waleed Super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99</v>
      </c>
      <c r="I10" s="236">
        <f t="shared" si="0"/>
        <v>7191.36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575.30880000000002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251.69760000000002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6364.3535999999995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1359.1525423728813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38.617530711864404</v>
      </c>
      <c r="P10" s="311">
        <f t="shared" si="2"/>
        <v>7762.123673084745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76</v>
      </c>
      <c r="I11" s="236">
        <f t="shared" si="0"/>
        <v>5520.64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441.65120000000002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193.22240000000002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4885.7664000000004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1043.3898305084747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29.645781152542376</v>
      </c>
      <c r="P11" s="311">
        <f t="shared" si="2"/>
        <v>5958.8020116610178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131</v>
      </c>
      <c r="I12" s="236">
        <f t="shared" si="0"/>
        <v>9515.84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761.26720000000012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333.05440000000004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8421.5184000000008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1798.4745762711866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51.099964881355938</v>
      </c>
      <c r="P12" s="311">
        <f t="shared" si="2"/>
        <v>10271.092941152543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7.65</v>
      </c>
      <c r="H16" s="113">
        <f t="shared" ref="H16:M16" si="3">SUM(H7:H15)</f>
        <v>306</v>
      </c>
      <c r="I16" s="114">
        <f t="shared" si="3"/>
        <v>22227.84</v>
      </c>
      <c r="J16" s="274">
        <f>SUM(J7:J15)</f>
        <v>1778.2272000000003</v>
      </c>
      <c r="K16" s="275">
        <f t="shared" si="3"/>
        <v>777.97440000000006</v>
      </c>
      <c r="L16" s="276">
        <f t="shared" si="3"/>
        <v>0</v>
      </c>
      <c r="M16" s="232">
        <f t="shared" si="3"/>
        <v>19671.6384</v>
      </c>
      <c r="N16" s="233">
        <f>SUM(N7:N15)</f>
        <v>4201.0169491525421</v>
      </c>
      <c r="O16" s="101">
        <f>SUM(O7:O15)</f>
        <v>119.3632767457627</v>
      </c>
      <c r="P16" s="113">
        <f>SUM(P7:P15)</f>
        <v>23992.018625898305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22227.84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1778.2272000000003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777.97440000000006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19671.6384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4201.0169491525421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23872.655349152541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119.3632767457627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23992.018625898305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23992.018625898309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11622.4</v>
      </c>
      <c r="J25" s="274">
        <f>SUM(J16:J24)</f>
        <v>929.79200000000003</v>
      </c>
      <c r="K25" s="275">
        <f t="shared" si="10"/>
        <v>406.78400000000005</v>
      </c>
      <c r="L25" s="276">
        <f t="shared" si="10"/>
        <v>0</v>
      </c>
      <c r="M25" s="232">
        <f t="shared" si="10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1568.1057925423731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</v>
      </c>
      <c r="I25" s="114">
        <f t="shared" si="7"/>
        <v>1162.24</v>
      </c>
      <c r="J25" s="274">
        <f>SUM(J16:J24)</f>
        <v>92.979200000000006</v>
      </c>
      <c r="K25" s="275">
        <f t="shared" si="7"/>
        <v>40.678400000000003</v>
      </c>
      <c r="L25" s="276">
        <f t="shared" si="7"/>
        <v>0</v>
      </c>
      <c r="M25" s="232">
        <f t="shared" si="7"/>
        <v>1028.5824</v>
      </c>
      <c r="N25" s="233">
        <f>SUM(N16:N24)</f>
        <v>219.66101694915255</v>
      </c>
      <c r="O25" s="101">
        <f>SUM(O16:O24)</f>
        <v>6.2412170847457631</v>
      </c>
      <c r="P25" s="234">
        <f>SUM(P16:P24)</f>
        <v>1254.4846340338984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1162.24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92.979200000000006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40.678400000000003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1028.5824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219.66101694915255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1248.2434169491526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6.2412170847457631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1254.4846340338984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3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2026-09-17T04:59:28Z</dcterms:modified>
</cp:coreProperties>
</file>