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E0E6B7-005F-4A3F-84C9-19367DB90CF1}" xr6:coauthVersionLast="47" xr6:coauthVersionMax="47" xr10:uidLastSave="{00000000-0000-0000-0000-000000000000}"/>
  <bookViews>
    <workbookView xWindow="-110" yWindow="-110" windowWidth="19420" windowHeight="10420" tabRatio="948" firstSheet="3" activeTab="12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2" i="43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<sst xmlns="http://schemas.openxmlformats.org/spreadsheetml/2006/main" count="3948" uniqueCount="524">
  <si>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</si>
  <si>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</si>
  <si>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</si>
  <si>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</si>
  <si>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</si>
  <si>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</si>
  <si>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</si>
  <si>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</si>
  <si>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</si>
  <si>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</si>
  <si>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</si>
  <si>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</si>
  <si>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</si>
  <si>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</si>
  <si>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</si>
  <si>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</si>
  <si>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</si>
  <si>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</si>
  <si>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</si>
  <si>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</si>
  <si>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</si>
  <si>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</si>
  <si>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</si>
  <si>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</si>
  <si>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</si>
  <si>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</si>
  <si>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</si>
  <si>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</si>
  <si>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</si>
  <si>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</si>
  <si>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</si>
  <si>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</si>
  <si>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</si>
  <si>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</si>
  <si>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</si>
  <si>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</si>
  <si>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</si>
  <si>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</si>
  <si>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</si>
  <si>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</si>
  <si>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</si>
  <si>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</si>
  <si>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</si>
  <si>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</si>
  <si>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</si>
  <si>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</si>
  <si>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</si>
  <si>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</si>
  <si>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</si>
  <si>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</si>
  <si>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</si>
  <si>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</si>
  <si>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</si>
  <si>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</si>
  <si>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</si>
  <si>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</si>
  <si>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</si>
  <si>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</si>
  <si>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</si>
  <si>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</si>
  <si>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</si>
  <si>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</si>
  <si>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</si>
  <si>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</si>
  <si>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</si>
  <si>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</si>
  <si>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</si>
  <si>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</si>
  <si>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</si>
  <si>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</si>
  <si>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</si>
  <si>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</si>
  <si>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</si>
  <si>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</si>
  <si>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</si>
  <si>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</si>
  <si>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</si>
  <si>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</si>
  <si>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</si>
  <si>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</si>
  <si>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</si>
  <si>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</si>
  <si>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</si>
  <si>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</si>
  <si>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</si>
  <si>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</si>
  <si>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</si>
  <si>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</si>
  <si>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</si>
  <si>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</si>
  <si>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</si>
  <si>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</si>
  <si>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</si>
  <si>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</si>
  <si>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</si>
  <si>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</si>
  <si>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</si>
  <si>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</si>
  <si>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</si>
  <si>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</si>
  <si>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</si>
  <si>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</si>
  <si>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</si>
  <si>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</si>
  <si>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</si>
  <si>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</si>
  <si>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</si>
  <si>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</si>
  <si>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</si>
  <si>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</si>
  <si>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</si>
  <si>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</si>
  <si>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</si>
  <si>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</si>
  <si>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</si>
  <si>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</si>
  <si>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</si>
  <si>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</si>
  <si>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</si>
  <si>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</si>
  <si>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</si>
  <si>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</si>
  <si>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</si>
  <si>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</si>
  <si>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</si>
  <si>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</si>
  <si>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</si>
  <si>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</si>
  <si>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</si>
  <si>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</si>
  <si>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</si>
  <si>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</si>
  <si>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</si>
  <si>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</si>
  <si>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</si>
  <si>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</si>
  <si>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</si>
  <si>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</si>
  <si>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</si>
  <si>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</si>
  <si>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</si>
  <si>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</si>
  <si>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</si>
  <si>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</si>
  <si>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</si>
  <si>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</si>
  <si>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</si>
  <si>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</si>
  <si>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</si>
  <si>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</si>
  <si>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</si>
  <si>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</si>
  <si>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</si>
  <si>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</si>
  <si>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</si>
  <si>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</si>
  <si>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</si>
  <si>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</si>
  <si>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</si>
  <si>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</si>
  <si>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</si>
  <si>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</si>
  <si>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</si>
  <si>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</si>
  <si>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</si>
  <si>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</si>
  <si>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</si>
  <si>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</si>
  <si>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</si>
  <si>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</si>
  <si>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</si>
  <si>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</si>
  <si>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</si>
  <si>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</si>
  <si>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</si>
  <si>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</si>
  <si>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</si>
  <si>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</si>
  <si>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</si>
  <si>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</si>
  <si>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</si>
  <si>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</si>
  <si>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</si>
  <si>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</si>
  <si>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</si>
  <si>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</si>
  <si>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</si>
  <si>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</si>
  <si>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</si>
  <si>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</si>
  <si>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</si>
  <si>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</si>
  <si>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</si>
  <si>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</si>
  <si>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</si>
  <si>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</si>
  <si>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</si>
  <si>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</si>
  <si>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</si>
  <si>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</si>
  <si>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</si>
  <si>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</si>
  <si>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</si>
  <si>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</si>
  <si>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</si>
  <si>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</si>
  <si>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</si>
  <si>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</si>
  <si>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</si>
  <si>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</si>
  <si>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</si>
  <si>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</si>
  <si>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</si>
  <si>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</si>
  <si>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</si>
  <si>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</si>
  <si>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</si>
  <si>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</si>
  <si>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</si>
  <si>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</si>
  <si>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</si>
  <si>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</si>
  <si>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</si>
  <si>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</si>
  <si>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</si>
  <si>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</si>
  <si>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</si>
  <si>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</si>
  <si>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</si>
  <si>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</si>
  <si>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</si>
  <si>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</si>
  <si>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</si>
  <si>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</si>
  <si>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</si>
  <si>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</si>
  <si>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</si>
  <si>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</si>
  <si>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</si>
  <si>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</si>
  <si>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</si>
  <si>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</si>
  <si>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</si>
  <si>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</si>
  <si>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</si>
  <si>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</si>
  <si>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</si>
  <si>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</si>
  <si>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</si>
  <si>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</si>
  <si>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</si>
  <si>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</si>
  <si>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</si>
  <si>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</si>
  <si>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</si>
  <si>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</si>
  <si>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</si>
  <si>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</si>
  <si>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</si>
  <si>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</si>
  <si>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</si>
  <si>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</si>
  <si>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</si>
  <si>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</si>
  <si>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</si>
  <si>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</si>
  <si>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</si>
  <si>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</si>
  <si>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</si>
  <si>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</si>
  <si>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</si>
  <si>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</si>
  <si>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</si>
  <si>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</si>
  <si>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</si>
  <si>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</si>
  <si>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</si>
  <si>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</si>
  <si>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</si>
  <si>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</si>
  <si>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</si>
  <si>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</si>
  <si>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</si>
  <si>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</si>
  <si>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</si>
  <si>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</si>
  <si>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</si>
  <si>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</si>
  <si>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</si>
  <si>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</si>
  <si>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</si>
  <si>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</si>
  <si>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</si>
  <si>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</si>
  <si>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</si>
  <si>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</si>
  <si>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</si>
  <si>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</si>
  <si>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</si>
  <si>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</si>
  <si>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</si>
  <si>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</si>
  <si>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</si>
  <si>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</si>
  <si>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</si>
  <si>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</si>
  <si>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</si>
  <si>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</si>
  <si>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</si>
  <si>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</si>
  <si>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</si>
  <si>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</si>
  <si>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</si>
  <si>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</si>
  <si>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</si>
  <si>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</si>
  <si>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</si>
  <si>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</si>
  <si>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</si>
  <si>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</si>
  <si>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</si>
  <si>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</si>
  <si>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</si>
  <si>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</si>
  <si>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</si>
  <si>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</si>
  <si>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</si>
  <si>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</si>
  <si>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</si>
  <si>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</si>
  <si>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</si>
  <si>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</si>
  <si>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</si>
  <si>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</si>
  <si>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</si>
  <si>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</si>
  <si>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</si>
  <si>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</si>
  <si>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</si>
  <si>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</si>
  <si>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</si>
  <si>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</si>
  <si>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</si>
  <si>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</si>
  <si>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</si>
  <si>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</si>
  <si>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</si>
  <si>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</si>
  <si>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</si>
  <si>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</si>
  <si>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</si>
  <si>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</si>
  <si>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</si>
  <si>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</si>
  <si>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</si>
  <si>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</si>
  <si>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</si>
  <si>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</si>
  <si>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</si>
  <si>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</si>
  <si>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</si>
  <si>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</si>
  <si>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</si>
  <si>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</si>
  <si>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</si>
  <si>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</si>
  <si>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</si>
  <si>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</si>
  <si>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</si>
  <si>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</si>
  <si>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</si>
  <si>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</si>
  <si>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</si>
  <si>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</si>
  <si>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</si>
  <si>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</si>
  <si>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</si>
  <si>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</si>
  <si>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</si>
  <si>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</si>
  <si>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</si>
  <si>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</si>
  <si>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</si>
  <si>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</si>
  <si>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</si>
  <si>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</si>
  <si>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</si>
  <si>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</si>
  <si>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</si>
  <si>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</si>
  <si>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</si>
  <si>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</si>
  <si>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</si>
  <si>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</si>
  <si>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</si>
  <si>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</si>
  <si>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</si>
  <si>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</si>
  <si>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</si>
  <si>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</si>
  <si>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</si>
  <si>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</si>
  <si>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</si>
  <si>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</si>
  <si>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</si>
  <si>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</si>
  <si>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</si>
  <si>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</si>
  <si>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</si>
  <si>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</si>
  <si>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</si>
  <si>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</si>
  <si>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</si>
  <si>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</si>
  <si>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</si>
  <si>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</si>
  <si>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</si>
  <si>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</si>
  <si>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</si>
  <si>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</si>
  <si>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</si>
  <si>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</si>
  <si>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</si>
  <si>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</si>
  <si>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</si>
  <si>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</si>
  <si>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</si>
  <si>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</si>
  <si>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</si>
  <si>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</si>
  <si>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</si>
  <si>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</si>
  <si>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</si>
  <si>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</si>
  <si>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</si>
  <si>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</si>
  <si>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</si>
  <si>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</si>
  <si>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</si>
  <si>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</si>
  <si>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</si>
  <si>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</si>
  <si>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</si>
  <si>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</si>
  <si>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</si>
  <si>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</si>
  <si>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</si>
  <si>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</si>
  <si>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</si>
  <si>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</si>
  <si>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</si>
  <si>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</si>
  <si>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</si>
  <si>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</si>
  <si>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</si>
  <si>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</si>
  <si>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</si>
  <si>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</si>
  <si>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</si>
  <si>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</si>
  <si>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</si>
  <si>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</si>
  <si>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</si>
  <si>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</si>
  <si>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</si>
  <si>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</si>
  <si>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</si>
  <si>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</si>
  <si>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</si>
  <si>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</si>
  <si>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</si>
  <si>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</si>
  <si>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</si>
  <si>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</si>
  <si>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</si>
  <si>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</si>
  <si>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</si>
  <si>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</si>
  <si>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</si>
  <si>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</si>
  <si>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</si>
  <si>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</si>
  <si>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</si>
  <si>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</si>
  <si>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</si>
  <si>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</si>
  <si>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</si>
  <si>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</si>
  <si>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</si>
  <si>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</si>
  <si>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</si>
  <si>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</si>
  <si>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</si>
  <si>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</si>
  <si>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</si>
  <si>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</si>
  <si>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</si>
  <si>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</si>
  <si>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</si>
  <si>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</si>
  <si>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</si>
  <si>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</si>
  <si>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</si>
  <si>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</si>
  <si>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</si>
  <si>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</si>
  <si>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</si>
  <si>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</si>
  <si>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</si>
  <si>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</si>
  <si>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</si>
  <si>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</si>
  <si>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</si>
  <si>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</si>
  <si>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Workshop Bazar Walton</t>
  </si>
  <si>
    <t>Khan Yousaf Zai Store</t>
  </si>
  <si>
    <t>Rana Anas Store</t>
  </si>
  <si>
    <t xml:space="preserve">Noor Traders </t>
  </si>
  <si>
    <t>Tariq Mithu Store</t>
  </si>
  <si>
    <t>Ahmad Store</t>
  </si>
  <si>
    <t>Khawaja GS</t>
  </si>
  <si>
    <t>Address: Main Market Gullberg</t>
  </si>
  <si>
    <t xml:space="preserve">Walton Pharmacy </t>
  </si>
  <si>
    <t xml:space="preserve">Down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</si>
</sst>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T10" sqref="T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Khan Yousaf Zai Store</v>
      </c>
      <c r="T3" s="301">
        <f>+'1'!P35</f>
        <v>1441.6168495728814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Rana Anas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Noor Traders </v>
      </c>
      <c r="T5" s="301">
        <f>+'3'!P35</f>
        <v>2830.9694355610172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Tariq Mithu Store</v>
      </c>
      <c r="T6" s="301">
        <f>+'4'!P35</f>
        <v>3338.355826983051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</v>
      </c>
      <c r="I7" s="235">
        <f>(G7*D7)*F7+H7*F7</f>
        <v>209.85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16.788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7.3447500000000003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185.71724999999998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39.661016949152526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1.1268913347457625</v>
      </c>
      <c r="P7" s="310">
        <f>M7+N7+O7</f>
        <v>226.50515828389825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Ahmad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67.152000000000001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742.86899999999991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4.5075653389830501</v>
      </c>
      <c r="P8" s="311">
        <f t="shared" ref="P8:P15" si="2">M8+N8+O8</f>
        <v>906.02063313559302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3">
        <v>6</v>
      </c>
      <c r="S8" s="300" t="str">
        <f>+'6'!A6:A6</f>
        <v>Khawaja GS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</v>
      </c>
      <c r="I9" s="236">
        <f t="shared" si="0"/>
        <v>839.4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67.152000000000001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29.379000000000001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742.86899999999991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158.6440677966101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4.5075653389830501</v>
      </c>
      <c r="P9" s="311">
        <f t="shared" si="2"/>
        <v>906.02063313559302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 xml:space="preserve">Walton Pharmacy </v>
      </c>
      <c r="T9" s="301">
        <f>+'7'!P35</f>
        <v>888.16271403813562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</v>
      </c>
      <c r="R10" s="313">
        <v>8</v>
      </c>
      <c r="S10" s="300" t="str">
        <f>+'8'!A6:A6</f>
        <v xml:space="preserve">Down Bakers </v>
      </c>
      <c r="T10" s="301">
        <f>+'8'!P35</f>
        <v>500.75337404745761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</v>
      </c>
      <c r="I12" s="236">
        <f t="shared" si="0"/>
        <v>1307.52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104.60160000000002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45.763200000000005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1157.1551999999999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247.11864406779662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7.0213692203389835</v>
      </c>
      <c r="P12" s="311">
        <f t="shared" si="2"/>
        <v>1411.2952132881355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145</v>
      </c>
      <c r="I13" s="236">
        <f t="shared" si="0"/>
        <v>5688.35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284.41750000000008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199.09225000000009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290.10585000000003</v>
      </c>
      <c r="M13" s="230">
        <f t="shared" si="1"/>
        <v>4914.7344000000003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1105.9322033898297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30.103333016949154</v>
      </c>
      <c r="P13" s="311">
        <f t="shared" si="2"/>
        <v>6050.7699364067794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60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4.9749999999999996</v>
      </c>
      <c r="H16" s="113">
        <f t="shared" ref="H16:M16" si="3">SUM(H7:H15)</f>
        <v>199</v>
      </c>
      <c r="I16" s="114">
        <f t="shared" si="3"/>
        <v>8884.52</v>
      </c>
      <c r="J16" s="274">
        <f>SUM(J7:J15)</f>
        <v>540.11110000000008</v>
      </c>
      <c r="K16" s="275">
        <f t="shared" si="3"/>
        <v>310.95820000000009</v>
      </c>
      <c r="L16" s="276">
        <f t="shared" si="3"/>
        <v>290.10585000000003</v>
      </c>
      <c r="M16" s="232">
        <f t="shared" si="3"/>
        <v>7743.3448499999995</v>
      </c>
      <c r="N16" s="233">
        <f>SUM(N7:N15)</f>
        <v>1709.9999999999991</v>
      </c>
      <c r="O16" s="101">
        <f>SUM(O7:O15)</f>
        <v>47.266724249999996</v>
      </c>
      <c r="P16" s="113">
        <f>SUM(P7:P15)</f>
        <v>9500.6115742499987</v>
      </c>
      <c r="Q16" s="128">
        <f>SUM(Q7:Q15)</f>
        <v>143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8884.52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540.11110000000008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601.06405000000018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7743.3448500000004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1709.9999999999991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9453.3448499999995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47.266724249999996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9500.6115742499987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9500.6115742500006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1342.44</v>
      </c>
      <c r="J25" s="274">
        <f>SUM(J16:J24)</f>
        <v>93.272400000000005</v>
      </c>
      <c r="K25" s="275">
        <f t="shared" si="10"/>
        <v>46.985400000000013</v>
      </c>
      <c r="L25" s="276">
        <f t="shared" si="10"/>
        <v>24.008760000000002</v>
      </c>
      <c r="M25" s="232">
        <f t="shared" si="10"/>
        <v>1178.17344</v>
      </c>
      <c r="N25" s="233">
        <f>SUM(N16:N24)</f>
        <v>256.27118644067792</v>
      </c>
      <c r="O25" s="101">
        <f>SUM(O16:O24)</f>
        <v>7.1722231322033903</v>
      </c>
      <c r="P25" s="234">
        <f>SUM(P16:P24)</f>
        <v>1441.6168495728814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1342.44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93.272400000000005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70.994160000000022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1178.17344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1434.4446264406779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7.1722231322033894</v>
      </c>
    </row>
    <row r="35" spans="2:16" ht="15.75" customHeight="1" thickBot="1" x14ac:dyDescent="0.4">
      <c r="N35" s="374" t="s">
        <v>88</v>
      </c>
      <c r="O35" s="375"/>
      <c r="P35" s="297">
        <f>+P33+P34</f>
        <v>1441.6168495728814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G18" sqref="G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54</v>
      </c>
      <c r="I25" s="114">
        <f t="shared" si="7"/>
        <v>2636.46</v>
      </c>
      <c r="J25" s="274">
        <f>SUM(J16:J24)</f>
        <v>182.6712</v>
      </c>
      <c r="K25" s="275">
        <f t="shared" si="7"/>
        <v>92.276100000000014</v>
      </c>
      <c r="L25" s="276">
        <f t="shared" si="7"/>
        <v>48.017520000000005</v>
      </c>
      <c r="M25" s="232">
        <f t="shared" si="7"/>
        <v>2313.4951799999999</v>
      </c>
      <c r="N25" s="233">
        <f>SUM(N16:N24)</f>
        <v>503.38983050847435</v>
      </c>
      <c r="O25" s="101">
        <f>SUM(O16:O24)</f>
        <v>14.084425052542372</v>
      </c>
      <c r="P25" s="234">
        <f>SUM(P16:P24)</f>
        <v>2830.9694355610168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2636.46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182.6712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140.29362000000003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2313.4951800000003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503.38983050847435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2816.8850105084748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14.084425052542374</v>
      </c>
    </row>
    <row r="35" spans="2:16" ht="15.75" customHeight="1" thickBot="1" x14ac:dyDescent="0.4">
      <c r="N35" s="374" t="s">
        <v>88</v>
      </c>
      <c r="O35" s="375"/>
      <c r="P35" s="297">
        <f>+P33+P34</f>
        <v>2830.9694355610172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3138.4000000000005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156.92000000000004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269.90240000000006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2711.5776000000005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3321.7470915254239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4" t="s">
        <v>88</v>
      </c>
      <c r="O35" s="375"/>
      <c r="P35" s="297">
        <f>+P33+P34</f>
        <v>3338.355826983051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F12" sqref="F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17</v>
      </c>
      <c r="I25" s="114">
        <f t="shared" si="7"/>
        <v>825.7</v>
      </c>
      <c r="J25" s="274">
        <f>SUM(J16:J24)</f>
        <v>60.171500000000009</v>
      </c>
      <c r="K25" s="275">
        <f t="shared" si="7"/>
        <v>28.899500000000003</v>
      </c>
      <c r="L25" s="276">
        <f t="shared" si="7"/>
        <v>10.00365</v>
      </c>
      <c r="M25" s="232">
        <f t="shared" si="7"/>
        <v>726.62535000000003</v>
      </c>
      <c r="N25" s="233">
        <f>SUM(N16:N24)</f>
        <v>157.11864406779654</v>
      </c>
      <c r="O25" s="101">
        <f>SUM(O16:O24)</f>
        <v>4.4187199703389828</v>
      </c>
      <c r="P25" s="234">
        <f>SUM(P16:P24)</f>
        <v>888.16271403813539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825.7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60.171500000000009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38.903150000000004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726.62535000000003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157.11864406779654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883.74399406779662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4.4187199703389828</v>
      </c>
    </row>
    <row r="35" spans="2:16" ht="15.75" customHeight="1" thickBot="1" x14ac:dyDescent="0.4">
      <c r="N35" s="374" t="s">
        <v>88</v>
      </c>
      <c r="O35" s="375"/>
      <c r="P35" s="297">
        <f>+P33+P34</f>
        <v>888.16271403813562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2026-09-30T07:41:32Z</dcterms:modified>
</cp:coreProperties>
</file>