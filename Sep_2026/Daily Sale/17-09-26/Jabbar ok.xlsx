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D6567E9F-1080-4977-9F3F-9F6D5D86E255}" xr6:coauthVersionLast="47" xr6:coauthVersionMax="47" xr10:uidLastSave="{00000000-0000-0000-0000-000000000000}"/>
  <bookViews>
    <workbookView xWindow="-110" yWindow="-110" windowWidth="19420" windowHeight="10420" tabRatio="94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F22" i="47" l="1"/>
  <c r="N6" i="43"/>
  <c r="N6" i="44"/>
  <c r="N6" i="45"/>
  <c r="N6" i="46"/>
  <c r="N6" i="47"/>
  <c r="N6" i="48"/>
  <c r="N6" i="49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N4" i="11" l="1"/>
  <c r="N4" i="47" s="1"/>
  <c r="N5" i="47" s="1"/>
  <c r="N4" i="60"/>
  <c r="N4" i="65"/>
  <c r="N5" i="65" s="1"/>
  <c r="N4" i="69"/>
  <c r="N5" i="69" s="1"/>
  <c r="N4" i="55"/>
  <c r="N4" i="68"/>
  <c r="N5" i="68" s="1"/>
  <c r="N4" i="45"/>
  <c r="N4" i="53"/>
  <c r="N4" i="57"/>
  <c r="N4" i="61"/>
  <c r="N4" i="70"/>
  <c r="N4" i="46"/>
  <c r="N4" i="50"/>
  <c r="N4" i="58"/>
  <c r="N4" i="63"/>
  <c r="N4" i="67"/>
  <c r="N5" i="67" s="1"/>
  <c r="N4" i="51"/>
  <c r="N4" i="59"/>
  <c r="N4" i="64"/>
  <c r="N5" i="64" s="1"/>
  <c r="Q16" i="62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52" l="1"/>
  <c r="N4" i="44"/>
  <c r="N4" i="72"/>
  <c r="N5" i="72" s="1"/>
  <c r="N4" i="71"/>
  <c r="N5" i="71" s="1"/>
  <c r="N4" i="54"/>
  <c r="N4" i="66"/>
  <c r="N5" i="66" s="1"/>
  <c r="N4" i="49"/>
  <c r="N5" i="49" s="1"/>
  <c r="N4" i="43"/>
  <c r="N5" i="43" s="1"/>
  <c r="N4" i="56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1" i="51" l="1"/>
  <c r="K12" i="62"/>
  <c r="M16" i="44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<sst xmlns="http://schemas.openxmlformats.org/spreadsheetml/2006/main" count="3948" uniqueCount="534">
  <si>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</si>
  <si>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</si>
  <si>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</si>
  <si>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</si>
  <si>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</si>
  <si>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</si>
  <si>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</si>
  <si>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</si>
  <si>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</si>
  <si>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</si>
  <si>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</si>
  <si>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</si>
  <si>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</si>
  <si>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</si>
  <si>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</si>
  <si>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</si>
  <si>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</si>
  <si>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</si>
  <si>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</si>
  <si>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</si>
  <si>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</si>
  <si>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</si>
  <si>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</si>
  <si>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</si>
  <si>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</si>
  <si>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</si>
  <si>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</si>
  <si>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</si>
  <si>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</si>
  <si>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</si>
  <si>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</si>
  <si>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</si>
  <si>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</si>
  <si>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</si>
  <si>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</si>
  <si>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</si>
  <si>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</si>
  <si>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</si>
  <si>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</si>
  <si>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</si>
  <si>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</si>
  <si>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</si>
  <si>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</si>
  <si>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</si>
  <si>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</si>
  <si>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</si>
  <si>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</si>
  <si>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</si>
  <si>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</si>
  <si>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</si>
  <si>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</si>
  <si>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</si>
  <si>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</si>
  <si>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</si>
  <si>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</si>
  <si>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</si>
  <si>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</si>
  <si>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</si>
  <si>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</si>
  <si>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</si>
  <si>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</si>
  <si>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</si>
  <si>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</si>
  <si>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</si>
  <si>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</si>
  <si>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</si>
  <si>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</si>
  <si>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</si>
  <si>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</si>
  <si>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</si>
  <si>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</si>
  <si>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</si>
  <si>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</si>
  <si>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</si>
  <si>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</si>
  <si>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</si>
  <si>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</si>
  <si>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</si>
  <si>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</si>
  <si>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</si>
  <si>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</si>
  <si>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</si>
  <si>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</si>
  <si>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</si>
  <si>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</si>
  <si>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</si>
  <si>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</si>
  <si>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</si>
  <si>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</si>
  <si>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</si>
  <si>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</si>
  <si>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</si>
  <si>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</si>
  <si>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</si>
  <si>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</si>
  <si>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</si>
  <si>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</si>
  <si>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</si>
  <si>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</si>
  <si>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</si>
  <si>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</si>
  <si>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</si>
  <si>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</si>
  <si>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</si>
  <si>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</si>
  <si>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</si>
  <si>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</si>
  <si>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</si>
  <si>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</si>
  <si>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</si>
  <si>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</si>
  <si>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</si>
  <si>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</si>
  <si>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</si>
  <si>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</si>
  <si>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</si>
  <si>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</si>
  <si>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</si>
  <si>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</si>
  <si>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</si>
  <si>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</si>
  <si>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</si>
  <si>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</si>
  <si>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</si>
  <si>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</si>
  <si>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</si>
  <si>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</si>
  <si>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</si>
  <si>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</si>
  <si>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</si>
  <si>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</si>
  <si>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</si>
  <si>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</si>
  <si>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</si>
  <si>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</si>
  <si>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</si>
  <si>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</si>
  <si>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</si>
  <si>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</si>
  <si>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</si>
  <si>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</si>
  <si>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</si>
  <si>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</si>
  <si>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</si>
  <si>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</si>
  <si>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</si>
  <si>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</si>
  <si>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</si>
  <si>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</si>
  <si>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</si>
  <si>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</si>
  <si>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</si>
  <si>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</si>
  <si>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</si>
  <si>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</si>
  <si>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</si>
  <si>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</si>
  <si>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</si>
  <si>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</si>
  <si>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</si>
  <si>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</si>
  <si>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</si>
  <si>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</si>
  <si>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</si>
  <si>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</si>
  <si>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</si>
  <si>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</si>
  <si>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</si>
  <si>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</si>
  <si>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</si>
  <si>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</si>
  <si>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</si>
  <si>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</si>
  <si>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</si>
  <si>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</si>
  <si>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</si>
  <si>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</si>
  <si>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</si>
  <si>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</si>
  <si>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</si>
  <si>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</si>
  <si>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</si>
  <si>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</si>
  <si>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</si>
  <si>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</si>
  <si>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</si>
  <si>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</si>
  <si>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</si>
  <si>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</si>
  <si>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</si>
  <si>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</si>
  <si>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</si>
  <si>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</si>
  <si>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</si>
  <si>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</si>
  <si>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</si>
  <si>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</si>
  <si>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</si>
  <si>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</si>
  <si>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</si>
  <si>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</si>
  <si>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</si>
  <si>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</si>
  <si>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</si>
  <si>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</si>
  <si>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</si>
  <si>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</si>
  <si>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</si>
  <si>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</si>
  <si>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</si>
  <si>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</si>
  <si>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</si>
  <si>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</si>
  <si>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</si>
  <si>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</si>
  <si>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</si>
  <si>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</si>
  <si>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</si>
  <si>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</si>
  <si>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</si>
  <si>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</si>
  <si>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</si>
  <si>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</si>
  <si>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</si>
  <si>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</si>
  <si>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</si>
  <si>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</si>
  <si>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</si>
  <si>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</si>
  <si>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</si>
  <si>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</si>
  <si>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</si>
  <si>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</si>
  <si>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</si>
  <si>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</si>
  <si>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</si>
  <si>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</si>
  <si>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</si>
  <si>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</si>
  <si>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</si>
  <si>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</si>
  <si>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</si>
  <si>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</si>
  <si>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</si>
  <si>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</si>
  <si>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</si>
  <si>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</si>
  <si>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</si>
  <si>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</si>
  <si>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</si>
  <si>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</si>
  <si>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</si>
  <si>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</si>
  <si>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</si>
  <si>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</si>
  <si>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</si>
  <si>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</si>
  <si>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</si>
  <si>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</si>
  <si>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</si>
  <si>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</si>
  <si>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</si>
  <si>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</si>
  <si>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</si>
  <si>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</si>
  <si>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</si>
  <si>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</si>
  <si>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</si>
  <si>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</si>
  <si>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</si>
  <si>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</si>
  <si>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</si>
  <si>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</si>
  <si>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</si>
  <si>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</si>
  <si>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</si>
  <si>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</si>
  <si>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</si>
  <si>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</si>
  <si>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</si>
  <si>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</si>
  <si>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</si>
  <si>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</si>
  <si>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</si>
  <si>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</si>
  <si>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</si>
  <si>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</si>
  <si>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</si>
  <si>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</si>
  <si>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</si>
  <si>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</si>
  <si>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</si>
  <si>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</si>
  <si>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</si>
  <si>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</si>
  <si>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</si>
  <si>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</si>
  <si>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</si>
  <si>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</si>
  <si>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</si>
  <si>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</si>
  <si>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</si>
  <si>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</si>
  <si>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</si>
  <si>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</si>
  <si>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</si>
  <si>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</si>
  <si>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</si>
  <si>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</si>
  <si>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</si>
  <si>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</si>
  <si>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</si>
  <si>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</si>
  <si>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</si>
  <si>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</si>
  <si>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</si>
  <si>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</si>
  <si>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</si>
  <si>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</si>
  <si>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</si>
  <si>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</si>
  <si>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</si>
  <si>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</si>
  <si>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</si>
  <si>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</si>
  <si>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</si>
  <si>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</si>
  <si>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</si>
  <si>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</si>
  <si>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</si>
  <si>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</si>
  <si>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</si>
  <si>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</si>
  <si>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</si>
  <si>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</si>
  <si>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</si>
  <si>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</si>
  <si>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</si>
  <si>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</si>
  <si>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</si>
  <si>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</si>
  <si>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</si>
  <si>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</si>
  <si>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</si>
  <si>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</si>
  <si>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</si>
  <si>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</si>
  <si>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</si>
  <si>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</si>
  <si>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</si>
  <si>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</si>
  <si>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</si>
  <si>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</si>
  <si>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</si>
  <si>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</si>
  <si>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</si>
  <si>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</si>
  <si>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</si>
  <si>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</si>
  <si>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</si>
  <si>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</si>
  <si>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</si>
  <si>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</si>
  <si>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</si>
  <si>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</si>
  <si>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</si>
  <si>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</si>
  <si>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</si>
  <si>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</si>
  <si>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</si>
  <si>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</si>
  <si>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</si>
  <si>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</si>
  <si>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</si>
  <si>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</si>
  <si>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</si>
  <si>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</si>
  <si>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</si>
  <si>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</si>
  <si>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</si>
  <si>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</si>
  <si>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</si>
  <si>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</si>
  <si>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</si>
  <si>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</si>
  <si>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</si>
  <si>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</si>
  <si>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</si>
  <si>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</si>
  <si>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</si>
  <si>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</si>
  <si>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</si>
  <si>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</si>
  <si>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</si>
  <si>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</si>
  <si>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</si>
  <si>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</si>
  <si>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</si>
  <si>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</si>
  <si>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</si>
  <si>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</si>
  <si>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</si>
  <si>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</si>
  <si>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</si>
  <si>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</si>
  <si>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</si>
  <si>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</si>
  <si>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</si>
  <si>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</si>
  <si>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</si>
  <si>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</si>
  <si>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</si>
  <si>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</si>
  <si>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</si>
  <si>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</si>
  <si>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</si>
  <si>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</si>
  <si>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</si>
  <si>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</si>
  <si>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</si>
  <si>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</si>
  <si>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</si>
  <si>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</si>
  <si>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</si>
  <si>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</si>
  <si>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</si>
  <si>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</si>
  <si>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</si>
  <si>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</si>
  <si>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</si>
  <si>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</si>
  <si>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</si>
  <si>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</si>
  <si>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</si>
  <si>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</si>
  <si>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</si>
  <si>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</si>
  <si>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</si>
  <si>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</si>
  <si>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</si>
  <si>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</si>
  <si>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</si>
  <si>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</si>
  <si>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</si>
  <si>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</si>
  <si>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</si>
  <si>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</si>
  <si>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</si>
  <si>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</si>
  <si>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</si>
  <si>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</si>
  <si>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</si>
  <si>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</si>
  <si>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</si>
  <si>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</si>
  <si>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</si>
  <si>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</si>
  <si>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</si>
  <si>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</si>
  <si>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</si>
  <si>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</si>
  <si>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</si>
  <si>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</si>
  <si>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</si>
  <si>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</si>
  <si>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</si>
  <si>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</si>
  <si>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</si>
  <si>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</si>
  <si>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</si>
  <si>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</si>
  <si>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</si>
  <si>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</si>
  <si>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</si>
  <si>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</si>
  <si>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</si>
  <si>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</si>
  <si>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</si>
  <si>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</si>
  <si>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</si>
  <si>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</si>
  <si>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</si>
  <si>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</si>
  <si>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</si>
  <si>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</si>
  <si>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</si>
  <si>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</si>
  <si>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</si>
  <si>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</si>
  <si>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</si>
  <si>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</si>
  <si>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</si>
  <si>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</si>
  <si>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</si>
  <si>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</si>
  <si>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</si>
  <si>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</si>
  <si>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</si>
  <si>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</si>
  <si>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</si>
  <si>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</si>
  <si>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</si>
  <si>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</si>
  <si>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</si>
  <si>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</si>
  <si>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</si>
  <si>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</si>
  <si>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</si>
  <si>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</si>
  <si>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</si>
  <si>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</si>
  <si>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</si>
  <si>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</si>
  <si>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Jabbar</t>
  </si>
  <si>
    <t xml:space="preserve">Hashim Mart </t>
  </si>
  <si>
    <t>Address: GOR1</t>
  </si>
  <si>
    <t>Shehzad GS</t>
  </si>
  <si>
    <t xml:space="preserve">Address: Shadman </t>
  </si>
  <si>
    <t>Adnan Store</t>
  </si>
  <si>
    <t xml:space="preserve">Bilal Book Depot </t>
  </si>
  <si>
    <t xml:space="preserve">Address:  Shadman </t>
  </si>
  <si>
    <t>Imran Store</t>
  </si>
  <si>
    <t xml:space="preserve">Address: Kashmir Bakery </t>
  </si>
  <si>
    <t>Mashallah Statinary Store</t>
  </si>
  <si>
    <t xml:space="preserve">Address: Kashmir Bakery Wli Gali </t>
  </si>
  <si>
    <t xml:space="preserve">Shabeer Kite House </t>
  </si>
  <si>
    <t>Address: Fazlia Colony</t>
  </si>
  <si>
    <t>QF Store</t>
  </si>
  <si>
    <t>Muhamdi Store</t>
  </si>
  <si>
    <t>Address: Shah jamaal Colony</t>
  </si>
  <si>
    <t>Azan Store</t>
  </si>
  <si>
    <t xml:space="preserve">Address: Shah Jamaal </t>
  </si>
  <si>
    <t>Arham Store</t>
  </si>
  <si>
    <t xml:space="preserve">Address: Ichra Shoping Center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</si>
</sst>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A22" workbookViewId="0">
      <selection activeCell="E30" sqref="E3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513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46282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 xml:space="preserve">Hashim Mart </v>
      </c>
      <c r="T3" s="301">
        <f>+'1'!P35</f>
        <v>3323.3438006237293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Shehzad GS</v>
      </c>
      <c r="T4" s="301">
        <f>+'2'!P35</f>
        <v>1669.1779134915255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>Adnan Store</v>
      </c>
      <c r="T5" s="301">
        <f>+'3'!P35</f>
        <v>1681.0222229466103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 xml:space="preserve">Bilal Book Depot </v>
      </c>
      <c r="T6" s="301">
        <f>+'4'!P35</f>
        <v>4137.7183331796605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12</v>
      </c>
      <c r="I7" s="235">
        <f>(G7*D7)*F7+H7*F7</f>
        <v>629.54999999999995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50.363999999999997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22.03425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557.15174999999999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118.98305084745758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3.3806740042372878</v>
      </c>
      <c r="P7" s="310">
        <f>M7+N7+O7</f>
        <v>679.51547485169488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3">
        <v>5</v>
      </c>
      <c r="S7" s="300" t="str">
        <f>+'5'!A6:A6</f>
        <v>Imran Store</v>
      </c>
      <c r="T7" s="301">
        <f>+'5'!P35</f>
        <v>500.75337404745761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Mashallah Statinary Store</v>
      </c>
      <c r="T8" s="301">
        <f>+'6'!P35</f>
        <v>500.75337404745761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3">
        <v>7</v>
      </c>
      <c r="S9" s="300" t="str">
        <f>+'7'!A6:A6</f>
        <v xml:space="preserve">Shabeer Kite House </v>
      </c>
      <c r="T9" s="301">
        <f>+'7'!P35</f>
        <v>1669.1779134915255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55</v>
      </c>
      <c r="I10" s="236">
        <f t="shared" si="0"/>
        <v>3995.2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319.61599999999999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139.83200000000002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3535.752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755.08474576271192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21.454183728813561</v>
      </c>
      <c r="P10" s="311">
        <f t="shared" si="2"/>
        <v>4312.2909294915253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5</v>
      </c>
      <c r="R10" s="313">
        <v>8</v>
      </c>
      <c r="S10" s="300" t="str">
        <f>+'8'!A6:A6</f>
        <v>QF Store</v>
      </c>
      <c r="T10" s="301">
        <f>+'8'!P35</f>
        <v>3136.2115850847458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50</v>
      </c>
      <c r="I11" s="236">
        <f t="shared" si="0"/>
        <v>3632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290.56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127.12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3214.32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686.4406779661017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19.503803389830509</v>
      </c>
      <c r="P11" s="311">
        <f t="shared" si="2"/>
        <v>3920.2644813559323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5</v>
      </c>
      <c r="R11" s="313">
        <v>9</v>
      </c>
      <c r="S11" s="300" t="str">
        <f>+'9'!A6:A6</f>
        <v>Muhamdi Store</v>
      </c>
      <c r="T11" s="301">
        <f>+'9'!P35</f>
        <v>7941.6010836610158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91</v>
      </c>
      <c r="I12" s="236">
        <f t="shared" si="0"/>
        <v>6610.24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528.81920000000002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231.35840000000002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5850.0623999999998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1249.3220338983051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35.496922169491526</v>
      </c>
      <c r="P12" s="311">
        <f t="shared" si="2"/>
        <v>7134.8813560677972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30</v>
      </c>
      <c r="R12" s="313">
        <v>10</v>
      </c>
      <c r="S12" s="300" t="str">
        <f>+'10'!A6:A6</f>
        <v>Azan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244</v>
      </c>
      <c r="I13" s="236">
        <f t="shared" si="0"/>
        <v>9572.1200000000008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478.60600000000017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335.02420000000012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488.17811999999998</v>
      </c>
      <c r="M13" s="230">
        <f t="shared" si="1"/>
        <v>8270.3116800000007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1861.0169491525412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50.656643145762715</v>
      </c>
      <c r="P13" s="311">
        <f t="shared" si="2"/>
        <v>10181.985272298305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40</v>
      </c>
      <c r="R13" s="313">
        <v>11</v>
      </c>
      <c r="S13" s="300" t="str">
        <f>+'11'!A6:A6</f>
        <v>Arham Store</v>
      </c>
      <c r="T13" s="301">
        <f>+'11'!P35</f>
        <v>1669.1779134915255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11.3</v>
      </c>
      <c r="H16" s="113">
        <f t="shared" ref="H16:M16" si="3">SUM(H7:H15)</f>
        <v>452</v>
      </c>
      <c r="I16" s="114">
        <f t="shared" si="3"/>
        <v>24439.11</v>
      </c>
      <c r="J16" s="274">
        <f>SUM(J7:J15)</f>
        <v>1667.9652000000001</v>
      </c>
      <c r="K16" s="275">
        <f t="shared" si="3"/>
        <v>855.36885000000007</v>
      </c>
      <c r="L16" s="276">
        <f t="shared" si="3"/>
        <v>488.17811999999998</v>
      </c>
      <c r="M16" s="232">
        <f t="shared" si="3"/>
        <v>21427.597829999999</v>
      </c>
      <c r="N16" s="233">
        <f>SUM(N7:N15)</f>
        <v>4670.8474576271174</v>
      </c>
      <c r="O16" s="101">
        <f>SUM(O7:O15)</f>
        <v>130.49222643813562</v>
      </c>
      <c r="P16" s="113">
        <f>SUM(P7:P15)</f>
        <v>26228.937514065256</v>
      </c>
      <c r="Q16" s="128">
        <f>SUM(Q7:Q15)</f>
        <v>80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24439.11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1667.9652000000001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1343.5469700000001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21427.597830000002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4670.8474576271174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26098.445287627121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130.49222643813562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26228.937514065256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26228.937514065256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0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7.2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12</v>
      </c>
      <c r="I19" s="236">
        <f t="shared" si="7"/>
        <v>871.68000000000006</v>
      </c>
      <c r="J19" s="272">
        <f t="shared" si="1"/>
        <v>69.734400000000008</v>
      </c>
      <c r="K19" s="128">
        <f t="shared" si="1"/>
        <v>30.508800000000004</v>
      </c>
      <c r="L19" s="119">
        <f t="shared" si="1"/>
        <v>0</v>
      </c>
      <c r="M19" s="230">
        <f t="shared" si="2"/>
        <v>771.43680000000006</v>
      </c>
      <c r="N19" s="277">
        <f t="shared" si="3"/>
        <v>164.74576271186442</v>
      </c>
      <c r="O19" s="239">
        <f t="shared" si="4"/>
        <v>4.6809128135593223</v>
      </c>
      <c r="P19" s="119">
        <f t="shared" si="5"/>
        <v>940.86347552542372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12</v>
      </c>
      <c r="I20" s="236">
        <f t="shared" si="7"/>
        <v>871.68000000000006</v>
      </c>
      <c r="J20" s="272">
        <f t="shared" si="1"/>
        <v>69.734400000000008</v>
      </c>
      <c r="K20" s="128">
        <f t="shared" si="1"/>
        <v>30.508800000000004</v>
      </c>
      <c r="L20" s="119">
        <f t="shared" si="1"/>
        <v>0</v>
      </c>
      <c r="M20" s="230">
        <f t="shared" si="2"/>
        <v>771.43680000000006</v>
      </c>
      <c r="N20" s="277">
        <f t="shared" si="3"/>
        <v>164.74576271186442</v>
      </c>
      <c r="O20" s="239">
        <f t="shared" si="4"/>
        <v>4.6809128135593223</v>
      </c>
      <c r="P20" s="119">
        <f t="shared" si="5"/>
        <v>940.86347552542372</v>
      </c>
      <c r="Q20" s="319"/>
      <c r="R20">
        <f>P20/21</f>
        <v>44.803022644067795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12</v>
      </c>
      <c r="I21" s="236">
        <f t="shared" si="7"/>
        <v>871.68000000000006</v>
      </c>
      <c r="J21" s="272">
        <f t="shared" si="1"/>
        <v>69.734400000000008</v>
      </c>
      <c r="K21" s="128">
        <f t="shared" si="1"/>
        <v>30.508800000000004</v>
      </c>
      <c r="L21" s="119">
        <f t="shared" si="1"/>
        <v>0</v>
      </c>
      <c r="M21" s="230">
        <f t="shared" si="2"/>
        <v>771.43680000000006</v>
      </c>
      <c r="N21" s="277">
        <f t="shared" si="3"/>
        <v>164.74576271186442</v>
      </c>
      <c r="O21" s="239">
        <f t="shared" si="4"/>
        <v>4.6809128135593223</v>
      </c>
      <c r="P21" s="119">
        <f t="shared" si="5"/>
        <v>940.86347552542372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119">
        <f t="shared" si="5"/>
        <v>500.75337404745761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48</v>
      </c>
      <c r="I25" s="114">
        <f t="shared" ref="I25:M25" si="10">SUM(I16:I24)</f>
        <v>3085.8</v>
      </c>
      <c r="J25" s="274">
        <f>SUM(J16:J24)</f>
        <v>232.74120000000005</v>
      </c>
      <c r="K25" s="275">
        <f t="shared" si="10"/>
        <v>108.00300000000001</v>
      </c>
      <c r="L25" s="276">
        <f t="shared" si="10"/>
        <v>24.008760000000002</v>
      </c>
      <c r="M25" s="232">
        <f t="shared" si="10"/>
        <v>2721.0470400000004</v>
      </c>
      <c r="N25" s="233">
        <f>SUM(N16:N24)</f>
        <v>585.76271186440681</v>
      </c>
      <c r="O25" s="101">
        <f>SUM(O16:O24)</f>
        <v>16.534048759322033</v>
      </c>
      <c r="P25" s="234">
        <f>SUM(P16:P24)</f>
        <v>3323.3438006237288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3085.8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232.74120000000005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132.01176000000001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2721.0470400000004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585.76271186440681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3306.8097518644072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16.534048759322037</v>
      </c>
    </row>
    <row r="35" spans="2:16" ht="15.75" customHeight="1" thickBot="1" x14ac:dyDescent="0.4">
      <c r="N35" s="345" t="s">
        <v>88</v>
      </c>
      <c r="O35" s="346"/>
      <c r="P35" s="297">
        <f>+P33+P34</f>
        <v>3323.3438006237293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0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517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119">
        <f t="shared" si="5"/>
        <v>1669.1779134915255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1569.2000000000003</v>
      </c>
      <c r="J25" s="274">
        <f>SUM(J16:J24)</f>
        <v>78.460000000000022</v>
      </c>
      <c r="K25" s="275">
        <f t="shared" si="7"/>
        <v>54.922000000000011</v>
      </c>
      <c r="L25" s="276">
        <f t="shared" si="7"/>
        <v>80.029200000000003</v>
      </c>
      <c r="M25" s="232">
        <f t="shared" si="7"/>
        <v>1355.7888000000003</v>
      </c>
      <c r="N25" s="233">
        <f>SUM(N16:N24)</f>
        <v>305.08474576271169</v>
      </c>
      <c r="O25" s="101">
        <f>SUM(O16:O24)</f>
        <v>8.3043677288135598</v>
      </c>
      <c r="P25" s="234">
        <f>SUM(P16:P24)</f>
        <v>1669.1779134915255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1569.2000000000003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78.460000000000022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134.95120000000003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1355.7888000000003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305.08474576271169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1660.873545762712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8.3043677288135598</v>
      </c>
    </row>
    <row r="35" spans="2:16" ht="15.75" customHeight="1" thickBot="1" x14ac:dyDescent="0.4">
      <c r="N35" s="345" t="s">
        <v>88</v>
      </c>
      <c r="O35" s="346"/>
      <c r="P35" s="297">
        <f>+P33+P34</f>
        <v>1669.1779134915255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0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8.75" customHeight="1" x14ac:dyDescent="0.4">
      <c r="A6" s="399" t="s">
        <v>518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517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12</v>
      </c>
      <c r="I16" s="235">
        <f>(G16*D16)*F16+H16*F16</f>
        <v>629.54999999999995</v>
      </c>
      <c r="J16" s="271">
        <f>$I16*S16</f>
        <v>50.363999999999997</v>
      </c>
      <c r="K16" s="127">
        <f>$I16*T16</f>
        <v>22.03425</v>
      </c>
      <c r="L16" s="118">
        <f>$I16*U16</f>
        <v>0</v>
      </c>
      <c r="M16" s="229">
        <f>I16-SUM(J16:L16)</f>
        <v>557.15174999999999</v>
      </c>
      <c r="N16" s="248">
        <f>+(G16*D16+H16)*V16</f>
        <v>118.98305084745758</v>
      </c>
      <c r="O16" s="238">
        <f>(N16+M16)*$O$15</f>
        <v>3.3806740042372878</v>
      </c>
      <c r="P16" s="118">
        <f>M16+N16+O16</f>
        <v>679.51547485169488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24</v>
      </c>
      <c r="I22" s="236">
        <f t="shared" si="0"/>
        <v>941.5200000000001</v>
      </c>
      <c r="J22" s="272">
        <f t="shared" si="1"/>
        <v>47.076000000000008</v>
      </c>
      <c r="K22" s="128">
        <f t="shared" si="1"/>
        <v>32.95320000000001</v>
      </c>
      <c r="L22" s="119">
        <f t="shared" si="1"/>
        <v>48.017520000000005</v>
      </c>
      <c r="M22" s="230">
        <f t="shared" si="2"/>
        <v>813.47328000000005</v>
      </c>
      <c r="N22" s="277">
        <f t="shared" si="3"/>
        <v>183.05084745762701</v>
      </c>
      <c r="O22" s="239">
        <f t="shared" si="4"/>
        <v>4.982620637288135</v>
      </c>
      <c r="P22" s="119">
        <f t="shared" si="5"/>
        <v>1001.5067480949152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36</v>
      </c>
      <c r="I25" s="114">
        <f t="shared" si="7"/>
        <v>1571.0700000000002</v>
      </c>
      <c r="J25" s="274">
        <f>SUM(J16:J24)</f>
        <v>97.44</v>
      </c>
      <c r="K25" s="275">
        <f t="shared" si="7"/>
        <v>54.98745000000001</v>
      </c>
      <c r="L25" s="276">
        <f t="shared" si="7"/>
        <v>48.017520000000005</v>
      </c>
      <c r="M25" s="232">
        <f t="shared" si="7"/>
        <v>1370.6250300000002</v>
      </c>
      <c r="N25" s="233">
        <f>SUM(N16:N24)</f>
        <v>302.03389830508456</v>
      </c>
      <c r="O25" s="101">
        <f>SUM(O16:O24)</f>
        <v>8.3632946415254228</v>
      </c>
      <c r="P25" s="234">
        <f>SUM(P16:P24)</f>
        <v>1681.0222229466101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1571.0700000000002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97.44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103.00497000000001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1370.6250300000002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302.03389830508456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1672.6589283050848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8.3632946415254246</v>
      </c>
    </row>
    <row r="35" spans="2:16" ht="15.75" customHeight="1" thickBot="1" x14ac:dyDescent="0.4">
      <c r="N35" s="345" t="s">
        <v>88</v>
      </c>
      <c r="O35" s="346"/>
      <c r="P35" s="297">
        <f>+P33+P34</f>
        <v>1681.0222229466103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6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0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520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8</v>
      </c>
      <c r="I19" s="236">
        <f t="shared" si="0"/>
        <v>581.12</v>
      </c>
      <c r="J19" s="272">
        <f t="shared" si="1"/>
        <v>46.489600000000003</v>
      </c>
      <c r="K19" s="128">
        <f t="shared" si="1"/>
        <v>20.339200000000002</v>
      </c>
      <c r="L19" s="119">
        <f t="shared" si="1"/>
        <v>0</v>
      </c>
      <c r="M19" s="230">
        <f t="shared" si="2"/>
        <v>514.2912</v>
      </c>
      <c r="N19" s="277">
        <f t="shared" si="3"/>
        <v>109.83050847457628</v>
      </c>
      <c r="O19" s="239">
        <f t="shared" si="4"/>
        <v>3.1206085423728815</v>
      </c>
      <c r="P19" s="119">
        <f t="shared" si="5"/>
        <v>627.24231701694919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8</v>
      </c>
      <c r="I20" s="236">
        <f t="shared" si="0"/>
        <v>581.12</v>
      </c>
      <c r="J20" s="272">
        <f t="shared" si="1"/>
        <v>46.489600000000003</v>
      </c>
      <c r="K20" s="128">
        <f t="shared" si="1"/>
        <v>20.339200000000002</v>
      </c>
      <c r="L20" s="119">
        <f t="shared" si="1"/>
        <v>0</v>
      </c>
      <c r="M20" s="230">
        <f t="shared" si="2"/>
        <v>514.2912</v>
      </c>
      <c r="N20" s="277">
        <f t="shared" si="3"/>
        <v>109.83050847457628</v>
      </c>
      <c r="O20" s="239">
        <f t="shared" si="4"/>
        <v>3.1206085423728815</v>
      </c>
      <c r="P20" s="119">
        <f t="shared" si="5"/>
        <v>627.24231701694919</v>
      </c>
      <c r="Q20" s="319"/>
      <c r="R20">
        <f>P20/21</f>
        <v>29.868681762711866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24</v>
      </c>
      <c r="I21" s="236">
        <f t="shared" si="0"/>
        <v>1743.3600000000001</v>
      </c>
      <c r="J21" s="272">
        <f t="shared" si="1"/>
        <v>139.46880000000002</v>
      </c>
      <c r="K21" s="128">
        <f t="shared" si="1"/>
        <v>61.017600000000009</v>
      </c>
      <c r="L21" s="119">
        <f t="shared" si="1"/>
        <v>0</v>
      </c>
      <c r="M21" s="230">
        <f t="shared" si="2"/>
        <v>1542.8736000000001</v>
      </c>
      <c r="N21" s="277">
        <f t="shared" si="3"/>
        <v>329.49152542372883</v>
      </c>
      <c r="O21" s="239">
        <f t="shared" si="4"/>
        <v>9.3618256271186446</v>
      </c>
      <c r="P21" s="119">
        <f t="shared" si="5"/>
        <v>1881.7269510508474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24</v>
      </c>
      <c r="I22" s="236">
        <f t="shared" si="0"/>
        <v>941.5200000000001</v>
      </c>
      <c r="J22" s="272">
        <f t="shared" si="1"/>
        <v>47.076000000000008</v>
      </c>
      <c r="K22" s="128">
        <f t="shared" si="1"/>
        <v>32.95320000000001</v>
      </c>
      <c r="L22" s="119">
        <f t="shared" si="1"/>
        <v>48.017520000000005</v>
      </c>
      <c r="M22" s="230">
        <f t="shared" si="2"/>
        <v>813.47328000000005</v>
      </c>
      <c r="N22" s="277">
        <f t="shared" si="3"/>
        <v>183.05084745762701</v>
      </c>
      <c r="O22" s="239">
        <f t="shared" si="4"/>
        <v>4.982620637288135</v>
      </c>
      <c r="P22" s="119">
        <f t="shared" si="5"/>
        <v>1001.5067480949152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64</v>
      </c>
      <c r="I25" s="114">
        <f t="shared" si="7"/>
        <v>3847.1200000000003</v>
      </c>
      <c r="J25" s="274">
        <f>SUM(J16:J24)</f>
        <v>279.52400000000006</v>
      </c>
      <c r="K25" s="275">
        <f t="shared" si="7"/>
        <v>134.64920000000001</v>
      </c>
      <c r="L25" s="276">
        <f t="shared" si="7"/>
        <v>48.017520000000005</v>
      </c>
      <c r="M25" s="232">
        <f t="shared" si="7"/>
        <v>3384.9292800000003</v>
      </c>
      <c r="N25" s="233">
        <f>SUM(N16:N24)</f>
        <v>732.2033898305084</v>
      </c>
      <c r="O25" s="101">
        <f>SUM(O16:O24)</f>
        <v>20.585663349152544</v>
      </c>
      <c r="P25" s="234">
        <f>SUM(P16:P24)</f>
        <v>4137.7183331796614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3847.1200000000003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279.52400000000006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182.66672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3384.9292800000003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732.2033898305084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4117.1326698305083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20.585663349152544</v>
      </c>
    </row>
    <row r="35" spans="2:16" ht="15.75" customHeight="1" thickBot="1" x14ac:dyDescent="0.4">
      <c r="N35" s="345" t="s">
        <v>88</v>
      </c>
      <c r="O35" s="346"/>
      <c r="P35" s="297">
        <f>+P33+P34</f>
        <v>4137.7183331796605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0.726562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522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119">
        <f t="shared" si="5"/>
        <v>500.75337404745761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12</v>
      </c>
      <c r="I25" s="114">
        <f t="shared" si="7"/>
        <v>470.76000000000005</v>
      </c>
      <c r="J25" s="274">
        <f>SUM(J16:J24)</f>
        <v>23.538000000000004</v>
      </c>
      <c r="K25" s="275">
        <f t="shared" si="7"/>
        <v>16.476600000000005</v>
      </c>
      <c r="L25" s="276">
        <f t="shared" si="7"/>
        <v>24.008760000000002</v>
      </c>
      <c r="M25" s="232">
        <f t="shared" si="7"/>
        <v>406.73664000000002</v>
      </c>
      <c r="N25" s="233">
        <f>SUM(N16:N24)</f>
        <v>91.525423728813507</v>
      </c>
      <c r="O25" s="101">
        <f>SUM(O16:O24)</f>
        <v>2.4913103186440675</v>
      </c>
      <c r="P25" s="234">
        <f>SUM(P16:P24)</f>
        <v>500.75337404745761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470.76000000000005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23.538000000000004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40.485360000000007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406.73664000000002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91.525423728813507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498.26206372881353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2.4913103186440675</v>
      </c>
    </row>
    <row r="35" spans="2:16" ht="15.75" customHeight="1" thickBot="1" x14ac:dyDescent="0.4">
      <c r="N35" s="345" t="s">
        <v>88</v>
      </c>
      <c r="O35" s="346"/>
      <c r="P35" s="297">
        <f>+P33+P34</f>
        <v>500.75337404745761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0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523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524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12</v>
      </c>
      <c r="I22" s="236">
        <f t="shared" si="0"/>
        <v>470.76000000000005</v>
      </c>
      <c r="J22" s="272">
        <f t="shared" si="1"/>
        <v>23.538000000000004</v>
      </c>
      <c r="K22" s="128">
        <f t="shared" si="1"/>
        <v>16.476600000000005</v>
      </c>
      <c r="L22" s="119">
        <f t="shared" si="1"/>
        <v>24.008760000000002</v>
      </c>
      <c r="M22" s="230">
        <f t="shared" si="2"/>
        <v>406.73664000000002</v>
      </c>
      <c r="N22" s="277">
        <f t="shared" si="3"/>
        <v>91.525423728813507</v>
      </c>
      <c r="O22" s="239">
        <f t="shared" si="4"/>
        <v>2.4913103186440675</v>
      </c>
      <c r="P22" s="119">
        <f t="shared" si="5"/>
        <v>500.75337404745761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12</v>
      </c>
      <c r="I25" s="114">
        <f t="shared" si="7"/>
        <v>470.76000000000005</v>
      </c>
      <c r="J25" s="274">
        <f>SUM(J16:J24)</f>
        <v>23.538000000000004</v>
      </c>
      <c r="K25" s="275">
        <f t="shared" si="7"/>
        <v>16.476600000000005</v>
      </c>
      <c r="L25" s="276">
        <f t="shared" si="7"/>
        <v>24.008760000000002</v>
      </c>
      <c r="M25" s="232">
        <f t="shared" si="7"/>
        <v>406.73664000000002</v>
      </c>
      <c r="N25" s="233">
        <f>SUM(N16:N24)</f>
        <v>91.525423728813507</v>
      </c>
      <c r="O25" s="101">
        <f>SUM(O16:O24)</f>
        <v>2.4913103186440675</v>
      </c>
      <c r="P25" s="234">
        <f>SUM(P16:P24)</f>
        <v>500.75337404745761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470.76000000000005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23.538000000000004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40.485360000000007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406.73664000000002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91.525423728813507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498.26206372881353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2.4913103186440675</v>
      </c>
    </row>
    <row r="35" spans="2:16" ht="15.75" customHeight="1" thickBot="1" x14ac:dyDescent="0.4">
      <c r="N35" s="345" t="s">
        <v>88</v>
      </c>
      <c r="O35" s="346"/>
      <c r="P35" s="297">
        <f>+P33+P34</f>
        <v>500.75337404745761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0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525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119">
        <f t="shared" si="5"/>
        <v>1669.1779134915255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1569.2000000000003</v>
      </c>
      <c r="J25" s="274">
        <f>SUM(J16:J24)</f>
        <v>78.460000000000022</v>
      </c>
      <c r="K25" s="275">
        <f t="shared" si="7"/>
        <v>54.922000000000011</v>
      </c>
      <c r="L25" s="276">
        <f t="shared" si="7"/>
        <v>80.029200000000003</v>
      </c>
      <c r="M25" s="232">
        <f t="shared" si="7"/>
        <v>1355.7888000000003</v>
      </c>
      <c r="N25" s="233">
        <f>SUM(N16:N24)</f>
        <v>305.08474576271169</v>
      </c>
      <c r="O25" s="101">
        <f>SUM(O16:O24)</f>
        <v>8.3043677288135598</v>
      </c>
      <c r="P25" s="234">
        <f>SUM(P16:P24)</f>
        <v>1669.1779134915255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1569.2000000000003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78.460000000000022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134.95120000000003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1355.7888000000003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305.08474576271169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1660.873545762712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8.3043677288135598</v>
      </c>
    </row>
    <row r="35" spans="2:16" ht="15.75" customHeight="1" thickBot="1" x14ac:dyDescent="0.4">
      <c r="N35" s="345" t="s">
        <v>88</v>
      </c>
      <c r="O35" s="346"/>
      <c r="P35" s="297">
        <f>+P33+P34</f>
        <v>1669.1779134915255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3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0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527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526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15</v>
      </c>
      <c r="I19" s="236">
        <f t="shared" si="0"/>
        <v>1089.5999999999999</v>
      </c>
      <c r="J19" s="272">
        <f t="shared" si="1"/>
        <v>87.167999999999992</v>
      </c>
      <c r="K19" s="128">
        <f t="shared" si="1"/>
        <v>38.136000000000003</v>
      </c>
      <c r="L19" s="119">
        <f t="shared" si="1"/>
        <v>0</v>
      </c>
      <c r="M19" s="230">
        <f t="shared" si="2"/>
        <v>964.29599999999994</v>
      </c>
      <c r="N19" s="277">
        <f t="shared" si="3"/>
        <v>205.93220338983053</v>
      </c>
      <c r="O19" s="239">
        <f t="shared" si="4"/>
        <v>5.8511410169491525</v>
      </c>
      <c r="P19" s="119">
        <f t="shared" si="5"/>
        <v>1176.0793444067797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15</v>
      </c>
      <c r="I21" s="236">
        <f t="shared" si="0"/>
        <v>1089.5999999999999</v>
      </c>
      <c r="J21" s="272">
        <f t="shared" si="1"/>
        <v>87.167999999999992</v>
      </c>
      <c r="K21" s="128">
        <f t="shared" si="1"/>
        <v>38.136000000000003</v>
      </c>
      <c r="L21" s="119">
        <f t="shared" si="1"/>
        <v>0</v>
      </c>
      <c r="M21" s="230">
        <f t="shared" si="2"/>
        <v>964.29599999999994</v>
      </c>
      <c r="N21" s="277">
        <f t="shared" si="3"/>
        <v>205.93220338983053</v>
      </c>
      <c r="O21" s="239">
        <f t="shared" si="4"/>
        <v>5.8511410169491525</v>
      </c>
      <c r="P21" s="119">
        <f t="shared" si="5"/>
        <v>1176.0793444067797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232.44799999999998</v>
      </c>
      <c r="K25" s="275">
        <f t="shared" si="7"/>
        <v>101.696</v>
      </c>
      <c r="L25" s="276">
        <f t="shared" si="7"/>
        <v>0</v>
      </c>
      <c r="M25" s="232">
        <f t="shared" si="7"/>
        <v>2571.4559999999997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2905.6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232.44799999999998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101.696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2571.4560000000001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3120.6085423728814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5" t="s">
        <v>88</v>
      </c>
      <c r="O35" s="346"/>
      <c r="P35" s="297">
        <f>+P33+P34</f>
        <v>3136.2115850847458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0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528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529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116.224</v>
      </c>
      <c r="K19" s="128">
        <f t="shared" si="1"/>
        <v>50.848000000000006</v>
      </c>
      <c r="L19" s="119">
        <f t="shared" si="1"/>
        <v>0</v>
      </c>
      <c r="M19" s="230">
        <f t="shared" si="2"/>
        <v>1285.7280000000001</v>
      </c>
      <c r="N19" s="277">
        <f t="shared" si="3"/>
        <v>274.57627118644069</v>
      </c>
      <c r="O19" s="239">
        <f t="shared" si="4"/>
        <v>7.8015213559322039</v>
      </c>
      <c r="P19" s="119">
        <f t="shared" si="5"/>
        <v>1568.1057925423729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116.224</v>
      </c>
      <c r="K20" s="128">
        <f t="shared" si="1"/>
        <v>50.848000000000006</v>
      </c>
      <c r="L20" s="119">
        <f t="shared" si="1"/>
        <v>0</v>
      </c>
      <c r="M20" s="230">
        <f t="shared" si="2"/>
        <v>1285.7280000000001</v>
      </c>
      <c r="N20" s="277">
        <f t="shared" si="3"/>
        <v>274.57627118644069</v>
      </c>
      <c r="O20" s="239">
        <f t="shared" si="4"/>
        <v>7.8015213559322039</v>
      </c>
      <c r="P20" s="119">
        <f t="shared" si="5"/>
        <v>1568.1057925423729</v>
      </c>
      <c r="Q20" s="319"/>
      <c r="R20">
        <f>P20/21</f>
        <v>74.671704406779668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40</v>
      </c>
      <c r="I21" s="236">
        <f t="shared" si="0"/>
        <v>2905.6</v>
      </c>
      <c r="J21" s="272">
        <f t="shared" si="1"/>
        <v>232.44800000000001</v>
      </c>
      <c r="K21" s="128">
        <f t="shared" si="1"/>
        <v>101.69600000000001</v>
      </c>
      <c r="L21" s="119">
        <f t="shared" si="1"/>
        <v>0</v>
      </c>
      <c r="M21" s="230">
        <f t="shared" si="2"/>
        <v>2571.4560000000001</v>
      </c>
      <c r="N21" s="277">
        <f t="shared" si="3"/>
        <v>549.15254237288138</v>
      </c>
      <c r="O21" s="239">
        <f t="shared" si="4"/>
        <v>15.603042711864408</v>
      </c>
      <c r="P21" s="119">
        <f t="shared" si="5"/>
        <v>3136.2115850847458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119">
        <f t="shared" si="5"/>
        <v>1669.1779134915255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120</v>
      </c>
      <c r="I25" s="114">
        <f t="shared" si="7"/>
        <v>7380.4</v>
      </c>
      <c r="J25" s="274">
        <f>SUM(J16:J24)</f>
        <v>543.35599999999999</v>
      </c>
      <c r="K25" s="275">
        <f t="shared" si="7"/>
        <v>258.31400000000002</v>
      </c>
      <c r="L25" s="276">
        <f t="shared" si="7"/>
        <v>80.029200000000003</v>
      </c>
      <c r="M25" s="232">
        <f t="shared" si="7"/>
        <v>6498.7008000000005</v>
      </c>
      <c r="N25" s="233">
        <f>SUM(N16:N24)</f>
        <v>1403.3898305084745</v>
      </c>
      <c r="O25" s="101">
        <f>SUM(O16:O24)</f>
        <v>39.510453152542375</v>
      </c>
      <c r="P25" s="234">
        <f>SUM(P16:P24)</f>
        <v>7941.6010836610167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7380.4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543.35599999999999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338.34320000000002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6498.7007999999996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1403.3898305084745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7902.0906305084736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39.510453152542368</v>
      </c>
    </row>
    <row r="35" spans="2:16" ht="15.75" customHeight="1" thickBot="1" x14ac:dyDescent="0.4">
      <c r="N35" s="345" t="s">
        <v>88</v>
      </c>
      <c r="O35" s="346"/>
      <c r="P35" s="297">
        <f>+P33+P34</f>
        <v>7941.6010836610158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10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0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530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531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>
        <v>5</v>
      </c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>
        <v>5</v>
      </c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>
        <v>30</v>
      </c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>
        <v>40</v>
      </c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80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topLeftCell="A4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10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532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533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>
        <v>40</v>
      </c>
      <c r="I22" s="236">
        <f t="shared" si="0"/>
        <v>1569.2000000000003</v>
      </c>
      <c r="J22" s="272">
        <f t="shared" si="1"/>
        <v>78.460000000000022</v>
      </c>
      <c r="K22" s="128">
        <f t="shared" si="1"/>
        <v>54.922000000000011</v>
      </c>
      <c r="L22" s="119">
        <f t="shared" si="1"/>
        <v>80.029200000000003</v>
      </c>
      <c r="M22" s="230">
        <f t="shared" si="2"/>
        <v>1355.7888000000003</v>
      </c>
      <c r="N22" s="277">
        <f t="shared" si="3"/>
        <v>305.08474576271169</v>
      </c>
      <c r="O22" s="239">
        <f t="shared" si="4"/>
        <v>8.3043677288135598</v>
      </c>
      <c r="P22" s="119">
        <f t="shared" si="5"/>
        <v>1669.1779134915255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1569.2000000000003</v>
      </c>
      <c r="J25" s="274">
        <f>SUM(J16:J24)</f>
        <v>78.460000000000022</v>
      </c>
      <c r="K25" s="275">
        <f t="shared" si="7"/>
        <v>54.922000000000011</v>
      </c>
      <c r="L25" s="276">
        <f t="shared" si="7"/>
        <v>80.029200000000003</v>
      </c>
      <c r="M25" s="232">
        <f t="shared" si="7"/>
        <v>1355.7888000000003</v>
      </c>
      <c r="N25" s="233">
        <f>SUM(N16:N24)</f>
        <v>305.08474576271169</v>
      </c>
      <c r="O25" s="101">
        <f>SUM(O16:O24)</f>
        <v>8.3043677288135598</v>
      </c>
      <c r="P25" s="234">
        <f>SUM(P16:P24)</f>
        <v>1669.1779134915255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1569.2000000000003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78.460000000000022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134.95120000000003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1355.7888000000003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305.08474576271169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1660.873545762712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8.3043677288135598</v>
      </c>
    </row>
    <row r="35" spans="2:16" ht="15.75" customHeight="1" thickBot="1" x14ac:dyDescent="0.4">
      <c r="N35" s="345" t="s">
        <v>88</v>
      </c>
      <c r="O35" s="346"/>
      <c r="P35" s="297">
        <f>+P33+P34</f>
        <v>1669.1779134915255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46282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46281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Jabbar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46283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46282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2026-09-17T12:08:19Z</dcterms:modified>
</cp:coreProperties>
</file>