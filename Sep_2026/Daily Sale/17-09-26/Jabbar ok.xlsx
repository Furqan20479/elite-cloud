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9387568-520A-4AD4-9425-D0A82456CA97}" xr6:coauthVersionLast="47" xr6:coauthVersionMax="47" xr10:uidLastSave="{00000000-0000-0000-0000-000000000000}"/>
  <bookViews>
    <workbookView xWindow="-110" yWindow="-110" windowWidth="19420" windowHeight="10420" tabRatio="948" firstSheet="3" activeTab="1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K12" i="62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<sst xmlns="http://schemas.openxmlformats.org/spreadsheetml/2006/main" count="3948" uniqueCount="534">
  <si>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</si>
  <si>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</si>
  <si>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</si>
  <si>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</si>
  <si>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</si>
  <si>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</si>
  <si>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</si>
  <si>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</si>
  <si>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</si>
  <si>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</si>
  <si>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</si>
  <si>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</si>
  <si>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</si>
  <si>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</si>
  <si>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</si>
  <si>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</si>
  <si>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</si>
  <si>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</si>
  <si>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</si>
  <si>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</si>
  <si>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</si>
  <si>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</si>
  <si>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</si>
  <si>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</si>
  <si>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</si>
  <si>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</si>
  <si>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</si>
  <si>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</si>
  <si>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</si>
  <si>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</si>
  <si>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</si>
  <si>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</si>
  <si>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</si>
  <si>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</si>
  <si>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</si>
  <si>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</si>
  <si>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</si>
  <si>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</si>
  <si>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</si>
  <si>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</si>
  <si>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</si>
  <si>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</si>
  <si>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</si>
  <si>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</si>
  <si>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</si>
  <si>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</si>
  <si>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</si>
  <si>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</si>
  <si>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</si>
  <si>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</si>
  <si>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</si>
  <si>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</si>
  <si>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</si>
  <si>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</si>
  <si>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</si>
  <si>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</si>
  <si>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</si>
  <si>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</si>
  <si>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</si>
  <si>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</si>
  <si>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</si>
  <si>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</si>
  <si>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</si>
  <si>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</si>
  <si>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</si>
  <si>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</si>
  <si>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</si>
  <si>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</si>
  <si>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</si>
  <si>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</si>
  <si>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</si>
  <si>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</si>
  <si>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</si>
  <si>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</si>
  <si>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</si>
  <si>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</si>
  <si>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</si>
  <si>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</si>
  <si>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</si>
  <si>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</si>
  <si>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</si>
  <si>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</si>
  <si>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</si>
  <si>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</si>
  <si>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</si>
  <si>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</si>
  <si>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</si>
  <si>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</si>
  <si>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</si>
  <si>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</si>
  <si>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</si>
  <si>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</si>
  <si>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</si>
  <si>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</si>
  <si>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</si>
  <si>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</si>
  <si>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</si>
  <si>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</si>
  <si>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</si>
  <si>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</si>
  <si>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</si>
  <si>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</si>
  <si>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</si>
  <si>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</si>
  <si>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</si>
  <si>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</si>
  <si>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</si>
  <si>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</si>
  <si>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</si>
  <si>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</si>
  <si>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</si>
  <si>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</si>
  <si>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</si>
  <si>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</si>
  <si>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</si>
  <si>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</si>
  <si>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</si>
  <si>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</si>
  <si>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</si>
  <si>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</si>
  <si>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</si>
  <si>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</si>
  <si>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</si>
  <si>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</si>
  <si>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</si>
  <si>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</si>
  <si>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</si>
  <si>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</si>
  <si>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</si>
  <si>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</si>
  <si>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</si>
  <si>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</si>
  <si>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</si>
  <si>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</si>
  <si>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</si>
  <si>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</si>
  <si>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</si>
  <si>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</si>
  <si>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</si>
  <si>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</si>
  <si>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</si>
  <si>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</si>
  <si>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</si>
  <si>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</si>
  <si>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</si>
  <si>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</si>
  <si>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</si>
  <si>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</si>
  <si>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</si>
  <si>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</si>
  <si>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</si>
  <si>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</si>
  <si>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</si>
  <si>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</si>
  <si>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</si>
  <si>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</si>
  <si>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</si>
  <si>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</si>
  <si>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</si>
  <si>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</si>
  <si>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</si>
  <si>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</si>
  <si>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</si>
  <si>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</si>
  <si>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</si>
  <si>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</si>
  <si>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</si>
  <si>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</si>
  <si>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</si>
  <si>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</si>
  <si>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</si>
  <si>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</si>
  <si>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</si>
  <si>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</si>
  <si>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</si>
  <si>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</si>
  <si>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</si>
  <si>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</si>
  <si>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</si>
  <si>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</si>
  <si>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</si>
  <si>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</si>
  <si>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</si>
  <si>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</si>
  <si>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</si>
  <si>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</si>
  <si>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</si>
  <si>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</si>
  <si>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</si>
  <si>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</si>
  <si>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</si>
  <si>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</si>
  <si>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</si>
  <si>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</si>
  <si>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</si>
  <si>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</si>
  <si>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</si>
  <si>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</si>
  <si>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</si>
  <si>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</si>
  <si>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</si>
  <si>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</si>
  <si>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</si>
  <si>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</si>
  <si>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</si>
  <si>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</si>
  <si>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</si>
  <si>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</si>
  <si>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</si>
  <si>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</si>
  <si>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</si>
  <si>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</si>
  <si>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</si>
  <si>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</si>
  <si>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</si>
  <si>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</si>
  <si>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</si>
  <si>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</si>
  <si>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</si>
  <si>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</si>
  <si>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</si>
  <si>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</si>
  <si>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</si>
  <si>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</si>
  <si>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</si>
  <si>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</si>
  <si>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</si>
  <si>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</si>
  <si>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</si>
  <si>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</si>
  <si>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</si>
  <si>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</si>
  <si>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</si>
  <si>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</si>
  <si>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</si>
  <si>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</si>
  <si>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</si>
  <si>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</si>
  <si>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</si>
  <si>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</si>
  <si>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</si>
  <si>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</si>
  <si>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</si>
  <si>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</si>
  <si>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</si>
  <si>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</si>
  <si>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</si>
  <si>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</si>
  <si>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</si>
  <si>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</si>
  <si>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</si>
  <si>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</si>
  <si>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</si>
  <si>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</si>
  <si>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</si>
  <si>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</si>
  <si>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</si>
  <si>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</si>
  <si>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</si>
  <si>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</si>
  <si>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</si>
  <si>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</si>
  <si>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</si>
  <si>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</si>
  <si>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</si>
  <si>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</si>
  <si>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</si>
  <si>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</si>
  <si>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</si>
  <si>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</si>
  <si>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</si>
  <si>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</si>
  <si>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</si>
  <si>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</si>
  <si>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</si>
  <si>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</si>
  <si>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</si>
  <si>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</si>
  <si>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</si>
  <si>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</si>
  <si>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</si>
  <si>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</si>
  <si>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</si>
  <si>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</si>
  <si>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</si>
  <si>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</si>
  <si>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</si>
  <si>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</si>
  <si>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</si>
  <si>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</si>
  <si>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</si>
  <si>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</si>
  <si>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</si>
  <si>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</si>
  <si>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</si>
  <si>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</si>
  <si>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</si>
  <si>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</si>
  <si>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</si>
  <si>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</si>
  <si>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</si>
  <si>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</si>
  <si>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</si>
  <si>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</si>
  <si>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</si>
  <si>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</si>
  <si>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</si>
  <si>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</si>
  <si>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</si>
  <si>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</si>
  <si>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</si>
  <si>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</si>
  <si>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</si>
  <si>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</si>
  <si>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</si>
  <si>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</si>
  <si>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</si>
  <si>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</si>
  <si>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</si>
  <si>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</si>
  <si>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</si>
  <si>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</si>
  <si>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</si>
  <si>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</si>
  <si>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</si>
  <si>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</si>
  <si>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</si>
  <si>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</si>
  <si>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</si>
  <si>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</si>
  <si>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</si>
  <si>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</si>
  <si>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</si>
  <si>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</si>
  <si>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</si>
  <si>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</si>
  <si>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</si>
  <si>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</si>
  <si>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</si>
  <si>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</si>
  <si>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</si>
  <si>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</si>
  <si>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</si>
  <si>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</si>
  <si>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</si>
  <si>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</si>
  <si>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</si>
  <si>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</si>
  <si>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</si>
  <si>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</si>
  <si>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</si>
  <si>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</si>
  <si>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</si>
  <si>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</si>
  <si>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</si>
  <si>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</si>
  <si>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</si>
  <si>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</si>
  <si>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</si>
  <si>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</si>
  <si>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</si>
  <si>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</si>
  <si>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</si>
  <si>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</si>
  <si>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</si>
  <si>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</si>
  <si>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</si>
  <si>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</si>
  <si>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</si>
  <si>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</si>
  <si>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</si>
  <si>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</si>
  <si>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</si>
  <si>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</si>
  <si>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</si>
  <si>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</si>
  <si>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</si>
  <si>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</si>
  <si>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</si>
  <si>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</si>
  <si>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</si>
  <si>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</si>
  <si>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</si>
  <si>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</si>
  <si>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</si>
  <si>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</si>
  <si>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</si>
  <si>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</si>
  <si>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</si>
  <si>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</si>
  <si>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</si>
  <si>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</si>
  <si>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</si>
  <si>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</si>
  <si>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</si>
  <si>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</si>
  <si>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</si>
  <si>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</si>
  <si>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</si>
  <si>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</si>
  <si>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</si>
  <si>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</si>
  <si>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</si>
  <si>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</si>
  <si>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</si>
  <si>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</si>
  <si>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</si>
  <si>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</si>
  <si>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</si>
  <si>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</si>
  <si>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</si>
  <si>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</si>
  <si>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</si>
  <si>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</si>
  <si>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</si>
  <si>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</si>
  <si>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</si>
  <si>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</si>
  <si>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</si>
  <si>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</si>
  <si>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</si>
  <si>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</si>
  <si>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</si>
  <si>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</si>
  <si>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</si>
  <si>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</si>
  <si>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</si>
  <si>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</si>
  <si>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</si>
  <si>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</si>
  <si>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</si>
  <si>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</si>
  <si>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</si>
  <si>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</si>
  <si>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</si>
  <si>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</si>
  <si>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</si>
  <si>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</si>
  <si>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</si>
  <si>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</si>
  <si>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</si>
  <si>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</si>
  <si>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</si>
  <si>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</si>
  <si>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</si>
  <si>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</si>
  <si>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</si>
  <si>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</si>
  <si>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</si>
  <si>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</si>
  <si>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</si>
  <si>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</si>
  <si>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</si>
  <si>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</si>
  <si>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</si>
  <si>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</si>
  <si>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</si>
  <si>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</si>
  <si>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</si>
  <si>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</si>
  <si>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</si>
  <si>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</si>
  <si>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</si>
  <si>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</si>
  <si>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</si>
  <si>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</si>
  <si>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</si>
  <si>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</si>
  <si>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</si>
  <si>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</si>
  <si>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</si>
  <si>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</si>
  <si>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</si>
  <si>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</si>
  <si>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</si>
  <si>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</si>
  <si>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</si>
  <si>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</si>
  <si>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</si>
  <si>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</si>
  <si>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</si>
  <si>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</si>
  <si>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</si>
  <si>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</si>
  <si>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</si>
  <si>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</si>
  <si>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</si>
  <si>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</si>
  <si>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</si>
  <si>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</si>
  <si>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</si>
  <si>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</si>
  <si>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</si>
  <si>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</si>
  <si>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</si>
  <si>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</si>
  <si>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</si>
  <si>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</si>
  <si>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</si>
  <si>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</si>
  <si>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</si>
  <si>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</si>
  <si>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</si>
  <si>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</si>
  <si>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</si>
  <si>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</si>
  <si>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</si>
  <si>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</si>
  <si>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</si>
  <si>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</si>
  <si>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</si>
  <si>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</si>
  <si>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</si>
  <si>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</si>
  <si>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 xml:space="preserve">Hashim Mart </t>
  </si>
  <si>
    <t>Address: GOR1</t>
  </si>
  <si>
    <t>Shehzad GS</t>
  </si>
  <si>
    <t xml:space="preserve">Address: Shadman </t>
  </si>
  <si>
    <t>Adnan Store</t>
  </si>
  <si>
    <t xml:space="preserve">Bilal Book Depot </t>
  </si>
  <si>
    <t xml:space="preserve">Address:  Shadman </t>
  </si>
  <si>
    <t>Imran Store</t>
  </si>
  <si>
    <t xml:space="preserve">Address: Kashmir Bakery </t>
  </si>
  <si>
    <t>Mashallah Statinary Store</t>
  </si>
  <si>
    <t xml:space="preserve">Address: Kashmir Bakery Wli Gali </t>
  </si>
  <si>
    <t xml:space="preserve">Shabeer Kite House </t>
  </si>
  <si>
    <t>Address: Fazlia Colony</t>
  </si>
  <si>
    <t>QF Store</t>
  </si>
  <si>
    <t>Muhamdi Store</t>
  </si>
  <si>
    <t>Address: Shah jamaal Colony</t>
  </si>
  <si>
    <t>Azan Store</t>
  </si>
  <si>
    <t xml:space="preserve">Address: Shah Jamaal </t>
  </si>
  <si>
    <t>Arham Store</t>
  </si>
  <si>
    <t xml:space="preserve">Address: Ichra Shoping Center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</si>
</sst>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C2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Hashim Mart </v>
      </c>
      <c r="T3" s="301">
        <f>+'1'!P35</f>
        <v>3323.3438006237293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Shehzad GS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Adnan Store</v>
      </c>
      <c r="T5" s="301">
        <f>+'3'!P35</f>
        <v>1681.0222229466103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Bilal Book Depot </v>
      </c>
      <c r="T6" s="301">
        <f>+'4'!P35</f>
        <v>4137.7183331796605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Imran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Mashallah Statinary Store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Shabeer Kite House 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5</v>
      </c>
      <c r="R10" s="313">
        <v>8</v>
      </c>
      <c r="S10" s="300" t="str">
        <f>+'8'!A6:A6</f>
        <v>QF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5</v>
      </c>
      <c r="R11" s="313">
        <v>9</v>
      </c>
      <c r="S11" s="300" t="str">
        <f>+'9'!A6:A6</f>
        <v>Muhamdi Store</v>
      </c>
      <c r="T11" s="301">
        <f>+'9'!P35</f>
        <v>7941.6010836610158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91</v>
      </c>
      <c r="I12" s="236">
        <f t="shared" si="0"/>
        <v>6610.24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528.81920000000002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231.35840000000002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5850.0623999999998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1249.3220338983051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35.496922169491526</v>
      </c>
      <c r="P12" s="311">
        <f t="shared" si="2"/>
        <v>7134.8813560677972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30</v>
      </c>
      <c r="R12" s="313">
        <v>10</v>
      </c>
      <c r="S12" s="300" t="str">
        <f>+'10'!A6:A6</f>
        <v>Azan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244</v>
      </c>
      <c r="I13" s="236">
        <f t="shared" si="0"/>
        <v>9572.1200000000008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478.60600000000017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335.02420000000012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488.17811999999998</v>
      </c>
      <c r="M13" s="230">
        <f t="shared" si="1"/>
        <v>8270.3116800000007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1861.0169491525412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50.656643145762715</v>
      </c>
      <c r="P13" s="311">
        <f t="shared" si="2"/>
        <v>10181.985272298305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3">
        <v>11</v>
      </c>
      <c r="S13" s="300" t="str">
        <f>+'11'!A6:A6</f>
        <v>Arham Store</v>
      </c>
      <c r="T13" s="301">
        <f>+'11'!P35</f>
        <v>1669.1779134915255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11.3</v>
      </c>
      <c r="H16" s="113">
        <f t="shared" ref="H16:M16" si="3">SUM(H7:H15)</f>
        <v>452</v>
      </c>
      <c r="I16" s="114">
        <f t="shared" si="3"/>
        <v>24439.11</v>
      </c>
      <c r="J16" s="274">
        <f>SUM(J7:J15)</f>
        <v>1667.9652000000001</v>
      </c>
      <c r="K16" s="275">
        <f t="shared" si="3"/>
        <v>855.36885000000007</v>
      </c>
      <c r="L16" s="276">
        <f t="shared" si="3"/>
        <v>488.17811999999998</v>
      </c>
      <c r="M16" s="232">
        <f t="shared" si="3"/>
        <v>21427.597829999999</v>
      </c>
      <c r="N16" s="233">
        <f>SUM(N7:N15)</f>
        <v>4670.8474576271174</v>
      </c>
      <c r="O16" s="101">
        <f>SUM(O7:O15)</f>
        <v>130.49222643813562</v>
      </c>
      <c r="P16" s="113">
        <f>SUM(P7:P15)</f>
        <v>26228.937514065256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24439.11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1667.9652000000001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1343.5469700000001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21427.597830000002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4670.8474576271174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26098.445287627121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130.49222643813562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26228.937514065256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26228.937514065256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48</v>
      </c>
      <c r="I25" s="114">
        <f t="shared" ref="I25:M25" si="10">SUM(I16:I24)</f>
        <v>3085.8</v>
      </c>
      <c r="J25" s="274">
        <f>SUM(J16:J24)</f>
        <v>232.74120000000005</v>
      </c>
      <c r="K25" s="275">
        <f t="shared" si="10"/>
        <v>108.00300000000001</v>
      </c>
      <c r="L25" s="276">
        <f t="shared" si="10"/>
        <v>24.008760000000002</v>
      </c>
      <c r="M25" s="232">
        <f t="shared" si="10"/>
        <v>2721.0470400000004</v>
      </c>
      <c r="N25" s="233">
        <f>SUM(N16:N24)</f>
        <v>585.76271186440681</v>
      </c>
      <c r="O25" s="101">
        <f>SUM(O16:O24)</f>
        <v>16.534048759322033</v>
      </c>
      <c r="P25" s="234">
        <f>SUM(P16:P24)</f>
        <v>3323.3438006237288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3085.8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232.74120000000005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132.01176000000001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2721.0470400000004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585.76271186440681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3306.8097518644072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16.534048759322037</v>
      </c>
    </row>
    <row r="35" spans="2:16" ht="15.75" customHeight="1" thickBot="1" x14ac:dyDescent="0.4">
      <c r="N35" s="374" t="s">
        <v>88</v>
      </c>
      <c r="O35" s="375"/>
      <c r="P35" s="297">
        <f>+P33+P34</f>
        <v>3323.3438006237293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1571.0700000000002</v>
      </c>
      <c r="J25" s="274">
        <f>SUM(J16:J24)</f>
        <v>97.44</v>
      </c>
      <c r="K25" s="275">
        <f t="shared" si="7"/>
        <v>54.98745000000001</v>
      </c>
      <c r="L25" s="276">
        <f t="shared" si="7"/>
        <v>48.017520000000005</v>
      </c>
      <c r="M25" s="232">
        <f t="shared" si="7"/>
        <v>1370.6250300000002</v>
      </c>
      <c r="N25" s="233">
        <f>SUM(N16:N24)</f>
        <v>302.03389830508456</v>
      </c>
      <c r="O25" s="101">
        <f>SUM(O16:O24)</f>
        <v>8.3632946415254228</v>
      </c>
      <c r="P25" s="234">
        <f>SUM(P16:P24)</f>
        <v>1681.0222229466101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1571.0700000000002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97.44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103.00497000000001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1370.6250300000002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302.03389830508456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1672.6589283050848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8.3632946415254246</v>
      </c>
    </row>
    <row r="35" spans="2:16" ht="15.75" customHeight="1" thickBot="1" x14ac:dyDescent="0.4">
      <c r="N35" s="374" t="s">
        <v>88</v>
      </c>
      <c r="O35" s="375"/>
      <c r="P35" s="297">
        <f>+P33+P34</f>
        <v>1681.0222229466103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</v>
      </c>
      <c r="I21" s="236">
        <f t="shared" si="0"/>
        <v>1743.3600000000001</v>
      </c>
      <c r="J21" s="272">
        <f t="shared" si="1"/>
        <v>139.46880000000002</v>
      </c>
      <c r="K21" s="128">
        <f t="shared" si="1"/>
        <v>61.017600000000009</v>
      </c>
      <c r="L21" s="119">
        <f t="shared" si="1"/>
        <v>0</v>
      </c>
      <c r="M21" s="230">
        <f t="shared" si="2"/>
        <v>1542.8736000000001</v>
      </c>
      <c r="N21" s="277">
        <f t="shared" si="3"/>
        <v>329.49152542372883</v>
      </c>
      <c r="O21" s="239">
        <f t="shared" si="4"/>
        <v>9.3618256271186446</v>
      </c>
      <c r="P21" s="119">
        <f t="shared" si="5"/>
        <v>1881.7269510508474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64</v>
      </c>
      <c r="I25" s="114">
        <f t="shared" si="7"/>
        <v>3847.1200000000003</v>
      </c>
      <c r="J25" s="274">
        <f>SUM(J16:J24)</f>
        <v>279.52400000000006</v>
      </c>
      <c r="K25" s="275">
        <f t="shared" si="7"/>
        <v>134.64920000000001</v>
      </c>
      <c r="L25" s="276">
        <f t="shared" si="7"/>
        <v>48.017520000000005</v>
      </c>
      <c r="M25" s="232">
        <f t="shared" si="7"/>
        <v>3384.9292800000003</v>
      </c>
      <c r="N25" s="233">
        <f>SUM(N16:N24)</f>
        <v>732.2033898305084</v>
      </c>
      <c r="O25" s="101">
        <f>SUM(O16:O24)</f>
        <v>20.585663349152544</v>
      </c>
      <c r="P25" s="234">
        <f>SUM(P16:P24)</f>
        <v>4137.7183331796614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3847.1200000000003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279.52400000000006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182.66672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3384.9292800000003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732.2033898305084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4117.1326698305083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20.585663349152544</v>
      </c>
    </row>
    <row r="35" spans="2:16" ht="15.75" customHeight="1" thickBot="1" x14ac:dyDescent="0.4">
      <c r="N35" s="374" t="s">
        <v>88</v>
      </c>
      <c r="O35" s="375"/>
      <c r="P35" s="297">
        <f>+P33+P34</f>
        <v>4137.7183331796605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7380.4</v>
      </c>
      <c r="J25" s="274">
        <f>SUM(J16:J24)</f>
        <v>543.35599999999999</v>
      </c>
      <c r="K25" s="275">
        <f t="shared" si="7"/>
        <v>258.31400000000002</v>
      </c>
      <c r="L25" s="276">
        <f t="shared" si="7"/>
        <v>80.029200000000003</v>
      </c>
      <c r="M25" s="232">
        <f t="shared" si="7"/>
        <v>6498.7008000000005</v>
      </c>
      <c r="N25" s="233">
        <f>SUM(N16:N24)</f>
        <v>1403.3898305084745</v>
      </c>
      <c r="O25" s="101">
        <f>SUM(O16:O24)</f>
        <v>39.510453152542375</v>
      </c>
      <c r="P25" s="234">
        <f>SUM(P16:P24)</f>
        <v>7941.6010836610167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7380.4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543.35599999999999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338.34320000000002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6498.7007999999996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1403.3898305084745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7902.0906305084736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39.510453152542368</v>
      </c>
    </row>
    <row r="35" spans="2:16" ht="15.75" customHeight="1" thickBot="1" x14ac:dyDescent="0.4">
      <c r="N35" s="374" t="s">
        <v>88</v>
      </c>
      <c r="O35" s="375"/>
      <c r="P35" s="297">
        <f>+P33+P34</f>
        <v>7941.6010836610158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0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5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30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topLeftCell="A7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2026-09-30T07:47:36Z</dcterms:modified>
</cp:coreProperties>
</file>