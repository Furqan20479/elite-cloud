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0C171A17-8557-47CF-A679-A47C0F7BBF14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J7" i="62" l="1"/>
  <c r="M21" i="44"/>
  <c r="O21" i="44" s="1"/>
  <c r="P21" i="44" s="1"/>
  <c r="K12" i="62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<sst xmlns="http://schemas.openxmlformats.org/spreadsheetml/2006/main" count="3948" uniqueCount="519">
  <si>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</si>
  <si>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</si>
  <si>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</si>
  <si>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</si>
  <si>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</si>
  <si>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</si>
  <si>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</si>
  <si>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</si>
  <si>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</si>
  <si>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</si>
  <si>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</si>
  <si>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</si>
  <si>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</si>
  <si>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</si>
  <si>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</si>
  <si>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</si>
  <si>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</si>
  <si>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</si>
  <si>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</si>
  <si>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</si>
  <si>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</si>
  <si>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</si>
  <si>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</si>
  <si>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</si>
  <si>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</si>
  <si>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</si>
  <si>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</si>
  <si>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</si>
  <si>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</si>
  <si>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</si>
  <si>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</si>
  <si>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</si>
  <si>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</si>
  <si>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</si>
  <si>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</si>
  <si>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</si>
  <si>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</si>
  <si>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</si>
  <si>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</si>
  <si>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</si>
  <si>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</si>
  <si>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</si>
  <si>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</si>
  <si>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</si>
  <si>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</si>
  <si>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</si>
  <si>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</si>
  <si>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</si>
  <si>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</si>
  <si>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</si>
  <si>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</si>
  <si>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</si>
  <si>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</si>
  <si>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</si>
  <si>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</si>
  <si>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</si>
  <si>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</si>
  <si>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</si>
  <si>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</si>
  <si>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</si>
  <si>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</si>
  <si>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</si>
  <si>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</si>
  <si>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</si>
  <si>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</si>
  <si>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</si>
  <si>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</si>
  <si>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</si>
  <si>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</si>
  <si>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</si>
  <si>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</si>
  <si>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</si>
  <si>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</si>
  <si>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</si>
  <si>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</si>
  <si>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</si>
  <si>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</si>
  <si>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</si>
  <si>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</si>
  <si>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</si>
  <si>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</si>
  <si>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</si>
  <si>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</si>
  <si>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</si>
  <si>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</si>
  <si>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</si>
  <si>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</si>
  <si>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</si>
  <si>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</si>
  <si>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</si>
  <si>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</si>
  <si>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</si>
  <si>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</si>
  <si>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</si>
  <si>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</si>
  <si>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</si>
  <si>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</si>
  <si>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</si>
  <si>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</si>
  <si>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</si>
  <si>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</si>
  <si>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</si>
  <si>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</si>
  <si>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</si>
  <si>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</si>
  <si>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</si>
  <si>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</si>
  <si>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</si>
  <si>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</si>
  <si>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</si>
  <si>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</si>
  <si>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</si>
  <si>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</si>
  <si>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</si>
  <si>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</si>
  <si>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</si>
  <si>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</si>
  <si>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</si>
  <si>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</si>
  <si>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</si>
  <si>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</si>
  <si>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</si>
  <si>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</si>
  <si>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</si>
  <si>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</si>
  <si>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</si>
  <si>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</si>
  <si>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</si>
  <si>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</si>
  <si>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</si>
  <si>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</si>
  <si>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</si>
  <si>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</si>
  <si>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</si>
  <si>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</si>
  <si>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</si>
  <si>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</si>
  <si>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</si>
  <si>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</si>
  <si>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</si>
  <si>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</si>
  <si>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</si>
  <si>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</si>
  <si>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</si>
  <si>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</si>
  <si>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</si>
  <si>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</si>
  <si>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</si>
  <si>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</si>
  <si>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</si>
  <si>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</si>
  <si>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</si>
  <si>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</si>
  <si>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</si>
  <si>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</si>
  <si>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</si>
  <si>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</si>
  <si>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</si>
  <si>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</si>
  <si>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</si>
  <si>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</si>
  <si>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</si>
  <si>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</si>
  <si>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</si>
  <si>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</si>
  <si>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</si>
  <si>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</si>
  <si>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</si>
  <si>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</si>
  <si>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</si>
  <si>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</si>
  <si>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</si>
  <si>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</si>
  <si>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</si>
  <si>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</si>
  <si>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</si>
  <si>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</si>
  <si>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</si>
  <si>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</si>
  <si>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</si>
  <si>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</si>
  <si>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</si>
  <si>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</si>
  <si>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</si>
  <si>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</si>
  <si>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</si>
  <si>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</si>
  <si>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</si>
  <si>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</si>
  <si>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</si>
  <si>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</si>
  <si>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</si>
  <si>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</si>
  <si>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</si>
  <si>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</si>
  <si>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</si>
  <si>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</si>
  <si>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</si>
  <si>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</si>
  <si>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</si>
  <si>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</si>
  <si>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</si>
  <si>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</si>
  <si>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</si>
  <si>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</si>
  <si>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</si>
  <si>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</si>
  <si>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</si>
  <si>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</si>
  <si>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</si>
  <si>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</si>
  <si>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</si>
  <si>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</si>
  <si>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</si>
  <si>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</si>
  <si>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</si>
  <si>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</si>
  <si>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</si>
  <si>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</si>
  <si>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</si>
  <si>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</si>
  <si>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</si>
  <si>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</si>
  <si>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</si>
  <si>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</si>
  <si>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</si>
  <si>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</si>
  <si>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</si>
  <si>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</si>
  <si>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</si>
  <si>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</si>
  <si>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</si>
  <si>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</si>
  <si>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</si>
  <si>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</si>
  <si>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</si>
  <si>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</si>
  <si>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</si>
  <si>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</si>
  <si>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</si>
  <si>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</si>
  <si>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</si>
  <si>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</si>
  <si>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</si>
  <si>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</si>
  <si>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</si>
  <si>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</si>
  <si>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</si>
  <si>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</si>
  <si>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</si>
  <si>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</si>
  <si>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</si>
  <si>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</si>
  <si>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</si>
  <si>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</si>
  <si>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</si>
  <si>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</si>
  <si>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</si>
  <si>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</si>
  <si>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</si>
  <si>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</si>
  <si>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</si>
  <si>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</si>
  <si>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</si>
  <si>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</si>
  <si>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</si>
  <si>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</si>
  <si>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</si>
  <si>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</si>
  <si>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</si>
  <si>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</si>
  <si>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</si>
  <si>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</si>
  <si>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</si>
  <si>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</si>
  <si>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</si>
  <si>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</si>
  <si>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</si>
  <si>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</si>
  <si>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</si>
  <si>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</si>
  <si>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</si>
  <si>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</si>
  <si>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</si>
  <si>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</si>
  <si>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</si>
  <si>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</si>
  <si>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</si>
  <si>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</si>
  <si>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</si>
  <si>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</si>
  <si>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</si>
  <si>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</si>
  <si>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</si>
  <si>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</si>
  <si>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</si>
  <si>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</si>
  <si>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</si>
  <si>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</si>
  <si>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</si>
  <si>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</si>
  <si>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</si>
  <si>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</si>
  <si>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</si>
  <si>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</si>
  <si>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</si>
  <si>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</si>
  <si>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</si>
  <si>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</si>
  <si>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</si>
  <si>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</si>
  <si>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</si>
  <si>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</si>
  <si>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</si>
  <si>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</si>
  <si>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</si>
  <si>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</si>
  <si>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</si>
  <si>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</si>
  <si>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</si>
  <si>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</si>
  <si>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</si>
  <si>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</si>
  <si>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</si>
  <si>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</si>
  <si>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</si>
  <si>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</si>
  <si>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</si>
  <si>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</si>
  <si>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</si>
  <si>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</si>
  <si>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</si>
  <si>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</si>
  <si>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</si>
  <si>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</si>
  <si>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</si>
  <si>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</si>
  <si>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</si>
  <si>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</si>
  <si>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</si>
  <si>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</si>
  <si>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</si>
  <si>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</si>
  <si>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</si>
  <si>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</si>
  <si>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</si>
  <si>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</si>
  <si>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</si>
  <si>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</si>
  <si>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</si>
  <si>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</si>
  <si>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</si>
  <si>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</si>
  <si>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</si>
  <si>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</si>
  <si>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</si>
  <si>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</si>
  <si>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</si>
  <si>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</si>
  <si>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</si>
  <si>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</si>
  <si>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</si>
  <si>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</si>
  <si>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</si>
  <si>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</si>
  <si>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</si>
  <si>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</si>
  <si>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</si>
  <si>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</si>
  <si>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</si>
  <si>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</si>
  <si>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</si>
  <si>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</si>
  <si>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</si>
  <si>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</si>
  <si>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</si>
  <si>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</si>
  <si>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</si>
  <si>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</si>
  <si>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</si>
  <si>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</si>
  <si>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</si>
  <si>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</si>
  <si>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</si>
  <si>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</si>
  <si>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</si>
  <si>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</si>
  <si>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</si>
  <si>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</si>
  <si>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</si>
  <si>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</si>
  <si>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</si>
  <si>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</si>
  <si>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</si>
  <si>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</si>
  <si>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</si>
  <si>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</si>
  <si>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</si>
  <si>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</si>
  <si>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</si>
  <si>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</si>
  <si>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</si>
  <si>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</si>
  <si>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</si>
  <si>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</si>
  <si>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</si>
  <si>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</si>
  <si>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</si>
  <si>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</si>
  <si>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</si>
  <si>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</si>
  <si>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</si>
  <si>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</si>
  <si>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</si>
  <si>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</si>
  <si>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</si>
  <si>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</si>
  <si>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</si>
  <si>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</si>
  <si>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</si>
  <si>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</si>
  <si>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</si>
  <si>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</si>
  <si>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</si>
  <si>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</si>
  <si>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</si>
  <si>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</si>
  <si>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</si>
  <si>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</si>
  <si>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</si>
  <si>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</si>
  <si>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</si>
  <si>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</si>
  <si>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</si>
  <si>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</si>
  <si>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</si>
  <si>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</si>
  <si>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</si>
  <si>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</si>
  <si>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</si>
  <si>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</si>
  <si>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</si>
  <si>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</si>
  <si>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</si>
  <si>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</si>
  <si>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</si>
  <si>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</si>
  <si>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</si>
  <si>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</si>
  <si>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</si>
  <si>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</si>
  <si>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</si>
  <si>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</si>
  <si>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</si>
  <si>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</si>
  <si>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</si>
  <si>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</si>
  <si>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</si>
  <si>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</si>
  <si>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</si>
  <si>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</si>
  <si>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</si>
  <si>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</si>
  <si>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</si>
  <si>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</si>
  <si>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</si>
  <si>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</si>
  <si>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</si>
  <si>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</si>
  <si>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</si>
  <si>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</si>
  <si>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</si>
  <si>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</si>
  <si>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</si>
  <si>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</si>
  <si>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</si>
  <si>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</si>
  <si>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</si>
  <si>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</si>
  <si>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</si>
  <si>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</si>
  <si>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</si>
  <si>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</si>
  <si>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</si>
  <si>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</si>
  <si>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</si>
  <si>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</si>
  <si>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</si>
  <si>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</si>
  <si>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</si>
  <si>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</si>
  <si>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</si>
  <si>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</si>
  <si>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</si>
  <si>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</si>
  <si>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</si>
  <si>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</si>
  <si>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</si>
  <si>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</si>
  <si>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</si>
  <si>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</si>
  <si>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</si>
  <si>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</si>
  <si>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</si>
  <si>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</si>
  <si>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</si>
  <si>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</si>
  <si>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</si>
  <si>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</si>
  <si>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</si>
  <si>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</si>
  <si>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</si>
  <si>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</si>
  <si>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Zeshan</t>
  </si>
  <si>
    <t>Abdullah Store</t>
  </si>
  <si>
    <t>Address: DHA</t>
  </si>
  <si>
    <t>Bilal Store</t>
  </si>
  <si>
    <t>Bravo Store</t>
  </si>
  <si>
    <t>Hafiz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</si>
</sst>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5" workbookViewId="0">
      <selection activeCell="H12" sqref="H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46282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Abdullah Store</v>
      </c>
      <c r="T3" s="301">
        <f>+'1'!P35</f>
        <v>1568.1057925423729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Bilal Store</v>
      </c>
      <c r="T4" s="301">
        <f>+'2'!P35</f>
        <v>3136.2115850847458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Bravo Store</v>
      </c>
      <c r="T5" s="301">
        <f>+'3'!P35</f>
        <v>3136.2115850847458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Hafiz Store</v>
      </c>
      <c r="T6" s="301">
        <f>+'4'!P35</f>
        <v>1568.1057925423729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20</v>
      </c>
      <c r="R7" s="313">
        <v>5</v>
      </c>
      <c r="S7" s="300" t="str">
        <f>+'5'!A6:A6</f>
        <v>Shop Name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20</v>
      </c>
      <c r="R8" s="313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30</v>
      </c>
      <c r="I10" s="236">
        <f t="shared" si="0"/>
        <v>2179.1999999999998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174.33599999999998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76.272000000000006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1928.5919999999999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411.86440677966107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11.702282033898305</v>
      </c>
      <c r="P10" s="311">
        <f t="shared" si="2"/>
        <v>2352.1586888135594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60</v>
      </c>
      <c r="I11" s="236">
        <f t="shared" si="0"/>
        <v>4358.3999999999996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348.67200000000003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152.54400000000001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3857.1839999999997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823.72881355932213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23.404564067796613</v>
      </c>
      <c r="P11" s="311">
        <f t="shared" si="2"/>
        <v>4704.3173776271187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30</v>
      </c>
      <c r="I12" s="236">
        <f t="shared" si="0"/>
        <v>2179.1999999999998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174.33599999999998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76.272000000000006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1928.5919999999999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411.86440677966107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11.702282033898305</v>
      </c>
      <c r="P12" s="311">
        <f t="shared" si="2"/>
        <v>2352.1586888135594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3</v>
      </c>
      <c r="H16" s="113">
        <f t="shared" ref="H16:M16" si="3">SUM(H7:H15)</f>
        <v>120</v>
      </c>
      <c r="I16" s="114">
        <f t="shared" si="3"/>
        <v>8716.7999999999993</v>
      </c>
      <c r="J16" s="274">
        <f>SUM(J7:J15)</f>
        <v>697.34400000000005</v>
      </c>
      <c r="K16" s="275">
        <f t="shared" si="3"/>
        <v>305.08800000000002</v>
      </c>
      <c r="L16" s="276">
        <f t="shared" si="3"/>
        <v>0</v>
      </c>
      <c r="M16" s="232">
        <f t="shared" si="3"/>
        <v>7714.3679999999995</v>
      </c>
      <c r="N16" s="233">
        <f>SUM(N7:N15)</f>
        <v>1647.4576271186443</v>
      </c>
      <c r="O16" s="101">
        <f>SUM(O7:O15)</f>
        <v>46.809128135593227</v>
      </c>
      <c r="P16" s="113">
        <f>SUM(P7:P15)</f>
        <v>9408.6347552542375</v>
      </c>
      <c r="Q16" s="128">
        <f>SUM(Q7:Q15)</f>
        <v>40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8716.7999999999993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697.34400000000005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305.08800000000002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7714.3679999999995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1647.4576271186443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9361.8256271186438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46.809128135593227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9408.6347552542375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9408.6347552542375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0"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7.2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7"/>
        <v>1452.8</v>
      </c>
      <c r="J20" s="272">
        <f t="shared" si="1"/>
        <v>116.224</v>
      </c>
      <c r="K20" s="128">
        <f t="shared" si="1"/>
        <v>50.848000000000006</v>
      </c>
      <c r="L20" s="119">
        <f t="shared" si="1"/>
        <v>0</v>
      </c>
      <c r="M20" s="230">
        <f t="shared" si="2"/>
        <v>1285.7280000000001</v>
      </c>
      <c r="N20" s="277">
        <f t="shared" si="3"/>
        <v>274.57627118644069</v>
      </c>
      <c r="O20" s="239">
        <f t="shared" si="4"/>
        <v>7.8015213559322039</v>
      </c>
      <c r="P20" s="119">
        <f t="shared" si="5"/>
        <v>1568.1057925423729</v>
      </c>
      <c r="Q20" s="319"/>
      <c r="R20">
        <f>P20/21</f>
        <v>74.671704406779668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20</v>
      </c>
      <c r="I25" s="114">
        <f t="shared" ref="I25:M25" si="10">SUM(I16:I24)</f>
        <v>1452.8</v>
      </c>
      <c r="J25" s="274">
        <f>SUM(J16:J24)</f>
        <v>116.224</v>
      </c>
      <c r="K25" s="275">
        <f t="shared" si="10"/>
        <v>50.848000000000006</v>
      </c>
      <c r="L25" s="276">
        <f t="shared" si="10"/>
        <v>0</v>
      </c>
      <c r="M25" s="232">
        <f t="shared" si="10"/>
        <v>1285.7280000000001</v>
      </c>
      <c r="N25" s="233">
        <f>SUM(N16:N24)</f>
        <v>274.57627118644069</v>
      </c>
      <c r="O25" s="101">
        <f>SUM(O16:O24)</f>
        <v>7.8015213559322039</v>
      </c>
      <c r="P25" s="234">
        <f>SUM(P16:P24)</f>
        <v>1568.1057925423729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1452.8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116.224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50.848000000000006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1285.7280000000001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1560.3042711864407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7.8015213559322039</v>
      </c>
    </row>
    <row r="35" spans="2:16" ht="15.75" customHeight="1" thickBot="1" x14ac:dyDescent="0.4">
      <c r="N35" s="345" t="s">
        <v>88</v>
      </c>
      <c r="O35" s="346"/>
      <c r="P35" s="297">
        <f>+P33+P34</f>
        <v>1568.1057925423729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8" workbookViewId="0">
      <selection activeCell="H17" sqref="H16: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>
        <v>20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>
        <v>20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232.44799999999998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19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232.44799999999998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4"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116.224</v>
      </c>
      <c r="K20" s="128">
        <f t="shared" si="1"/>
        <v>50.848000000000006</v>
      </c>
      <c r="L20" s="119">
        <f t="shared" si="1"/>
        <v>0</v>
      </c>
      <c r="M20" s="230">
        <f t="shared" si="2"/>
        <v>1285.7280000000001</v>
      </c>
      <c r="N20" s="277">
        <f t="shared" si="3"/>
        <v>274.57627118644069</v>
      </c>
      <c r="O20" s="239">
        <f t="shared" si="4"/>
        <v>7.8015213559322039</v>
      </c>
      <c r="P20" s="119">
        <f t="shared" si="5"/>
        <v>1568.1057925423729</v>
      </c>
      <c r="Q20" s="319"/>
      <c r="R20">
        <f>P20/21</f>
        <v>74.671704406779668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20</v>
      </c>
      <c r="I25" s="114">
        <f t="shared" si="7"/>
        <v>1452.8</v>
      </c>
      <c r="J25" s="274">
        <f>SUM(J16:J24)</f>
        <v>116.224</v>
      </c>
      <c r="K25" s="275">
        <f t="shared" si="7"/>
        <v>50.848000000000006</v>
      </c>
      <c r="L25" s="276">
        <f t="shared" si="7"/>
        <v>0</v>
      </c>
      <c r="M25" s="232">
        <f t="shared" si="7"/>
        <v>1285.7280000000001</v>
      </c>
      <c r="N25" s="233">
        <f>SUM(N16:N24)</f>
        <v>274.57627118644069</v>
      </c>
      <c r="O25" s="101">
        <f>SUM(O16:O24)</f>
        <v>7.8015213559322039</v>
      </c>
      <c r="P25" s="234">
        <f>SUM(P16:P24)</f>
        <v>1568.1057925423729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1452.8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116.224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50.848000000000006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1285.7280000000001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1560.3042711864407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7.8015213559322039</v>
      </c>
    </row>
    <row r="35" spans="2:16" ht="15.75" customHeight="1" thickBot="1" x14ac:dyDescent="0.4">
      <c r="N35" s="345" t="s">
        <v>88</v>
      </c>
      <c r="O35" s="346"/>
      <c r="P35" s="297">
        <f>+P33+P34</f>
        <v>1568.1057925423729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46283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46282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2026-09-17T11:40:26Z</dcterms:modified>
</cp:coreProperties>
</file>