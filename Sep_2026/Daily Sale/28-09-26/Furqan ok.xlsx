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38F8D2-1CCF-4078-A59A-A3474C117E4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C11" i="72" s="1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8" l="1"/>
  <c r="N24" i="70"/>
  <c r="N4" i="65"/>
  <c r="N5" i="65" s="1"/>
  <c r="N24" i="66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16" i="56" l="1"/>
  <c r="N16" i="59"/>
  <c r="N16" i="44"/>
  <c r="N16" i="63"/>
  <c r="N16" i="53"/>
  <c r="N16" i="48"/>
  <c r="N24" i="50"/>
  <c r="N16" i="58"/>
  <c r="N16" i="50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O50" i="41" s="1"/>
  <c r="P50" i="41" s="1"/>
  <c r="N10" i="4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9" i="41" l="1"/>
  <c r="P39" i="41" s="1"/>
  <c r="O13" i="41"/>
  <c r="P13" i="41" s="1"/>
  <c r="O15" i="41"/>
  <c r="P15" i="41" s="1"/>
  <c r="O10" i="41"/>
  <c r="P10" i="41" s="1"/>
  <c r="O18" i="41"/>
  <c r="P18" i="41" s="1"/>
  <c r="O49" i="41"/>
  <c r="P49" i="41" s="1"/>
  <c r="O9" i="41"/>
  <c r="P9" i="41" s="1"/>
  <c r="O26" i="41"/>
  <c r="P26" i="41" s="1"/>
  <c r="O35" i="41"/>
  <c r="P3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3" i="11" l="1"/>
  <c r="N14" i="62" s="1"/>
  <c r="N18" i="1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3" i="65"/>
  <c r="L17" i="16"/>
  <c r="M16" i="72"/>
  <c r="M20" i="43"/>
  <c r="O20" i="43" s="1"/>
  <c r="P20" i="43" s="1"/>
  <c r="R20" i="43" s="1"/>
  <c r="M23" i="54"/>
  <c r="O23" i="54" s="1"/>
  <c r="P23" i="54" s="1"/>
  <c r="M23" i="44"/>
  <c r="O23" i="44" s="1"/>
  <c r="P23" i="44" s="1"/>
  <c r="M22" i="56"/>
  <c r="O22" i="56" s="1"/>
  <c r="P22" i="56" s="1"/>
  <c r="M22" i="67"/>
  <c r="O22" i="67" s="1"/>
  <c r="P22" i="67" s="1"/>
  <c r="M24" i="43"/>
  <c r="O24" i="43" s="1"/>
  <c r="P24" i="43" s="1"/>
  <c r="M22" i="43"/>
  <c r="M23" i="64"/>
  <c r="M23" i="53"/>
  <c r="O23" i="53" s="1"/>
  <c r="P23" i="53" s="1"/>
  <c r="M22" i="51"/>
  <c r="M23" i="48"/>
  <c r="M17" i="44"/>
  <c r="O17" i="44" s="1"/>
  <c r="P17" i="44" s="1"/>
  <c r="M16" i="43"/>
  <c r="M16" i="64"/>
  <c r="M17" i="60"/>
  <c r="O17" i="60" s="1"/>
  <c r="P17" i="60" s="1"/>
  <c r="M23" i="51"/>
  <c r="O23" i="51" s="1"/>
  <c r="P23" i="51" s="1"/>
  <c r="K12" i="62"/>
  <c r="M16" i="48"/>
  <c r="M20" i="71"/>
  <c r="O20" i="71" s="1"/>
  <c r="P20" i="71" s="1"/>
  <c r="R20" i="71" s="1"/>
  <c r="M24" i="53"/>
  <c r="O24" i="53" s="1"/>
  <c r="P24" i="53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4" i="71"/>
  <c r="M23" i="59"/>
  <c r="M16" i="66"/>
  <c r="M16" i="44"/>
  <c r="O16" i="44" s="1"/>
  <c r="M24" i="44"/>
  <c r="O24" i="44" s="1"/>
  <c r="P24" i="44" s="1"/>
  <c r="M17" i="56"/>
  <c r="O17" i="56" s="1"/>
  <c r="P17" i="56" s="1"/>
  <c r="M24" i="50"/>
  <c r="O24" i="50" s="1"/>
  <c r="P24" i="50" s="1"/>
  <c r="M16" i="52"/>
  <c r="M18" i="53"/>
  <c r="O18" i="53" s="1"/>
  <c r="P18" i="53" s="1"/>
  <c r="M23" i="56"/>
  <c r="M22" i="63"/>
  <c r="O22" i="63" s="1"/>
  <c r="P22" i="63" s="1"/>
  <c r="M24" i="47"/>
  <c r="O24" i="47" s="1"/>
  <c r="P24" i="47" s="1"/>
  <c r="M20" i="47"/>
  <c r="O20" i="47" s="1"/>
  <c r="P20" i="47" s="1"/>
  <c r="R20" i="47" s="1"/>
  <c r="M23" i="60"/>
  <c r="M24" i="46"/>
  <c r="O24" i="46" s="1"/>
  <c r="P24" i="46" s="1"/>
  <c r="L21" i="16"/>
  <c r="J15" i="62"/>
  <c r="L20" i="16"/>
  <c r="M20" i="16" s="1"/>
  <c r="N20" i="16" s="1"/>
  <c r="O20" i="16" s="1"/>
  <c r="L23" i="16"/>
  <c r="M24" i="58"/>
  <c r="O24" i="58" s="1"/>
  <c r="P24" i="58" s="1"/>
  <c r="M23" i="66"/>
  <c r="O23" i="66" s="1"/>
  <c r="P23" i="66" s="1"/>
  <c r="M21" i="53"/>
  <c r="O21" i="53" s="1"/>
  <c r="P21" i="53" s="1"/>
  <c r="M24" i="63"/>
  <c r="O24" i="63" s="1"/>
  <c r="P24" i="63" s="1"/>
  <c r="M21" i="68"/>
  <c r="O21" i="68" s="1"/>
  <c r="P21" i="68" s="1"/>
  <c r="M21" i="44"/>
  <c r="O21" i="44" s="1"/>
  <c r="P21" i="44" s="1"/>
  <c r="J7" i="62"/>
  <c r="K15" i="62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3" i="64"/>
  <c r="P23" i="64" s="1"/>
  <c r="O24" i="71"/>
  <c r="P24" i="71"/>
  <c r="O23" i="59"/>
  <c r="P23" i="59" s="1"/>
  <c r="O23" i="69"/>
  <c r="P23" i="69" s="1"/>
  <c r="O24" i="48"/>
  <c r="P24" i="48" s="1"/>
  <c r="O22" i="51"/>
  <c r="P22" i="51" s="1"/>
  <c r="O23" i="60"/>
  <c r="P23" i="60" s="1"/>
  <c r="O16" i="64"/>
  <c r="P16" i="64" s="1"/>
  <c r="O16" i="55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48"/>
  <c r="P16" i="70"/>
  <c r="P16" i="53"/>
  <c r="P25" i="53" s="1"/>
  <c r="O15" i="62"/>
  <c r="P15" i="62" s="1"/>
  <c r="O25" i="55"/>
  <c r="O25" i="64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O24" i="5" s="1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<sst xmlns="http://schemas.openxmlformats.org/spreadsheetml/2006/main" count="3948" uniqueCount="521">
  <si>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</si>
  <si>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</si>
  <si>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</si>
  <si>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</si>
  <si>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</si>
  <si>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</si>
  <si>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</si>
  <si>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</si>
  <si>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</si>
  <si>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</si>
  <si>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</si>
  <si>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</si>
  <si>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</si>
  <si>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</si>
  <si>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</si>
  <si>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</si>
  <si>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</si>
  <si>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</si>
  <si>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</si>
  <si>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</si>
  <si>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</si>
  <si>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</si>
  <si>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</si>
  <si>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</si>
  <si>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</si>
  <si>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</si>
  <si>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</si>
  <si>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</si>
  <si>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</si>
  <si>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</si>
  <si>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</si>
  <si>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</si>
  <si>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</si>
  <si>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</si>
  <si>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</si>
  <si>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</si>
  <si>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</si>
  <si>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</si>
  <si>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</si>
  <si>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</si>
  <si>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</si>
  <si>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</si>
  <si>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</si>
  <si>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</si>
  <si>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</si>
  <si>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</si>
  <si>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</si>
  <si>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</si>
  <si>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</si>
  <si>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</si>
  <si>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</si>
  <si>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</si>
  <si>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</si>
  <si>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</si>
  <si>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</si>
  <si>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</si>
  <si>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</si>
  <si>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</si>
  <si>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</si>
  <si>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</si>
  <si>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</si>
  <si>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</si>
  <si>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</si>
  <si>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</si>
  <si>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</si>
  <si>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</si>
  <si>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</si>
  <si>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</si>
  <si>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</si>
  <si>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</si>
  <si>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</si>
  <si>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</si>
  <si>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</si>
  <si>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</si>
  <si>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</si>
  <si>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</si>
  <si>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</si>
  <si>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</si>
  <si>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</si>
  <si>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</si>
  <si>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</si>
  <si>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</si>
  <si>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</si>
  <si>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</si>
  <si>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</si>
  <si>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</si>
  <si>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</si>
  <si>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</si>
  <si>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</si>
  <si>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</si>
  <si>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</si>
  <si>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</si>
  <si>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</si>
  <si>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</si>
  <si>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</si>
  <si>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</si>
  <si>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</si>
  <si>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</si>
  <si>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</si>
  <si>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</si>
  <si>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</si>
  <si>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</si>
  <si>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</si>
  <si>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</si>
  <si>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</si>
  <si>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</si>
  <si>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</si>
  <si>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</si>
  <si>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</si>
  <si>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</si>
  <si>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</si>
  <si>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</si>
  <si>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</si>
  <si>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</si>
  <si>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</si>
  <si>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</si>
  <si>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</si>
  <si>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</si>
  <si>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</si>
  <si>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</si>
  <si>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</si>
  <si>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</si>
  <si>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</si>
  <si>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</si>
  <si>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</si>
  <si>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</si>
  <si>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</si>
  <si>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</si>
  <si>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</si>
  <si>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</si>
  <si>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</si>
  <si>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</si>
  <si>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</si>
  <si>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</si>
  <si>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</si>
  <si>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</si>
  <si>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</si>
  <si>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</si>
  <si>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</si>
  <si>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</si>
  <si>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</si>
  <si>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</si>
  <si>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</si>
  <si>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</si>
  <si>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</si>
  <si>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</si>
  <si>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</si>
  <si>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</si>
  <si>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</si>
  <si>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</si>
  <si>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</si>
  <si>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</si>
  <si>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</si>
  <si>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</si>
  <si>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</si>
  <si>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</si>
  <si>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</si>
  <si>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</si>
  <si>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</si>
  <si>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</si>
  <si>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</si>
  <si>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</si>
  <si>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</si>
  <si>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</si>
  <si>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</si>
  <si>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</si>
  <si>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</si>
  <si>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</si>
  <si>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</si>
  <si>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</si>
  <si>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</si>
  <si>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</si>
  <si>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</si>
  <si>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</si>
  <si>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</si>
  <si>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</si>
  <si>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</si>
  <si>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</si>
  <si>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</si>
  <si>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</si>
  <si>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</si>
  <si>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</si>
  <si>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</si>
  <si>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</si>
  <si>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</si>
  <si>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</si>
  <si>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</si>
  <si>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</si>
  <si>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</si>
  <si>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</si>
  <si>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</si>
  <si>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</si>
  <si>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</si>
  <si>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</si>
  <si>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</si>
  <si>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</si>
  <si>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</si>
  <si>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</si>
  <si>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</si>
  <si>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</si>
  <si>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</si>
  <si>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</si>
  <si>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</si>
  <si>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</si>
  <si>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</si>
  <si>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</si>
  <si>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</si>
  <si>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</si>
  <si>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</si>
  <si>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</si>
  <si>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</si>
  <si>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</si>
  <si>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</si>
  <si>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</si>
  <si>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</si>
  <si>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</si>
  <si>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</si>
  <si>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</si>
  <si>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</si>
  <si>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</si>
  <si>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</si>
  <si>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</si>
  <si>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</si>
  <si>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</si>
  <si>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</si>
  <si>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</si>
  <si>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</si>
  <si>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</si>
  <si>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</si>
  <si>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</si>
  <si>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</si>
  <si>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</si>
  <si>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</si>
  <si>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</si>
  <si>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</si>
  <si>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</si>
  <si>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</si>
  <si>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</si>
  <si>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</si>
  <si>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</si>
  <si>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</si>
  <si>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</si>
  <si>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</si>
  <si>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</si>
  <si>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</si>
  <si>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</si>
  <si>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</si>
  <si>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</si>
  <si>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</si>
  <si>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</si>
  <si>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</si>
  <si>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</si>
  <si>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</si>
  <si>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</si>
  <si>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</si>
  <si>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</si>
  <si>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</si>
  <si>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</si>
  <si>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</si>
  <si>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</si>
  <si>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</si>
  <si>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</si>
  <si>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</si>
  <si>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</si>
  <si>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</si>
  <si>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</si>
  <si>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</si>
  <si>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</si>
  <si>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</si>
  <si>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</si>
  <si>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</si>
  <si>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</si>
  <si>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</si>
  <si>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</si>
  <si>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</si>
  <si>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</si>
  <si>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</si>
  <si>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</si>
  <si>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</si>
  <si>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</si>
  <si>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</si>
  <si>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</si>
  <si>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</si>
  <si>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</si>
  <si>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</si>
  <si>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</si>
  <si>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</si>
  <si>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</si>
  <si>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</si>
  <si>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</si>
  <si>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</si>
  <si>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</si>
  <si>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</si>
  <si>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</si>
  <si>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</si>
  <si>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</si>
  <si>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</si>
  <si>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</si>
  <si>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</si>
  <si>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</si>
  <si>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</si>
  <si>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</si>
  <si>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</si>
  <si>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</si>
  <si>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</si>
  <si>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</si>
  <si>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</si>
  <si>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</si>
  <si>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</si>
  <si>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</si>
  <si>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</si>
  <si>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</si>
  <si>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</si>
  <si>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</si>
  <si>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</si>
  <si>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</si>
  <si>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</si>
  <si>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</si>
  <si>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</si>
  <si>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</si>
  <si>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</si>
  <si>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</si>
  <si>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</si>
  <si>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</si>
  <si>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</si>
  <si>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</si>
  <si>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</si>
  <si>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</si>
  <si>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</si>
  <si>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</si>
  <si>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</si>
  <si>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</si>
  <si>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</si>
  <si>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</si>
  <si>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</si>
  <si>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</si>
  <si>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</si>
  <si>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</si>
  <si>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</si>
  <si>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</si>
  <si>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</si>
  <si>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</si>
  <si>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</si>
  <si>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</si>
  <si>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</si>
  <si>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</si>
  <si>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</si>
  <si>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</si>
  <si>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</si>
  <si>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</si>
  <si>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</si>
  <si>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</si>
  <si>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</si>
  <si>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</si>
  <si>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</si>
  <si>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</si>
  <si>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</si>
  <si>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</si>
  <si>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</si>
  <si>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</si>
  <si>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</si>
  <si>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</si>
  <si>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</si>
  <si>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</si>
  <si>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</si>
  <si>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</si>
  <si>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</si>
  <si>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</si>
  <si>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</si>
  <si>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</si>
  <si>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</si>
  <si>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</si>
  <si>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</si>
  <si>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</si>
  <si>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</si>
  <si>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</si>
  <si>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</si>
  <si>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</si>
  <si>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</si>
  <si>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</si>
  <si>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</si>
  <si>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</si>
  <si>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</si>
  <si>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</si>
  <si>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</si>
  <si>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</si>
  <si>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</si>
  <si>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</si>
  <si>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</si>
  <si>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</si>
  <si>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</si>
  <si>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</si>
  <si>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</si>
  <si>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</si>
  <si>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</si>
  <si>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</si>
  <si>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</si>
  <si>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</si>
  <si>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</si>
  <si>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</si>
  <si>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</si>
  <si>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</si>
  <si>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</si>
  <si>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</si>
  <si>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</si>
  <si>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</si>
  <si>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</si>
  <si>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</si>
  <si>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</si>
  <si>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</si>
  <si>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</si>
  <si>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</si>
  <si>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</si>
  <si>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</si>
  <si>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</si>
  <si>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</si>
  <si>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</si>
  <si>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</si>
  <si>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</si>
  <si>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</si>
  <si>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</si>
  <si>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</si>
  <si>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</si>
  <si>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</si>
  <si>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</si>
  <si>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</si>
  <si>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</si>
  <si>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</si>
  <si>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</si>
  <si>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</si>
  <si>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</si>
  <si>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</si>
  <si>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</si>
  <si>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</si>
  <si>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</si>
  <si>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</si>
  <si>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</si>
  <si>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</si>
  <si>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</si>
  <si>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</si>
  <si>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</si>
  <si>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</si>
  <si>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</si>
  <si>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</si>
  <si>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</si>
  <si>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</si>
  <si>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</si>
  <si>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</si>
  <si>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</si>
  <si>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</si>
  <si>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</si>
  <si>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</si>
  <si>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</si>
  <si>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</si>
  <si>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</si>
  <si>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</si>
  <si>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</si>
  <si>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</si>
  <si>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</si>
  <si>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</si>
  <si>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</si>
  <si>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</si>
  <si>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</si>
  <si>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</si>
  <si>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</si>
  <si>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</si>
  <si>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</si>
  <si>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</si>
  <si>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</si>
  <si>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</si>
  <si>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</si>
  <si>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</si>
  <si>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</si>
  <si>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</si>
  <si>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</si>
  <si>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</si>
  <si>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</si>
  <si>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</si>
  <si>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</si>
  <si>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</si>
  <si>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</si>
  <si>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</si>
  <si>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</si>
  <si>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</si>
  <si>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</si>
  <si>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</si>
  <si>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</si>
  <si>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</si>
  <si>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</si>
  <si>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</si>
  <si>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</si>
  <si>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</si>
  <si>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</si>
  <si>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</si>
  <si>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</si>
  <si>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</si>
  <si>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</si>
  <si>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</si>
  <si>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</si>
  <si>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</si>
  <si>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</si>
  <si>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</si>
  <si>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</si>
  <si>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</si>
  <si>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</si>
  <si>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</si>
  <si>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</si>
  <si>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</si>
  <si>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</si>
  <si>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</si>
  <si>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</si>
  <si>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</si>
  <si>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</si>
  <si>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</si>
  <si>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</si>
  <si>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Shokat Town</t>
  </si>
  <si>
    <t>S</t>
  </si>
  <si>
    <t>Dua Store</t>
  </si>
  <si>
    <t xml:space="preserve">SK Bakers </t>
  </si>
  <si>
    <t>Mubashir Shah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</si>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</sst>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Dua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SK Bakers </v>
      </c>
      <c r="T4" s="301">
        <f>+'2'!P35</f>
        <v>1698.7886871292369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Mubashir Shah Store</v>
      </c>
      <c r="T5" s="301">
        <f>+'3'!P35</f>
        <v>2038.5464245550845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12544.846340338983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22</v>
      </c>
      <c r="I7" s="235">
        <f>(G7*D7)*F7+H7*F7</f>
        <v>1154.175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92.334000000000003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40.396124999999998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1021.4448749999999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218.13559322033888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6.1979023411016945</v>
      </c>
      <c r="P7" s="310">
        <f>M7+N7+O7</f>
        <v>1245.7783705614406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18</v>
      </c>
      <c r="R7" s="313">
        <v>5</v>
      </c>
      <c r="S7" s="300" t="str">
        <f>+'5'!A6:A6</f>
        <v>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22</v>
      </c>
      <c r="I8" s="236">
        <f t="shared" ref="I8:I14" si="0">(G8*D8)*F8+H8*F8</f>
        <v>1154.175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92.334000000000003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40.396124999999998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1021.4448749999999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218.13559322033888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6.1979023411016945</v>
      </c>
      <c r="P8" s="311">
        <f t="shared" ref="P8:P15" si="2">M8+N8+O8</f>
        <v>1245.7783705614406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>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22</v>
      </c>
      <c r="I9" s="236">
        <f t="shared" si="0"/>
        <v>1154.175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92.334000000000003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40.396124999999998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1021.4448749999999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218.13559322033888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6.1979023411016945</v>
      </c>
      <c r="P9" s="311">
        <f t="shared" si="2"/>
        <v>1245.7783705614406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5.65</v>
      </c>
      <c r="H16" s="113">
        <f t="shared" ref="H16:M16" si="3">SUM(H7:H15)</f>
        <v>226</v>
      </c>
      <c r="I16" s="114">
        <f t="shared" si="3"/>
        <v>15084.924999999999</v>
      </c>
      <c r="J16" s="274">
        <f>SUM(J7:J15)</f>
        <v>1206.7940000000001</v>
      </c>
      <c r="K16" s="275">
        <f t="shared" si="3"/>
        <v>527.97237500000006</v>
      </c>
      <c r="L16" s="276">
        <f t="shared" si="3"/>
        <v>0</v>
      </c>
      <c r="M16" s="232">
        <f t="shared" si="3"/>
        <v>13350.158625</v>
      </c>
      <c r="N16" s="233">
        <f>SUM(N7:N15)</f>
        <v>2851.0169491525421</v>
      </c>
      <c r="O16" s="101">
        <f>SUM(O7:O15)</f>
        <v>81.005877870762703</v>
      </c>
      <c r="P16" s="113">
        <f>SUM(P7:P15)</f>
        <v>16282.181452023306</v>
      </c>
      <c r="Q16" s="128">
        <f>SUM(Q7:Q15)</f>
        <v>36</v>
      </c>
      <c r="R16" s="313">
        <v>14</v>
      </c>
      <c r="S16" s="315" t="str">
        <f>+'14'!A6:A6</f>
        <v>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15084.924999999999</v>
      </c>
      <c r="R19" s="299">
        <v>17</v>
      </c>
      <c r="S19" s="300" t="str">
        <f>+'17'!A6:A6</f>
        <v>S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1206.7940000000001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527.97237500000006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13350.158625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2851.0169491525421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16201.175574152541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81.005877870762703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16282.181452023304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16282.181452023306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18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2026-09-28T12:15:06Z</dcterms:modified>
</cp:coreProperties>
</file>