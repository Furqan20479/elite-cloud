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5E0247FB-7448-437F-B32B-67C67CB050DD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6" i="43" l="1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57"/>
  <c r="N4" i="70"/>
  <c r="N4" i="51"/>
  <c r="N4" i="64"/>
  <c r="N5" i="64" s="1"/>
  <c r="Q16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E19" i="71"/>
  <c r="V19" i="71" s="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B20" i="70"/>
  <c r="C20" i="70" s="1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C11" i="69" s="1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E16" i="69"/>
  <c r="V16" i="69" s="1"/>
  <c r="D16" i="69"/>
  <c r="C16" i="69"/>
  <c r="B16" i="69"/>
  <c r="O15" i="69"/>
  <c r="C12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E22" i="68"/>
  <c r="V22" i="68" s="1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E16" i="68"/>
  <c r="V16" i="68" s="1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E22" i="67"/>
  <c r="V22" i="67" s="1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E16" i="67"/>
  <c r="V16" i="67" s="1"/>
  <c r="D16" i="67"/>
  <c r="C16" i="67"/>
  <c r="B16" i="67"/>
  <c r="O15" i="67"/>
  <c r="C12" i="67"/>
  <c r="C11" i="67"/>
  <c r="O34" i="66"/>
  <c r="C11" i="66" s="1"/>
  <c r="H25" i="66"/>
  <c r="G25" i="66"/>
  <c r="A25" i="66"/>
  <c r="E24" i="66"/>
  <c r="V24" i="66" s="1"/>
  <c r="D24" i="66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E22" i="66"/>
  <c r="V22" i="66" s="1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O34" i="65"/>
  <c r="C11" i="65" s="1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E22" i="65"/>
  <c r="V22" i="65" s="1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E19" i="65"/>
  <c r="V19" i="65" s="1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E19" i="64"/>
  <c r="V19" i="64" s="1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24" i="66" l="1"/>
  <c r="N4" i="67"/>
  <c r="N5" i="67" s="1"/>
  <c r="N4" i="53"/>
  <c r="N4" i="63"/>
  <c r="N5" i="63" s="1"/>
  <c r="N4" i="45"/>
  <c r="N4" i="58"/>
  <c r="N4" i="68"/>
  <c r="N5" i="68" s="1"/>
  <c r="N5" i="11"/>
  <c r="N4" i="50"/>
  <c r="N4" i="55"/>
  <c r="N20" i="69"/>
  <c r="N4" i="46"/>
  <c r="N5" i="46" s="1"/>
  <c r="N4" i="69"/>
  <c r="N5" i="69" s="1"/>
  <c r="N4" i="65"/>
  <c r="N5" i="65" s="1"/>
  <c r="N4" i="59"/>
  <c r="N4" i="61"/>
  <c r="N5" i="61" s="1"/>
  <c r="N4" i="60"/>
  <c r="N4" i="52"/>
  <c r="N4" i="44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C11" i="63" s="1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E19" i="63"/>
  <c r="V19" i="63" s="1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E16" i="63"/>
  <c r="V16" i="63" s="1"/>
  <c r="D16" i="63"/>
  <c r="C16" i="63"/>
  <c r="B16" i="63"/>
  <c r="O15" i="63"/>
  <c r="C12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E22" i="59"/>
  <c r="V22" i="59" s="1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E16" i="59"/>
  <c r="V16" i="59" s="1"/>
  <c r="D16" i="59"/>
  <c r="C16" i="59"/>
  <c r="B16" i="59"/>
  <c r="O15" i="59"/>
  <c r="C12" i="59"/>
  <c r="C11" i="59"/>
  <c r="N5" i="59"/>
  <c r="O34" i="58"/>
  <c r="C11" i="58" s="1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C16" i="58"/>
  <c r="B16" i="58"/>
  <c r="O15" i="58"/>
  <c r="C12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E16" i="57"/>
  <c r="V16" i="57" s="1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E16" i="56"/>
  <c r="V16" i="56" s="1"/>
  <c r="D16" i="56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E16" i="55"/>
  <c r="V16" i="55" s="1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B20" i="54"/>
  <c r="C20" i="54" s="1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E16" i="53"/>
  <c r="V16" i="53" s="1"/>
  <c r="D16" i="53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E16" i="52"/>
  <c r="V16" i="52" s="1"/>
  <c r="D16" i="52"/>
  <c r="C16" i="52"/>
  <c r="B16" i="52"/>
  <c r="O15" i="52"/>
  <c r="C12" i="52"/>
  <c r="C11" i="52"/>
  <c r="N5" i="52"/>
  <c r="O34" i="51"/>
  <c r="C11" i="51" s="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B20" i="51"/>
  <c r="C20" i="51" s="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E16" i="50"/>
  <c r="V16" i="50" s="1"/>
  <c r="D16" i="50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E16" i="48"/>
  <c r="V16" i="48" s="1"/>
  <c r="D16" i="48"/>
  <c r="C16" i="48"/>
  <c r="B16" i="48"/>
  <c r="O15" i="48"/>
  <c r="C12" i="48"/>
  <c r="O34" i="47"/>
  <c r="C11" i="47" s="1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O34" i="46"/>
  <c r="C11" i="46" s="1"/>
  <c r="H25" i="46"/>
  <c r="G25" i="46"/>
  <c r="A25" i="46"/>
  <c r="E24" i="46"/>
  <c r="V24" i="46" s="1"/>
  <c r="D24" i="46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O34" i="45"/>
  <c r="C11" i="45" s="1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E16" i="45"/>
  <c r="V16" i="45" s="1"/>
  <c r="D16" i="45"/>
  <c r="C16" i="45"/>
  <c r="B16" i="45"/>
  <c r="O15" i="45"/>
  <c r="C12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E16" i="44"/>
  <c r="V16" i="44" s="1"/>
  <c r="D16" i="44"/>
  <c r="C16" i="44"/>
  <c r="B16" i="44"/>
  <c r="O15" i="44"/>
  <c r="C12" i="44"/>
  <c r="N5" i="44"/>
  <c r="O34" i="43"/>
  <c r="C11" i="43" s="1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N16" i="53" l="1"/>
  <c r="N16" i="56"/>
  <c r="N16" i="63"/>
  <c r="N16" i="58"/>
  <c r="N16" i="48"/>
  <c r="N16" i="50"/>
  <c r="N16" i="59"/>
  <c r="N16" i="44"/>
  <c r="N24" i="46"/>
  <c r="N24" i="48"/>
  <c r="N24" i="43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J49" i="41"/>
  <c r="L49" i="41" s="1"/>
  <c r="K49" i="41" s="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J39" i="41"/>
  <c r="L39" i="41" s="1"/>
  <c r="K39" i="41" s="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J30" i="41"/>
  <c r="L30" i="41" s="1"/>
  <c r="K30" i="41" s="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J21" i="41"/>
  <c r="L21" i="41" s="1"/>
  <c r="K21" i="41" s="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J12" i="41"/>
  <c r="L12" i="41" s="1"/>
  <c r="K12" i="41" s="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 s="1"/>
  <c r="H5" i="15" s="1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M10" i="41"/>
  <c r="K10" i="41"/>
  <c r="M40" i="41"/>
  <c r="K40" i="41"/>
  <c r="M47" i="41"/>
  <c r="K47" i="41"/>
  <c r="M15" i="41"/>
  <c r="K15" i="41"/>
  <c r="K18" i="41"/>
  <c r="M18" i="41"/>
  <c r="M35" i="41"/>
  <c r="K35" i="41"/>
  <c r="K46" i="41"/>
  <c r="M46" i="41"/>
  <c r="K13" i="41"/>
  <c r="M13" i="41"/>
  <c r="M28" i="41"/>
  <c r="K28" i="41"/>
  <c r="M5" i="4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L11" i="41"/>
  <c r="M12" i="41"/>
  <c r="N13" i="41"/>
  <c r="L16" i="41"/>
  <c r="M17" i="41"/>
  <c r="N18" i="41"/>
  <c r="L20" i="41"/>
  <c r="M21" i="41"/>
  <c r="N22" i="41"/>
  <c r="L24" i="41"/>
  <c r="M25" i="41"/>
  <c r="N26" i="41"/>
  <c r="M30" i="41"/>
  <c r="N31" i="41"/>
  <c r="M34" i="41"/>
  <c r="O34" i="41" s="1"/>
  <c r="P34" i="41" s="1"/>
  <c r="N35" i="41"/>
  <c r="M39" i="41"/>
  <c r="N40" i="41"/>
  <c r="M44" i="41"/>
  <c r="N46" i="41"/>
  <c r="M49" i="41"/>
  <c r="N50" i="41"/>
  <c r="N10" i="41"/>
  <c r="N23" i="41"/>
  <c r="N28" i="41"/>
  <c r="N47" i="41"/>
  <c r="O47" i="41" s="1"/>
  <c r="P47" i="41" s="1"/>
  <c r="N8" i="41"/>
  <c r="N12" i="4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11" i="14" s="1"/>
  <c r="O5" i="14"/>
  <c r="O3" i="14"/>
  <c r="O4" i="14"/>
  <c r="M9" i="14"/>
  <c r="M31" i="14"/>
  <c r="O31" i="14" s="1"/>
  <c r="M24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18" i="41" l="1"/>
  <c r="P18" i="41" s="1"/>
  <c r="O39" i="41"/>
  <c r="P39" i="41" s="1"/>
  <c r="O13" i="41"/>
  <c r="P13" i="41" s="1"/>
  <c r="O26" i="41"/>
  <c r="P26" i="41" s="1"/>
  <c r="O9" i="41"/>
  <c r="P9" i="41" s="1"/>
  <c r="O15" i="41"/>
  <c r="P15" i="41" s="1"/>
  <c r="O10" i="41"/>
  <c r="P10" i="41" s="1"/>
  <c r="O5" i="41"/>
  <c r="P5" i="41" s="1"/>
  <c r="O35" i="41"/>
  <c r="P35" i="41" s="1"/>
  <c r="O49" i="41"/>
  <c r="P49" i="41" s="1"/>
  <c r="O46" i="4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O23" i="14"/>
  <c r="P23" i="14" s="1"/>
  <c r="R23" i="14" s="1"/>
  <c r="T23" i="14" s="1"/>
  <c r="U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O29" i="14"/>
  <c r="P29" i="14" s="1"/>
  <c r="R29" i="14" s="1"/>
  <c r="T29" i="14" s="1"/>
  <c r="U29" i="14" s="1"/>
  <c r="R10" i="14"/>
  <c r="T10" i="14" s="1"/>
  <c r="U10" i="14" s="1"/>
  <c r="E24" i="11" l="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D22" i="11"/>
  <c r="D21" i="11"/>
  <c r="D20" i="11"/>
  <c r="D19" i="11"/>
  <c r="N19" i="11" s="1"/>
  <c r="N10" i="62" s="1"/>
  <c r="D18" i="1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F22" i="47" s="1"/>
  <c r="H12" i="6"/>
  <c r="AA11" i="6"/>
  <c r="M11" i="6"/>
  <c r="H11" i="6"/>
  <c r="AA10" i="6"/>
  <c r="M10" i="6"/>
  <c r="F20" i="11" s="1"/>
  <c r="H10" i="6"/>
  <c r="AA9" i="6"/>
  <c r="M9" i="6"/>
  <c r="F19" i="11" s="1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N18" i="11" l="1"/>
  <c r="N9" i="62" s="1"/>
  <c r="N22" i="11"/>
  <c r="N13" i="62" s="1"/>
  <c r="N23" i="11"/>
  <c r="N14" i="62" s="1"/>
  <c r="F16" i="11"/>
  <c r="I16" i="11" s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I24" i="11" s="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I21" i="11" s="1"/>
  <c r="S6" i="6"/>
  <c r="F16" i="16"/>
  <c r="I16" i="16" s="1"/>
  <c r="S7" i="6"/>
  <c r="F17" i="16"/>
  <c r="I17" i="16" s="1"/>
  <c r="Q7" i="6"/>
  <c r="Q8" i="6"/>
  <c r="Q9" i="6"/>
  <c r="Q10" i="6"/>
  <c r="Q11" i="6"/>
  <c r="Q12" i="6"/>
  <c r="Q13" i="6"/>
  <c r="Q14" i="6"/>
  <c r="N16" i="11"/>
  <c r="N7" i="62" s="1"/>
  <c r="N20" i="11"/>
  <c r="N11" i="62" s="1"/>
  <c r="N24" i="11"/>
  <c r="N15" i="62" s="1"/>
  <c r="F18" i="11"/>
  <c r="I18" i="11" s="1"/>
  <c r="F22" i="11"/>
  <c r="I20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7" i="6" l="1"/>
  <c r="N16" i="62"/>
  <c r="P23" i="62" s="1"/>
  <c r="L23" i="48"/>
  <c r="K23" i="48"/>
  <c r="J23" i="48"/>
  <c r="J23" i="51"/>
  <c r="L23" i="51"/>
  <c r="K23" i="51"/>
  <c r="L23" i="65"/>
  <c r="K23" i="65"/>
  <c r="J23" i="65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L18" i="51"/>
  <c r="K18" i="51"/>
  <c r="J18" i="51"/>
  <c r="J18" i="66"/>
  <c r="L18" i="66"/>
  <c r="K18" i="66"/>
  <c r="K24" i="47"/>
  <c r="J24" i="47"/>
  <c r="L24" i="47"/>
  <c r="L24" i="44"/>
  <c r="K24" i="44"/>
  <c r="J24" i="44"/>
  <c r="J24" i="63"/>
  <c r="K24" i="63"/>
  <c r="L24" i="63"/>
  <c r="L24" i="64"/>
  <c r="K24" i="64"/>
  <c r="J24" i="64"/>
  <c r="K20" i="50"/>
  <c r="J20" i="50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J22" i="56"/>
  <c r="L22" i="56"/>
  <c r="K22" i="56"/>
  <c r="L22" i="63"/>
  <c r="K22" i="63"/>
  <c r="J22" i="63"/>
  <c r="J22" i="69"/>
  <c r="L22" i="69"/>
  <c r="K22" i="69"/>
  <c r="L22" i="70"/>
  <c r="J22" i="70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J23" i="56"/>
  <c r="L23" i="56"/>
  <c r="K23" i="56"/>
  <c r="K23" i="59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L24" i="71"/>
  <c r="K24" i="71"/>
  <c r="M24" i="71" s="1"/>
  <c r="J24" i="71"/>
  <c r="K23" i="43"/>
  <c r="J23" i="43"/>
  <c r="L23" i="43"/>
  <c r="L23" i="53"/>
  <c r="K23" i="53"/>
  <c r="J23" i="53"/>
  <c r="L23" i="52"/>
  <c r="K23" i="52"/>
  <c r="J23" i="52"/>
  <c r="J23" i="57"/>
  <c r="K23" i="57"/>
  <c r="L23" i="57"/>
  <c r="J23" i="61"/>
  <c r="K23" i="61"/>
  <c r="L23" i="61"/>
  <c r="L23" i="64"/>
  <c r="K23" i="64"/>
  <c r="J23" i="64"/>
  <c r="L23" i="69"/>
  <c r="K23" i="69"/>
  <c r="J23" i="69"/>
  <c r="M23" i="69" s="1"/>
  <c r="L23" i="72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J24" i="46"/>
  <c r="J24" i="50"/>
  <c r="K24" i="50"/>
  <c r="L24" i="50"/>
  <c r="L24" i="60"/>
  <c r="K24" i="60"/>
  <c r="J24" i="60"/>
  <c r="K24" i="66"/>
  <c r="J24" i="66"/>
  <c r="L24" i="66"/>
  <c r="J24" i="65"/>
  <c r="L24" i="65"/>
  <c r="K24" i="65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W6" i="6" s="1"/>
  <c r="Y6" i="6" s="1"/>
  <c r="L23" i="45"/>
  <c r="J23" i="45"/>
  <c r="K23" i="45"/>
  <c r="J23" i="47"/>
  <c r="K23" i="47"/>
  <c r="L23" i="47"/>
  <c r="J23" i="54"/>
  <c r="K23" i="54"/>
  <c r="L23" i="54"/>
  <c r="L23" i="58"/>
  <c r="K23" i="58"/>
  <c r="J23" i="58"/>
  <c r="K23" i="63"/>
  <c r="L23" i="63"/>
  <c r="J23" i="63"/>
  <c r="K23" i="70"/>
  <c r="J23" i="70"/>
  <c r="L23" i="70"/>
  <c r="J23" i="66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M24" i="56" s="1"/>
  <c r="O24" i="56" s="1"/>
  <c r="P24" i="56" s="1"/>
  <c r="L24" i="56"/>
  <c r="L24" i="43"/>
  <c r="K24" i="43"/>
  <c r="J24" i="43"/>
  <c r="K24" i="53"/>
  <c r="L24" i="53"/>
  <c r="J24" i="53"/>
  <c r="J24" i="58"/>
  <c r="K24" i="58"/>
  <c r="L24" i="58"/>
  <c r="L24" i="67"/>
  <c r="K24" i="67"/>
  <c r="J24" i="67"/>
  <c r="J24" i="72"/>
  <c r="L24" i="72"/>
  <c r="K24" i="72"/>
  <c r="K20" i="48"/>
  <c r="L20" i="48"/>
  <c r="J20" i="48"/>
  <c r="M20" i="48" s="1"/>
  <c r="O20" i="48" s="1"/>
  <c r="P20" i="48" s="1"/>
  <c r="R20" i="48" s="1"/>
  <c r="K20" i="53"/>
  <c r="L20" i="53"/>
  <c r="J20" i="53"/>
  <c r="K20" i="43"/>
  <c r="L20" i="43"/>
  <c r="J20" i="43"/>
  <c r="K20" i="57"/>
  <c r="J20" i="57"/>
  <c r="L20" i="57"/>
  <c r="K20" i="61"/>
  <c r="J20" i="61"/>
  <c r="L20" i="6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M23" i="49" s="1"/>
  <c r="O23" i="49" s="1"/>
  <c r="P23" i="49" s="1"/>
  <c r="K23" i="49"/>
  <c r="L23" i="49"/>
  <c r="K23" i="55"/>
  <c r="J23" i="55"/>
  <c r="L23" i="55"/>
  <c r="K23" i="46"/>
  <c r="L23" i="46"/>
  <c r="J23" i="46"/>
  <c r="K23" i="60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J22" i="64"/>
  <c r="K17" i="44"/>
  <c r="L17" i="44"/>
  <c r="J17" i="44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K17" i="16"/>
  <c r="L24" i="11"/>
  <c r="K24" i="11"/>
  <c r="J24" i="1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O8" i="6"/>
  <c r="U8" i="6" s="1"/>
  <c r="N9" i="6"/>
  <c r="C12" i="11"/>
  <c r="O34" i="11"/>
  <c r="C11" i="11" s="1"/>
  <c r="J25" i="61" l="1"/>
  <c r="P29" i="61" s="1"/>
  <c r="M20" i="61"/>
  <c r="O20" i="61" s="1"/>
  <c r="P20" i="61" s="1"/>
  <c r="R20" i="61" s="1"/>
  <c r="M21" i="43"/>
  <c r="O21" i="43" s="1"/>
  <c r="P21" i="43" s="1"/>
  <c r="M23" i="58"/>
  <c r="O23" i="58" s="1"/>
  <c r="P23" i="58" s="1"/>
  <c r="M16" i="60"/>
  <c r="M16" i="58"/>
  <c r="M16" i="59"/>
  <c r="M16" i="43"/>
  <c r="P16" i="43" s="1"/>
  <c r="M24" i="44"/>
  <c r="O24" i="44" s="1"/>
  <c r="P24" i="44" s="1"/>
  <c r="M23" i="65"/>
  <c r="M16" i="48"/>
  <c r="M24" i="53"/>
  <c r="O24" i="53" s="1"/>
  <c r="P24" i="53" s="1"/>
  <c r="M23" i="59"/>
  <c r="M16" i="66"/>
  <c r="M22" i="56"/>
  <c r="O22" i="56" s="1"/>
  <c r="P22" i="56" s="1"/>
  <c r="M24" i="63"/>
  <c r="O24" i="63" s="1"/>
  <c r="P24" i="63" s="1"/>
  <c r="M21" i="68"/>
  <c r="O21" i="68" s="1"/>
  <c r="P21" i="68" s="1"/>
  <c r="L21" i="16"/>
  <c r="M23" i="60"/>
  <c r="M24" i="72"/>
  <c r="O24" i="72" s="1"/>
  <c r="P24" i="72" s="1"/>
  <c r="M24" i="43"/>
  <c r="O24" i="43" s="1"/>
  <c r="P24" i="43" s="1"/>
  <c r="M24" i="66"/>
  <c r="O24" i="66" s="1"/>
  <c r="P24" i="66" s="1"/>
  <c r="M21" i="51"/>
  <c r="M23" i="72"/>
  <c r="O23" i="72" s="1"/>
  <c r="P23" i="72" s="1"/>
  <c r="M23" i="64"/>
  <c r="M23" i="61"/>
  <c r="O23" i="61" s="1"/>
  <c r="P23" i="61" s="1"/>
  <c r="M23" i="53"/>
  <c r="O23" i="53" s="1"/>
  <c r="P23" i="53" s="1"/>
  <c r="M16" i="44"/>
  <c r="O16" i="44" s="1"/>
  <c r="M20" i="43"/>
  <c r="O20" i="43" s="1"/>
  <c r="P20" i="43" s="1"/>
  <c r="R20" i="43" s="1"/>
  <c r="L17" i="16"/>
  <c r="M16" i="72"/>
  <c r="J7" i="62"/>
  <c r="M22" i="64"/>
  <c r="O22" i="64" s="1"/>
  <c r="P22" i="64" s="1"/>
  <c r="M21" i="47"/>
  <c r="O21" i="47" s="1"/>
  <c r="P21" i="47" s="1"/>
  <c r="M17" i="61"/>
  <c r="O17" i="61" s="1"/>
  <c r="P17" i="61" s="1"/>
  <c r="M20" i="57"/>
  <c r="O20" i="57" s="1"/>
  <c r="P20" i="57" s="1"/>
  <c r="R20" i="57" s="1"/>
  <c r="M20" i="53"/>
  <c r="O20" i="53" s="1"/>
  <c r="P20" i="53" s="1"/>
  <c r="R20" i="53" s="1"/>
  <c r="M21" i="52"/>
  <c r="O21" i="52" s="1"/>
  <c r="P21" i="52" s="1"/>
  <c r="M22" i="52"/>
  <c r="O22" i="52" s="1"/>
  <c r="P22" i="52" s="1"/>
  <c r="M24" i="65"/>
  <c r="O24" i="65" s="1"/>
  <c r="P24" i="65" s="1"/>
  <c r="M21" i="69"/>
  <c r="O21" i="69" s="1"/>
  <c r="P21" i="69" s="1"/>
  <c r="M23" i="52"/>
  <c r="O23" i="52" s="1"/>
  <c r="P23" i="52" s="1"/>
  <c r="M22" i="70"/>
  <c r="M20" i="50"/>
  <c r="O20" i="50" s="1"/>
  <c r="P20" i="50" s="1"/>
  <c r="R20" i="50" s="1"/>
  <c r="J15" i="62"/>
  <c r="K15" i="62"/>
  <c r="M24" i="45"/>
  <c r="O24" i="45" s="1"/>
  <c r="P24" i="45" s="1"/>
  <c r="M16" i="64"/>
  <c r="M17" i="60"/>
  <c r="O17" i="60" s="1"/>
  <c r="P17" i="60" s="1"/>
  <c r="M23" i="51"/>
  <c r="O23" i="51" s="1"/>
  <c r="P23" i="51" s="1"/>
  <c r="M23" i="54"/>
  <c r="O23" i="54" s="1"/>
  <c r="P23" i="54" s="1"/>
  <c r="T6" i="6"/>
  <c r="V6" i="6" s="1"/>
  <c r="X6" i="6" s="1"/>
  <c r="AC6" i="6" s="1"/>
  <c r="K12" i="62"/>
  <c r="M17" i="56"/>
  <c r="O17" i="56" s="1"/>
  <c r="P17" i="56" s="1"/>
  <c r="M17" i="44"/>
  <c r="O17" i="44" s="1"/>
  <c r="P17" i="44" s="1"/>
  <c r="M20" i="47"/>
  <c r="O20" i="47" s="1"/>
  <c r="P20" i="47" s="1"/>
  <c r="R20" i="47" s="1"/>
  <c r="M18" i="53"/>
  <c r="O18" i="53" s="1"/>
  <c r="P18" i="53" s="1"/>
  <c r="M21" i="44"/>
  <c r="O21" i="44" s="1"/>
  <c r="P21" i="44" s="1"/>
  <c r="M22" i="67"/>
  <c r="O22" i="67" s="1"/>
  <c r="P22" i="67" s="1"/>
  <c r="M24" i="50"/>
  <c r="O24" i="50" s="1"/>
  <c r="P24" i="50" s="1"/>
  <c r="M24" i="48"/>
  <c r="O24" i="48" s="1"/>
  <c r="M16" i="52"/>
  <c r="M22" i="51"/>
  <c r="M18" i="48"/>
  <c r="O18" i="48" s="1"/>
  <c r="P18" i="48" s="1"/>
  <c r="M23" i="48"/>
  <c r="M18" i="67"/>
  <c r="O18" i="67" s="1"/>
  <c r="P18" i="67" s="1"/>
  <c r="M17" i="72"/>
  <c r="O17" i="72" s="1"/>
  <c r="P17" i="72" s="1"/>
  <c r="M22" i="43"/>
  <c r="O22" i="43" s="1"/>
  <c r="P22" i="43" s="1"/>
  <c r="M23" i="56"/>
  <c r="O23" i="56" s="1"/>
  <c r="M16" i="65"/>
  <c r="M22" i="63"/>
  <c r="O22" i="63" s="1"/>
  <c r="P22" i="63" s="1"/>
  <c r="M24" i="47"/>
  <c r="O24" i="47" s="1"/>
  <c r="P24" i="47" s="1"/>
  <c r="M24" i="46"/>
  <c r="O24" i="46" s="1"/>
  <c r="P24" i="46" s="1"/>
  <c r="M23" i="44"/>
  <c r="O23" i="44" s="1"/>
  <c r="P23" i="44" s="1"/>
  <c r="M20" i="70"/>
  <c r="O20" i="70" s="1"/>
  <c r="P20" i="70" s="1"/>
  <c r="R20" i="70" s="1"/>
  <c r="M24" i="58"/>
  <c r="O24" i="58" s="1"/>
  <c r="P24" i="58" s="1"/>
  <c r="M23" i="66"/>
  <c r="O23" i="66" s="1"/>
  <c r="P23" i="66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16" i="55" s="1"/>
  <c r="O18" i="43"/>
  <c r="P18" i="43" s="1"/>
  <c r="O23" i="64"/>
  <c r="P23" i="64" s="1"/>
  <c r="O24" i="71"/>
  <c r="P24" i="71" s="1"/>
  <c r="O23" i="59"/>
  <c r="P23" i="59" s="1"/>
  <c r="O23" i="69"/>
  <c r="P23" i="69" s="1"/>
  <c r="O16" i="67"/>
  <c r="P16" i="67" s="1"/>
  <c r="O22" i="51"/>
  <c r="P22" i="51" s="1"/>
  <c r="O23" i="60"/>
  <c r="P23" i="60" s="1"/>
  <c r="O16" i="64"/>
  <c r="P16" i="64" s="1"/>
  <c r="O17" i="45"/>
  <c r="P17" i="45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M24" i="16" s="1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M19" i="45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 s="1"/>
  <c r="O17" i="50"/>
  <c r="P17" i="50" s="1"/>
  <c r="O18" i="69"/>
  <c r="P18" i="69" s="1"/>
  <c r="O16" i="72"/>
  <c r="P16" i="72" s="1"/>
  <c r="K25" i="72"/>
  <c r="K25" i="68"/>
  <c r="K25" i="64"/>
  <c r="K25" i="45"/>
  <c r="J25" i="55"/>
  <c r="P29" i="55" s="1"/>
  <c r="O16" i="48"/>
  <c r="P16" i="48" s="1"/>
  <c r="K25" i="48"/>
  <c r="L25" i="71"/>
  <c r="J25" i="67"/>
  <c r="P29" i="67" s="1"/>
  <c r="O16" i="60"/>
  <c r="P16" i="60" s="1"/>
  <c r="L25" i="60"/>
  <c r="K25" i="46"/>
  <c r="K25" i="58"/>
  <c r="K25" i="53"/>
  <c r="K25" i="59"/>
  <c r="O16" i="43"/>
  <c r="L25" i="43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O31" i="16" s="1"/>
  <c r="O32" i="16" s="1"/>
  <c r="O33" i="16" s="1"/>
  <c r="O34" i="16" s="1"/>
  <c r="O35" i="16" s="1"/>
  <c r="L19" i="16"/>
  <c r="M23" i="16"/>
  <c r="N23" i="16" s="1"/>
  <c r="M22" i="16"/>
  <c r="N22" i="16" s="1"/>
  <c r="O22" i="16"/>
  <c r="M21" i="11"/>
  <c r="O21" i="11" s="1"/>
  <c r="J25" i="16"/>
  <c r="O30" i="16" s="1"/>
  <c r="M19" i="11"/>
  <c r="M20" i="11"/>
  <c r="L16" i="16"/>
  <c r="L18" i="16"/>
  <c r="M16" i="11"/>
  <c r="O9" i="6"/>
  <c r="U9" i="6" s="1"/>
  <c r="N10" i="6"/>
  <c r="W8" i="6"/>
  <c r="Y8" i="6" s="1"/>
  <c r="T8" i="6"/>
  <c r="V7" i="6"/>
  <c r="X7" i="6" s="1"/>
  <c r="H25" i="11"/>
  <c r="G25" i="11"/>
  <c r="A25" i="11"/>
  <c r="N24" i="16" l="1"/>
  <c r="O24" i="16"/>
  <c r="P21" i="50"/>
  <c r="P23" i="56"/>
  <c r="M12" i="62"/>
  <c r="P24" i="48"/>
  <c r="P30" i="70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O24" i="69"/>
  <c r="P24" i="69" s="1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 s="1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P23" i="55" s="1"/>
  <c r="M25" i="56"/>
  <c r="O16" i="56"/>
  <c r="O25" i="56" s="1"/>
  <c r="M25" i="55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P24" i="55" s="1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M18" i="16"/>
  <c r="N18" i="16" s="1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6" i="70" l="1"/>
  <c r="P16" i="53"/>
  <c r="P25" i="53" s="1"/>
  <c r="O25" i="64"/>
  <c r="O15" i="62"/>
  <c r="P15" i="62" s="1"/>
  <c r="O25" i="69"/>
  <c r="O18" i="16"/>
  <c r="O25" i="55"/>
  <c r="O19" i="16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O20" i="5" s="1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N20" i="5"/>
  <c r="N22" i="5"/>
  <c r="N25" i="5"/>
  <c r="N29" i="5"/>
  <c r="O29" i="5" s="1"/>
  <c r="N31" i="5"/>
  <c r="N34" i="5"/>
  <c r="N37" i="5"/>
  <c r="L39" i="5"/>
  <c r="L43" i="5"/>
  <c r="L49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O17" i="5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<sst xmlns="http://schemas.openxmlformats.org/spreadsheetml/2006/main" count="3948" uniqueCount="524">
  <si>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</si>
  <si>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</si>
  <si>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</si>
  <si>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</si>
  <si>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</si>
  <si>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</si>
  <si>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</si>
  <si>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</si>
  <si>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</si>
  <si>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</si>
  <si>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</si>
  <si>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</si>
  <si>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</si>
  <si>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</si>
  <si>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</si>
  <si>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</si>
  <si>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</si>
  <si>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</si>
  <si>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</si>
  <si>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</si>
  <si>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</si>
  <si>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</si>
  <si>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</si>
  <si>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</si>
  <si>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</si>
  <si>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</si>
  <si>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</si>
  <si>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</si>
  <si>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</si>
  <si>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</si>
  <si>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</si>
  <si>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</si>
  <si>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</si>
  <si>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</si>
  <si>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</si>
  <si>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</si>
  <si>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</si>
  <si>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</si>
  <si>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</si>
  <si>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</si>
  <si>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</si>
  <si>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</si>
  <si>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</si>
  <si>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</si>
  <si>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</si>
  <si>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</si>
  <si>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</si>
  <si>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</si>
  <si>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</si>
  <si>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</si>
  <si>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</si>
  <si>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</si>
  <si>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</si>
  <si>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</si>
  <si>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</si>
  <si>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</si>
  <si>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</si>
  <si>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</si>
  <si>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</si>
  <si>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</si>
  <si>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</si>
  <si>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</si>
  <si>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</si>
  <si>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</si>
  <si>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</si>
  <si>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</si>
  <si>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</si>
  <si>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</si>
  <si>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</si>
  <si>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</si>
  <si>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</si>
  <si>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</si>
  <si>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</si>
  <si>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</si>
  <si>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</si>
  <si>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</si>
  <si>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</si>
  <si>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</si>
  <si>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</si>
  <si>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</si>
  <si>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</si>
  <si>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</si>
  <si>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</si>
  <si>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</si>
  <si>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</si>
  <si>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</si>
  <si>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</si>
  <si>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</si>
  <si>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</si>
  <si>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</si>
  <si>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</si>
  <si>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</si>
  <si>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</si>
  <si>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</si>
  <si>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</si>
  <si>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</si>
  <si>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</si>
  <si>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</si>
  <si>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</si>
  <si>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</si>
  <si>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</si>
  <si>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</si>
  <si>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</si>
  <si>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</si>
  <si>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</si>
  <si>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</si>
  <si>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</si>
  <si>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</si>
  <si>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</si>
  <si>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</si>
  <si>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</si>
  <si>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</si>
  <si>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</si>
  <si>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</si>
  <si>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</si>
  <si>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</si>
  <si>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</si>
  <si>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</si>
  <si>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</si>
  <si>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</si>
  <si>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</si>
  <si>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</si>
  <si>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</si>
  <si>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</si>
  <si>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</si>
  <si>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</si>
  <si>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</si>
  <si>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</si>
  <si>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</si>
  <si>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</si>
  <si>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</si>
  <si>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</si>
  <si>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</si>
  <si>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</si>
  <si>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</si>
  <si>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</si>
  <si>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</si>
  <si>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</si>
  <si>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</si>
  <si>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</si>
  <si>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</si>
  <si>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</si>
  <si>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</si>
  <si>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</si>
  <si>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</si>
  <si>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</si>
  <si>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</si>
  <si>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</si>
  <si>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</si>
  <si>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</si>
  <si>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</si>
  <si>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</si>
  <si>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</si>
  <si>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</si>
  <si>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</si>
  <si>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</si>
  <si>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</si>
  <si>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</si>
  <si>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</si>
  <si>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</si>
  <si>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</si>
  <si>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</si>
  <si>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</si>
  <si>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</si>
  <si>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</si>
  <si>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</si>
  <si>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</si>
  <si>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</si>
  <si>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</si>
  <si>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</si>
  <si>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</si>
  <si>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</si>
  <si>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</si>
  <si>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</si>
  <si>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</si>
  <si>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</si>
  <si>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</si>
  <si>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</si>
  <si>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</si>
  <si>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</si>
  <si>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</si>
  <si>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</si>
  <si>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</si>
  <si>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</si>
  <si>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</si>
  <si>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</si>
  <si>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</si>
  <si>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</si>
  <si>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</si>
  <si>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</si>
  <si>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</si>
  <si>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</si>
  <si>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</si>
  <si>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</si>
  <si>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</si>
  <si>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</si>
  <si>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</si>
  <si>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</si>
  <si>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</si>
  <si>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</si>
  <si>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</si>
  <si>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</si>
  <si>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</si>
  <si>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</si>
  <si>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</si>
  <si>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</si>
  <si>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</si>
  <si>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</si>
  <si>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</si>
  <si>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</si>
  <si>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</si>
  <si>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</si>
  <si>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</si>
  <si>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</si>
  <si>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</si>
  <si>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</si>
  <si>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</si>
  <si>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</si>
  <si>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</si>
  <si>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</si>
  <si>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</si>
  <si>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</si>
  <si>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</si>
  <si>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</si>
  <si>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</si>
  <si>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</si>
  <si>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</si>
  <si>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</si>
  <si>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</si>
  <si>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</si>
  <si>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</si>
  <si>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</si>
  <si>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</si>
  <si>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</si>
  <si>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</si>
  <si>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</si>
  <si>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</si>
  <si>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</si>
  <si>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</si>
  <si>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</si>
  <si>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</si>
  <si>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</si>
  <si>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</si>
  <si>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</si>
  <si>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</si>
  <si>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</si>
  <si>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</si>
  <si>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</si>
  <si>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</si>
  <si>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</si>
  <si>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</si>
  <si>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</si>
  <si>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</si>
  <si>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</si>
  <si>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</si>
  <si>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</si>
  <si>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</si>
  <si>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</si>
  <si>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</si>
  <si>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</si>
  <si>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</si>
  <si>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</si>
  <si>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</si>
  <si>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</si>
  <si>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</si>
  <si>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</si>
  <si>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</si>
  <si>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</si>
  <si>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</si>
  <si>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</si>
  <si>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</si>
  <si>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</si>
  <si>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</si>
  <si>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</si>
  <si>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</si>
  <si>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</si>
  <si>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</si>
  <si>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</si>
  <si>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</si>
  <si>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</si>
  <si>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</si>
  <si>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</si>
  <si>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</si>
  <si>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</si>
  <si>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</si>
  <si>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</si>
  <si>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</si>
  <si>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</si>
  <si>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</si>
  <si>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</si>
  <si>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</si>
  <si>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</si>
  <si>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</si>
  <si>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</si>
  <si>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</si>
  <si>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</si>
  <si>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</si>
  <si>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</si>
  <si>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</si>
  <si>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</si>
  <si>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</si>
  <si>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</si>
  <si>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</si>
  <si>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</si>
  <si>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</si>
  <si>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</si>
  <si>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</si>
  <si>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</si>
  <si>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</si>
  <si>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</si>
  <si>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</si>
  <si>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</si>
  <si>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</si>
  <si>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</si>
  <si>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</si>
  <si>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</si>
  <si>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</si>
  <si>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</si>
  <si>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</si>
  <si>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</si>
  <si>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</si>
  <si>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</si>
  <si>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</si>
  <si>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</si>
  <si>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</si>
  <si>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</si>
  <si>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</si>
  <si>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</si>
  <si>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</si>
  <si>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</si>
  <si>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</si>
  <si>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</si>
  <si>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</si>
  <si>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</si>
  <si>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</si>
  <si>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</si>
  <si>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</si>
  <si>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</si>
  <si>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</si>
  <si>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</si>
  <si>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</si>
  <si>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</si>
  <si>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</si>
  <si>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</si>
  <si>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</si>
  <si>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</si>
  <si>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</si>
  <si>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</si>
  <si>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</si>
  <si>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</si>
  <si>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</si>
  <si>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</si>
  <si>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</si>
  <si>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</si>
  <si>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</si>
  <si>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</si>
  <si>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</si>
  <si>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</si>
  <si>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</si>
  <si>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</si>
  <si>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</si>
  <si>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</si>
  <si>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</si>
  <si>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</si>
  <si>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</si>
  <si>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</si>
  <si>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</si>
  <si>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</si>
  <si>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</si>
  <si>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</si>
  <si>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</si>
  <si>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</si>
  <si>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</si>
  <si>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</si>
  <si>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</si>
  <si>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</si>
  <si>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</si>
  <si>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</si>
  <si>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</si>
  <si>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</si>
  <si>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</si>
  <si>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</si>
  <si>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</si>
  <si>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</si>
  <si>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</si>
  <si>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</si>
  <si>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</si>
  <si>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</si>
  <si>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</si>
  <si>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</si>
  <si>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</si>
  <si>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</si>
  <si>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</si>
  <si>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</si>
  <si>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</si>
  <si>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</si>
  <si>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</si>
  <si>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</si>
  <si>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</si>
  <si>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</si>
  <si>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</si>
  <si>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</si>
  <si>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</si>
  <si>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</si>
  <si>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</si>
  <si>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</si>
  <si>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</si>
  <si>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</si>
  <si>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</si>
  <si>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</si>
  <si>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</si>
  <si>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</si>
  <si>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</si>
  <si>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</si>
  <si>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</si>
  <si>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</si>
  <si>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</si>
  <si>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</si>
  <si>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</si>
  <si>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</si>
  <si>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</si>
  <si>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</si>
  <si>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</si>
  <si>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</si>
  <si>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</si>
  <si>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</si>
  <si>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</si>
  <si>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</si>
  <si>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</si>
  <si>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</si>
  <si>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</si>
  <si>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</si>
  <si>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</si>
  <si>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</si>
  <si>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</si>
  <si>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</si>
  <si>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</si>
  <si>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</si>
  <si>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</si>
  <si>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</si>
  <si>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</si>
  <si>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</si>
  <si>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</si>
  <si>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</si>
  <si>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</si>
  <si>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</si>
  <si>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</si>
  <si>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</si>
  <si>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</si>
  <si>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</si>
  <si>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</si>
  <si>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</si>
  <si>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</si>
  <si>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</si>
  <si>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</si>
  <si>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</si>
  <si>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</si>
  <si>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</si>
  <si>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</si>
  <si>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</si>
  <si>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</si>
  <si>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</si>
  <si>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</si>
  <si>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</si>
  <si>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</si>
  <si>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</si>
  <si>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</si>
  <si>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</si>
  <si>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</si>
  <si>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</si>
  <si>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</si>
  <si>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</si>
  <si>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</si>
  <si>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</si>
  <si>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</si>
  <si>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</si>
  <si>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</si>
  <si>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</si>
  <si>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</si>
  <si>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</si>
  <si>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</si>
  <si>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</si>
  <si>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</si>
  <si>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</si>
  <si>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</si>
  <si>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</si>
  <si>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</si>
  <si>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</si>
  <si>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</si>
  <si>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</si>
  <si>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</si>
  <si>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</si>
  <si>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</si>
  <si>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</si>
  <si>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</si>
  <si>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</si>
  <si>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</si>
  <si>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</si>
  <si>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</si>
  <si>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</si>
  <si>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</si>
  <si>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</si>
  <si>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</si>
  <si>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</si>
  <si>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</si>
  <si>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</si>
  <si>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</si>
  <si>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</si>
  <si>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</si>
  <si>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</si>
  <si>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</si>
  <si>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</si>
  <si>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</si>
  <si>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Umair</t>
  </si>
  <si>
    <t>Address: Behria Nashoman</t>
  </si>
  <si>
    <t xml:space="preserve">Al Faisal Mart </t>
  </si>
  <si>
    <t xml:space="preserve">Bajwa Mart </t>
  </si>
  <si>
    <t>Bajwa store</t>
  </si>
  <si>
    <t xml:space="preserve">As Cash and Carry </t>
  </si>
  <si>
    <t xml:space="preserve">Sheen Mart </t>
  </si>
  <si>
    <t xml:space="preserve">D Mart </t>
  </si>
  <si>
    <t>Safa Cash And Carry</t>
  </si>
  <si>
    <t>Sufiyan Mart</t>
  </si>
  <si>
    <t xml:space="preserve">Chaudry Cash And Carry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</si>
</sst>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513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46293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 xml:space="preserve">Al Faisal Mart </v>
      </c>
      <c r="T3" s="301">
        <f>+'1'!P35</f>
        <v>11673.686338093223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Bajwa Mart </v>
      </c>
      <c r="T4" s="301">
        <f>+'2'!P35</f>
        <v>4861.1368511313567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Bajwa store</v>
      </c>
      <c r="T5" s="301">
        <f>+'3'!P35</f>
        <v>2265.051582838983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 xml:space="preserve">As Cash and Carry </v>
      </c>
      <c r="T6" s="301">
        <f>+'4'!P35</f>
        <v>3136.2115850847458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26</v>
      </c>
      <c r="I7" s="235">
        <f>(G7*D7)*F7+H7*F7</f>
        <v>1364.0249999999999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109.122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47.740875000000003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1207.1621249999998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257.79661016949137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7.3247936758474577</v>
      </c>
      <c r="P7" s="310">
        <f>M7+N7+O7</f>
        <v>1472.2835288453389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 xml:space="preserve">Sheen Mart </v>
      </c>
      <c r="T7" s="301">
        <f>+'5'!P35</f>
        <v>3136.2115850847458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25</v>
      </c>
      <c r="I8" s="236">
        <f t="shared" ref="I8:I14" si="0">(G8*D8)*F8+H8*F8</f>
        <v>1311.5625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104.92499999999998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45.904687500000001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1160.7328124999999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247.88135593220329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7.0430708421610166</v>
      </c>
      <c r="P8" s="311">
        <f t="shared" ref="P8:P15" si="2">M8+N8+O8</f>
        <v>1415.6572392743644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 xml:space="preserve">D Mart </v>
      </c>
      <c r="T8" s="301">
        <f>+'6'!P35</f>
        <v>9408.6347552542375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105</v>
      </c>
      <c r="I9" s="236">
        <f t="shared" si="0"/>
        <v>5508.5625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440.685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192.7996875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4875.0778124999997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1041.1016949152538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29.580897537076272</v>
      </c>
      <c r="P9" s="311">
        <f t="shared" si="2"/>
        <v>5945.7604049523297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Safa Cash And Carry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147</v>
      </c>
      <c r="I10" s="236">
        <f t="shared" si="0"/>
        <v>10678.08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854.24639999999999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373.73280000000005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9450.1008000000002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2018.1355932203392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57.341181966101701</v>
      </c>
      <c r="P10" s="311">
        <f t="shared" si="2"/>
        <v>11525.57757518644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80</v>
      </c>
      <c r="R10" s="313">
        <v>8</v>
      </c>
      <c r="S10" s="300" t="str">
        <f>+'8'!A6:A6</f>
        <v>Sufiyan Mart</v>
      </c>
      <c r="T10" s="301">
        <f>+'8'!P35</f>
        <v>3136.2115850847458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164</v>
      </c>
      <c r="I11" s="236">
        <f t="shared" si="0"/>
        <v>11912.960000000001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953.03680000000008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416.95360000000005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10542.9696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2251.5254237288136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63.97247511864407</v>
      </c>
      <c r="P11" s="311">
        <f t="shared" si="2"/>
        <v>12858.467498847458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 xml:space="preserve">Chaudry Cash And Carry </v>
      </c>
      <c r="T11" s="301">
        <f>+'9'!P35</f>
        <v>5401.2631679237293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125</v>
      </c>
      <c r="I12" s="236">
        <f t="shared" si="0"/>
        <v>9080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726.40000000000009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317.8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8035.8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1716.1016949152543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48.759508474576272</v>
      </c>
      <c r="P12" s="311">
        <f t="shared" si="2"/>
        <v>9800.6612033898309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14.8</v>
      </c>
      <c r="H16" s="113">
        <f t="shared" ref="H16:M16" si="3">SUM(H7:H15)</f>
        <v>592</v>
      </c>
      <c r="I16" s="114">
        <f t="shared" si="3"/>
        <v>39855.19</v>
      </c>
      <c r="J16" s="274">
        <f>SUM(J7:J15)</f>
        <v>3188.4151999999999</v>
      </c>
      <c r="K16" s="275">
        <f t="shared" si="3"/>
        <v>1394.93165</v>
      </c>
      <c r="L16" s="276">
        <f t="shared" si="3"/>
        <v>0</v>
      </c>
      <c r="M16" s="232">
        <f t="shared" si="3"/>
        <v>35271.843150000001</v>
      </c>
      <c r="N16" s="233">
        <f>SUM(N7:N15)</f>
        <v>7532.5423728813557</v>
      </c>
      <c r="O16" s="101">
        <f>SUM(O7:O15)</f>
        <v>214.02192761440679</v>
      </c>
      <c r="P16" s="113">
        <f>SUM(P7:P15)</f>
        <v>43018.407450495768</v>
      </c>
      <c r="Q16" s="128">
        <f>SUM(Q7:Q15)</f>
        <v>80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39855.19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3188.4151999999999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1394.93165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35271.843150000001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7532.5423728813557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42804.385522881355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214.02192761440679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43018.407450495761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43018.407450495768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46292</v>
      </c>
      <c r="O5" s="370"/>
      <c r="P5" s="370"/>
      <c r="R5" s="85"/>
      <c r="S5" s="266"/>
    </row>
    <row r="6" spans="1:22 16383:16384" ht="17.25" customHeight="1" x14ac:dyDescent="0.4">
      <c r="A6" s="399" t="s">
        <v>515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ref="I18:I21" si="7">(G18*D18)*F18+H18*F18</f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119">
        <f t="shared" si="5"/>
        <v>2265.051582838983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119">
        <f t="shared" si="5"/>
        <v>3136.2115850847458</v>
      </c>
      <c r="Q20" s="319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160</v>
      </c>
      <c r="I25" s="114">
        <f t="shared" ref="I25:M25" si="10">SUM(I16:I24)</f>
        <v>10815.300000000001</v>
      </c>
      <c r="J25" s="274">
        <f>SUM(J16:J24)</f>
        <v>865.22399999999993</v>
      </c>
      <c r="K25" s="275">
        <f t="shared" si="10"/>
        <v>378.53550000000007</v>
      </c>
      <c r="L25" s="276">
        <f t="shared" si="10"/>
        <v>0</v>
      </c>
      <c r="M25" s="232">
        <f t="shared" si="10"/>
        <v>9571.540500000001</v>
      </c>
      <c r="N25" s="233">
        <f>SUM(N16:N24)</f>
        <v>2044.0677966101694</v>
      </c>
      <c r="O25" s="101">
        <f>SUM(O16:O24)</f>
        <v>58.078041483050853</v>
      </c>
      <c r="P25" s="234">
        <f>SUM(P16:P24)</f>
        <v>11673.686338093221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10815.300000000001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865.22399999999993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378.53550000000007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9571.540500000001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2044.0677966101694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11615.608296610171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58.07804148305086</v>
      </c>
    </row>
    <row r="35" spans="2:16" ht="15.75" customHeight="1" thickBot="1" x14ac:dyDescent="0.4">
      <c r="N35" s="345" t="s">
        <v>88</v>
      </c>
      <c r="O35" s="346"/>
      <c r="P35" s="297">
        <f>+P33+P34</f>
        <v>11673.686338093223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disablePrompts="1"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46292</v>
      </c>
      <c r="O5" s="370"/>
      <c r="P5" s="370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</v>
      </c>
      <c r="I16" s="235">
        <f>(G16*D16)*F16+H16*F16</f>
        <v>629.54999999999995</v>
      </c>
      <c r="J16" s="271">
        <f>$I16*S16</f>
        <v>50.363999999999997</v>
      </c>
      <c r="K16" s="127">
        <f>$I16*T16</f>
        <v>22.03425</v>
      </c>
      <c r="L16" s="118">
        <f>$I16*U16</f>
        <v>0</v>
      </c>
      <c r="M16" s="229">
        <f>I16-SUM(J16:L16)</f>
        <v>557.15174999999999</v>
      </c>
      <c r="N16" s="248">
        <f>+(G16*D16+H16)*V16</f>
        <v>118.98305084745758</v>
      </c>
      <c r="O16" s="238">
        <f>(N16+M16)*$O$15</f>
        <v>3.3806740042372878</v>
      </c>
      <c r="P16" s="118">
        <f>M16+N16+O16</f>
        <v>679.51547485169488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</v>
      </c>
      <c r="I17" s="236">
        <f t="shared" ref="I17:I23" si="0">(G17*D17)*F17+H17*F17</f>
        <v>629.54999999999995</v>
      </c>
      <c r="J17" s="272">
        <f t="shared" ref="J17:L24" si="1">$I17*S17</f>
        <v>50.363999999999997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557.15174999999999</v>
      </c>
      <c r="N17" s="277">
        <f t="shared" ref="N17:N24" si="3">+(G17*D17+H17)*V17</f>
        <v>118.98305084745758</v>
      </c>
      <c r="O17" s="239">
        <f t="shared" ref="O17:O24" si="4">(N17+M17)*$O$15</f>
        <v>3.3806740042372878</v>
      </c>
      <c r="P17" s="119">
        <f t="shared" ref="P17:P24" si="5">M17+N17+O17</f>
        <v>679.51547485169488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</v>
      </c>
      <c r="I18" s="236">
        <f t="shared" si="0"/>
        <v>629.54999999999995</v>
      </c>
      <c r="J18" s="272">
        <f t="shared" si="1"/>
        <v>50.363999999999997</v>
      </c>
      <c r="K18" s="128">
        <f t="shared" si="1"/>
        <v>22.03425</v>
      </c>
      <c r="L18" s="119">
        <f t="shared" si="1"/>
        <v>0</v>
      </c>
      <c r="M18" s="230">
        <f t="shared" si="2"/>
        <v>557.15174999999999</v>
      </c>
      <c r="N18" s="277">
        <f t="shared" si="3"/>
        <v>118.98305084745758</v>
      </c>
      <c r="O18" s="239">
        <f t="shared" si="4"/>
        <v>3.3806740042372878</v>
      </c>
      <c r="P18" s="119">
        <f t="shared" si="5"/>
        <v>679.51547485169488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119">
        <f t="shared" si="5"/>
        <v>940.86347552542372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</v>
      </c>
      <c r="I20" s="236">
        <f t="shared" si="0"/>
        <v>871.68000000000006</v>
      </c>
      <c r="J20" s="272">
        <f t="shared" si="1"/>
        <v>69.734400000000008</v>
      </c>
      <c r="K20" s="128">
        <f t="shared" si="1"/>
        <v>30.508800000000004</v>
      </c>
      <c r="L20" s="119">
        <f t="shared" si="1"/>
        <v>0</v>
      </c>
      <c r="M20" s="230">
        <f t="shared" si="2"/>
        <v>771.43680000000006</v>
      </c>
      <c r="N20" s="277">
        <f t="shared" si="3"/>
        <v>164.74576271186442</v>
      </c>
      <c r="O20" s="239">
        <f t="shared" si="4"/>
        <v>4.6809128135593223</v>
      </c>
      <c r="P20" s="119">
        <f t="shared" si="5"/>
        <v>940.86347552542372</v>
      </c>
      <c r="Q20" s="319"/>
      <c r="R20">
        <f>P20/21</f>
        <v>44.803022644067795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0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119">
        <f t="shared" si="5"/>
        <v>940.86347552542372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72</v>
      </c>
      <c r="I25" s="114">
        <f t="shared" si="7"/>
        <v>4503.6900000000005</v>
      </c>
      <c r="J25" s="274">
        <f>SUM(J16:J24)</f>
        <v>360.29519999999997</v>
      </c>
      <c r="K25" s="275">
        <f t="shared" si="7"/>
        <v>157.62915000000001</v>
      </c>
      <c r="L25" s="276">
        <f t="shared" si="7"/>
        <v>0</v>
      </c>
      <c r="M25" s="232">
        <f t="shared" si="7"/>
        <v>3985.7656499999998</v>
      </c>
      <c r="N25" s="233">
        <f>SUM(N16:N24)</f>
        <v>851.18644067796617</v>
      </c>
      <c r="O25" s="101">
        <f>SUM(O16:O24)</f>
        <v>24.184760453389828</v>
      </c>
      <c r="P25" s="234">
        <f>SUM(P16:P24)</f>
        <v>4861.1368511313558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4503.6900000000005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360.29519999999997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157.62915000000001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3985.7656500000007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851.18644067796617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4836.9520906779671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24.184760453389835</v>
      </c>
    </row>
    <row r="35" spans="2:16" ht="15.75" customHeight="1" thickBot="1" x14ac:dyDescent="0.4">
      <c r="N35" s="345" t="s">
        <v>88</v>
      </c>
      <c r="O35" s="346"/>
      <c r="P35" s="297">
        <f>+P33+P34</f>
        <v>4861.1368511313567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46292</v>
      </c>
      <c r="O5" s="370"/>
      <c r="P5" s="370"/>
      <c r="R5" s="85"/>
      <c r="S5" s="266"/>
    </row>
    <row r="6" spans="1:22 16383:16384" ht="18.7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14</v>
      </c>
      <c r="I16" s="235">
        <f>(G16*D16)*F16+H16*F16</f>
        <v>734.47500000000002</v>
      </c>
      <c r="J16" s="271">
        <f>$I16*S16</f>
        <v>58.758000000000003</v>
      </c>
      <c r="K16" s="127">
        <f>$I16*T16</f>
        <v>25.706625000000003</v>
      </c>
      <c r="L16" s="118">
        <f>$I16*U16</f>
        <v>0</v>
      </c>
      <c r="M16" s="229">
        <f>I16-SUM(J16:L16)</f>
        <v>650.01037500000007</v>
      </c>
      <c r="N16" s="248">
        <f>+(G16*D16+H16)*V16</f>
        <v>138.81355932203383</v>
      </c>
      <c r="O16" s="238">
        <f>(N16+M16)*$O$15</f>
        <v>3.9441196716101694</v>
      </c>
      <c r="P16" s="118">
        <f>M16+N16+O16</f>
        <v>792.76805399364412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13</v>
      </c>
      <c r="I17" s="236">
        <f t="shared" ref="I17:I23" si="0">(G17*D17)*F17+H17*F17</f>
        <v>682.01249999999993</v>
      </c>
      <c r="J17" s="272">
        <f t="shared" ref="J17:L24" si="1">$I17*S17</f>
        <v>54.560999999999993</v>
      </c>
      <c r="K17" s="128">
        <f>$I17*T17</f>
        <v>23.870437500000001</v>
      </c>
      <c r="L17" s="119">
        <f>$I17*U17</f>
        <v>0</v>
      </c>
      <c r="M17" s="230">
        <f t="shared" ref="M17:M24" si="2">I17-SUM(J17:L17)</f>
        <v>603.58106249999992</v>
      </c>
      <c r="N17" s="277">
        <f t="shared" ref="N17:N24" si="3">+(G17*D17+H17)*V17</f>
        <v>128.89830508474572</v>
      </c>
      <c r="O17" s="239">
        <f t="shared" ref="O17:O24" si="4">(N17+M17)*$O$15</f>
        <v>3.6623968379237284</v>
      </c>
      <c r="P17" s="119">
        <f t="shared" ref="P17:P24" si="5">M17+N17+O17</f>
        <v>736.14176442266944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13</v>
      </c>
      <c r="I18" s="236">
        <f t="shared" si="0"/>
        <v>682.01249999999993</v>
      </c>
      <c r="J18" s="272">
        <f t="shared" si="1"/>
        <v>54.560999999999993</v>
      </c>
      <c r="K18" s="128">
        <f t="shared" si="1"/>
        <v>23.870437500000001</v>
      </c>
      <c r="L18" s="119">
        <f t="shared" si="1"/>
        <v>0</v>
      </c>
      <c r="M18" s="230">
        <f t="shared" si="2"/>
        <v>603.58106249999992</v>
      </c>
      <c r="N18" s="277">
        <f t="shared" si="3"/>
        <v>128.89830508474572</v>
      </c>
      <c r="O18" s="239">
        <f t="shared" si="4"/>
        <v>3.6623968379237284</v>
      </c>
      <c r="P18" s="119">
        <f t="shared" si="5"/>
        <v>736.14176442266944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73.447500000000005</v>
      </c>
      <c r="L25" s="276">
        <f t="shared" si="7"/>
        <v>0</v>
      </c>
      <c r="M25" s="232">
        <f t="shared" si="7"/>
        <v>1857.1724999999999</v>
      </c>
      <c r="N25" s="233">
        <f>SUM(N16:N24)</f>
        <v>396.61016949152531</v>
      </c>
      <c r="O25" s="101">
        <f>SUM(O16:O24)</f>
        <v>11.268913347457627</v>
      </c>
      <c r="P25" s="234">
        <f>SUM(P16:P24)</f>
        <v>2265.051582838983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2098.5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167.88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73.447500000000005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1857.1724999999999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396.61016949152531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2253.7826694915252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45" t="s">
        <v>88</v>
      </c>
      <c r="O35" s="346"/>
      <c r="P35" s="297">
        <f>+P33+P34</f>
        <v>2265.051582838983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46292</v>
      </c>
      <c r="O5" s="370"/>
      <c r="P5" s="370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</v>
      </c>
      <c r="I20" s="236">
        <f t="shared" si="0"/>
        <v>871.68000000000006</v>
      </c>
      <c r="J20" s="272">
        <f t="shared" si="1"/>
        <v>69.734400000000008</v>
      </c>
      <c r="K20" s="128">
        <f t="shared" si="1"/>
        <v>30.508800000000004</v>
      </c>
      <c r="L20" s="119">
        <f t="shared" si="1"/>
        <v>0</v>
      </c>
      <c r="M20" s="230">
        <f t="shared" si="2"/>
        <v>771.43680000000006</v>
      </c>
      <c r="N20" s="277">
        <f t="shared" si="3"/>
        <v>164.74576271186442</v>
      </c>
      <c r="O20" s="239">
        <f t="shared" si="4"/>
        <v>4.6809128135593223</v>
      </c>
      <c r="P20" s="119">
        <f t="shared" si="5"/>
        <v>940.86347552542372</v>
      </c>
      <c r="Q20" s="319"/>
      <c r="R20">
        <f>P20/21</f>
        <v>44.803022644067795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13</v>
      </c>
      <c r="I21" s="236">
        <f t="shared" si="0"/>
        <v>944.32</v>
      </c>
      <c r="J21" s="272">
        <f t="shared" si="1"/>
        <v>75.545600000000007</v>
      </c>
      <c r="K21" s="128">
        <f t="shared" si="1"/>
        <v>33.051200000000001</v>
      </c>
      <c r="L21" s="119">
        <f t="shared" si="1"/>
        <v>0</v>
      </c>
      <c r="M21" s="230">
        <f t="shared" si="2"/>
        <v>835.72320000000002</v>
      </c>
      <c r="N21" s="277">
        <f t="shared" si="3"/>
        <v>178.47457627118644</v>
      </c>
      <c r="O21" s="239">
        <f t="shared" si="4"/>
        <v>5.070988881355933</v>
      </c>
      <c r="P21" s="119">
        <f t="shared" si="5"/>
        <v>1019.2687651525424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232.44800000000001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3136.2115850847458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46292</v>
      </c>
      <c r="O5" s="370"/>
      <c r="P5" s="370"/>
      <c r="R5" s="85"/>
      <c r="S5" s="266"/>
    </row>
    <row r="6" spans="1:22 16383:16384" ht="15" customHeight="1" x14ac:dyDescent="0.4">
      <c r="A6" s="399" t="s">
        <v>519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232.44800000000001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101.69600000000001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3136.2115850847458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46292</v>
      </c>
      <c r="O5" s="370"/>
      <c r="P5" s="370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119">
        <f t="shared" si="5"/>
        <v>3136.2115850847458</v>
      </c>
      <c r="Q20" s="319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120</v>
      </c>
      <c r="I25" s="114">
        <f t="shared" si="7"/>
        <v>8716.7999999999993</v>
      </c>
      <c r="J25" s="274">
        <f>SUM(J16:J24)</f>
        <v>697.34400000000005</v>
      </c>
      <c r="K25" s="275">
        <f t="shared" si="7"/>
        <v>305.08800000000002</v>
      </c>
      <c r="L25" s="276">
        <f t="shared" si="7"/>
        <v>0</v>
      </c>
      <c r="M25" s="232">
        <f t="shared" si="7"/>
        <v>7714.3680000000004</v>
      </c>
      <c r="N25" s="233">
        <f>SUM(N16:N24)</f>
        <v>1647.4576271186443</v>
      </c>
      <c r="O25" s="101">
        <f>SUM(O16:O24)</f>
        <v>46.809128135593227</v>
      </c>
      <c r="P25" s="234">
        <f>SUM(P16:P24)</f>
        <v>9408.6347552542375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8716.7999999999993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697.34400000000005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305.08800000000002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7714.3679999999995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1647.4576271186443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9361.8256271186438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46.80912813559322</v>
      </c>
    </row>
    <row r="35" spans="2:16" ht="15.75" customHeight="1" thickBot="1" x14ac:dyDescent="0.4">
      <c r="N35" s="345" t="s">
        <v>88</v>
      </c>
      <c r="O35" s="346"/>
      <c r="P35" s="297">
        <f>+P33+P34</f>
        <v>9408.6347552542375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7" workbookViewId="0">
      <selection activeCell="H19" sqref="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46292</v>
      </c>
      <c r="O5" s="370"/>
      <c r="P5" s="370"/>
      <c r="R5" s="85"/>
      <c r="S5" s="266"/>
    </row>
    <row r="6" spans="1:22 16383:16384" ht="15" customHeight="1" x14ac:dyDescent="0.4">
      <c r="A6" s="399" t="s">
        <v>521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>
        <v>40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9" workbookViewId="0">
      <selection activeCell="H19" sqref="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46292</v>
      </c>
      <c r="O5" s="370"/>
      <c r="P5" s="370"/>
      <c r="R5" s="85"/>
      <c r="S5" s="266"/>
    </row>
    <row r="6" spans="1:22 16383:16384" ht="15" customHeight="1" x14ac:dyDescent="0.4">
      <c r="A6" s="399" t="s">
        <v>522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>
        <v>40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Q20" s="319"/>
      <c r="R20">
        <f>P20/21</f>
        <v>74.671704406779668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232.44800000000001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101.69600000000001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3136.2115850847458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46292</v>
      </c>
      <c r="O5" s="370"/>
      <c r="P5" s="370"/>
      <c r="R5" s="85"/>
      <c r="S5" s="266"/>
    </row>
    <row r="6" spans="1:22 16383:16384" ht="15" customHeight="1" x14ac:dyDescent="0.4">
      <c r="A6" s="399" t="s">
        <v>523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119">
        <f t="shared" si="5"/>
        <v>2265.051582838983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119">
        <f t="shared" si="5"/>
        <v>3136.2115850847458</v>
      </c>
      <c r="Q20" s="319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400.32799999999997</v>
      </c>
      <c r="K25" s="275">
        <f t="shared" si="7"/>
        <v>175.14350000000002</v>
      </c>
      <c r="L25" s="276">
        <f t="shared" si="7"/>
        <v>0</v>
      </c>
      <c r="M25" s="232">
        <f t="shared" si="7"/>
        <v>4428.6285000000007</v>
      </c>
      <c r="N25" s="233">
        <f>SUM(N16:N24)</f>
        <v>945.76271186440658</v>
      </c>
      <c r="O25" s="101">
        <f>SUM(O16:O24)</f>
        <v>26.871956059322034</v>
      </c>
      <c r="P25" s="234">
        <f>SUM(P16:P24)</f>
        <v>5401.2631679237293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5004.1000000000004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400.32799999999997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175.14350000000002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4428.6285000000007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5374.3912118644075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26.871956059322038</v>
      </c>
    </row>
    <row r="35" spans="2:16" ht="15.75" customHeight="1" thickBot="1" x14ac:dyDescent="0.4">
      <c r="N35" s="345" t="s">
        <v>88</v>
      </c>
      <c r="O35" s="346"/>
      <c r="P35" s="297">
        <f>+P33+P34</f>
        <v>5401.2631679237293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46292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46294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46293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2026-09-28T12:11:37Z</dcterms:modified>
</cp:coreProperties>
</file>