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DC47C2B-86DD-46BF-8E16-1A424294A5E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4" i="65"/>
  <c r="N5" i="65" s="1"/>
  <c r="N4" i="52"/>
  <c r="N4" i="44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C11" i="47" s="1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C11" i="43" s="1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N16" i="56" l="1"/>
  <c r="N16" i="44"/>
  <c r="N24" i="46"/>
  <c r="N16" i="50"/>
  <c r="N16" i="59"/>
  <c r="N16" i="63"/>
  <c r="N16" i="53"/>
  <c r="N16" i="48"/>
  <c r="N24" i="50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J49" i="41"/>
  <c r="L49" i="41" s="1"/>
  <c r="K49" i="41" s="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J12" i="41"/>
  <c r="L12" i="41" s="1"/>
  <c r="K12" i="41" s="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35" i="41"/>
  <c r="P35" i="41" s="1"/>
  <c r="O34" i="41"/>
  <c r="P34" i="41" s="1"/>
  <c r="O49" i="41"/>
  <c r="P49" i="41" s="1"/>
  <c r="O50" i="41"/>
  <c r="P50" i="41" s="1"/>
  <c r="O26" i="41"/>
  <c r="P26" i="41" s="1"/>
  <c r="O47" i="41"/>
  <c r="P47" i="41" s="1"/>
  <c r="O39" i="41"/>
  <c r="P3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F22" i="47" s="1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8" i="11" l="1"/>
  <c r="N9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 s="1"/>
  <c r="O22" i="56" s="1"/>
  <c r="P22" i="56" s="1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M24" i="66" s="1"/>
  <c r="O24" i="66" s="1"/>
  <c r="P24" i="66" s="1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 s="1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L23" i="16" s="1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L22" i="16" l="1"/>
  <c r="M17" i="72"/>
  <c r="O17" i="72" s="1"/>
  <c r="P17" i="72" s="1"/>
  <c r="M24" i="72"/>
  <c r="M23" i="58"/>
  <c r="O23" i="58" s="1"/>
  <c r="P23" i="58" s="1"/>
  <c r="M23" i="56"/>
  <c r="M16" i="65"/>
  <c r="M22" i="63"/>
  <c r="O22" i="63" s="1"/>
  <c r="P22" i="63" s="1"/>
  <c r="M20" i="43"/>
  <c r="O20" i="43" s="1"/>
  <c r="P20" i="43" s="1"/>
  <c r="R20" i="43" s="1"/>
  <c r="M24" i="53"/>
  <c r="O24" i="53" s="1"/>
  <c r="P24" i="53" s="1"/>
  <c r="M23" i="59"/>
  <c r="M23" i="44"/>
  <c r="O23" i="44" s="1"/>
  <c r="P23" i="44" s="1"/>
  <c r="M16" i="43"/>
  <c r="O16" i="43" s="1"/>
  <c r="P16" i="43" s="1"/>
  <c r="M22" i="43"/>
  <c r="M21" i="51"/>
  <c r="M23" i="72"/>
  <c r="O23" i="72" s="1"/>
  <c r="P23" i="72" s="1"/>
  <c r="M23" i="64"/>
  <c r="M16" i="48"/>
  <c r="M24" i="45"/>
  <c r="O24" i="45" s="1"/>
  <c r="P24" i="45" s="1"/>
  <c r="M16" i="64"/>
  <c r="M17" i="60"/>
  <c r="O17" i="60" s="1"/>
  <c r="P17" i="60" s="1"/>
  <c r="M16" i="60"/>
  <c r="M16" i="58"/>
  <c r="M16" i="59"/>
  <c r="O16" i="59" s="1"/>
  <c r="P16" i="59" s="1"/>
  <c r="M16" i="66"/>
  <c r="O16" i="66" s="1"/>
  <c r="M16" i="44"/>
  <c r="O16" i="44" s="1"/>
  <c r="M24" i="44"/>
  <c r="O24" i="44" s="1"/>
  <c r="P24" i="44" s="1"/>
  <c r="L17" i="16"/>
  <c r="M16" i="72"/>
  <c r="O16" i="72" s="1"/>
  <c r="P16" i="72" s="1"/>
  <c r="M24" i="43"/>
  <c r="O24" i="43" s="1"/>
  <c r="P24" i="43" s="1"/>
  <c r="M23" i="54"/>
  <c r="O23" i="54" s="1"/>
  <c r="P23" i="54" s="1"/>
  <c r="M18" i="67"/>
  <c r="O18" i="67" s="1"/>
  <c r="P18" i="67" s="1"/>
  <c r="M23" i="69"/>
  <c r="M23" i="53"/>
  <c r="O23" i="53" s="1"/>
  <c r="P23" i="53" s="1"/>
  <c r="K12" i="62"/>
  <c r="M17" i="56"/>
  <c r="O17" i="56" s="1"/>
  <c r="P17" i="56" s="1"/>
  <c r="M17" i="44"/>
  <c r="O17" i="44" s="1"/>
  <c r="P17" i="44" s="1"/>
  <c r="M20" i="47"/>
  <c r="O20" i="47" s="1"/>
  <c r="P20" i="47" s="1"/>
  <c r="R20" i="47" s="1"/>
  <c r="M18" i="53"/>
  <c r="O18" i="53" s="1"/>
  <c r="P18" i="53" s="1"/>
  <c r="M21" i="44"/>
  <c r="O21" i="44" s="1"/>
  <c r="P21" i="44" s="1"/>
  <c r="M22" i="67"/>
  <c r="O22" i="67" s="1"/>
  <c r="P22" i="67" s="1"/>
  <c r="M24" i="50"/>
  <c r="O24" i="50" s="1"/>
  <c r="P24" i="50" s="1"/>
  <c r="M24" i="48"/>
  <c r="M16" i="52"/>
  <c r="M22" i="51"/>
  <c r="O22" i="51" s="1"/>
  <c r="P22" i="51" s="1"/>
  <c r="M18" i="48"/>
  <c r="M23" i="48"/>
  <c r="L21" i="16"/>
  <c r="M23" i="60"/>
  <c r="M24" i="46"/>
  <c r="O24" i="46" s="1"/>
  <c r="P24" i="46" s="1"/>
  <c r="M20" i="70"/>
  <c r="O20" i="70" s="1"/>
  <c r="P20" i="70" s="1"/>
  <c r="R20" i="70" s="1"/>
  <c r="J15" i="62"/>
  <c r="M24" i="58"/>
  <c r="O24" i="58" s="1"/>
  <c r="P24" i="58" s="1"/>
  <c r="M23" i="66"/>
  <c r="O23" i="66" s="1"/>
  <c r="P23" i="66" s="1"/>
  <c r="M21" i="53"/>
  <c r="O21" i="53" s="1"/>
  <c r="P21" i="53" s="1"/>
  <c r="M24" i="63"/>
  <c r="O24" i="63" s="1"/>
  <c r="P24" i="63" s="1"/>
  <c r="M21" i="68"/>
  <c r="O21" i="68" s="1"/>
  <c r="P21" i="68" s="1"/>
  <c r="J7" i="62"/>
  <c r="K15" i="62"/>
  <c r="J25" i="61"/>
  <c r="P29" i="61" s="1"/>
  <c r="M22" i="64"/>
  <c r="O22" i="64" s="1"/>
  <c r="P22" i="64" s="1"/>
  <c r="M21" i="47"/>
  <c r="O21" i="47" s="1"/>
  <c r="P21" i="47" s="1"/>
  <c r="M17" i="61"/>
  <c r="O17" i="61" s="1"/>
  <c r="P17" i="61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2" i="52"/>
  <c r="O22" i="52" s="1"/>
  <c r="P22" i="52" s="1"/>
  <c r="M24" i="65"/>
  <c r="O24" i="65" s="1"/>
  <c r="P24" i="65" s="1"/>
  <c r="M21" i="69"/>
  <c r="O21" i="69" s="1"/>
  <c r="P21" i="69" s="1"/>
  <c r="M23" i="52"/>
  <c r="O23" i="52" s="1"/>
  <c r="P23" i="52" s="1"/>
  <c r="M22" i="70"/>
  <c r="M20" i="50"/>
  <c r="O20" i="50" s="1"/>
  <c r="P20" i="50" s="1"/>
  <c r="R20" i="50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3" i="64"/>
  <c r="P23" i="64" s="1"/>
  <c r="O24" i="71"/>
  <c r="P24" i="71" s="1"/>
  <c r="O23" i="59"/>
  <c r="P23" i="59" s="1"/>
  <c r="O23" i="69"/>
  <c r="P23" i="69" s="1"/>
  <c r="O24" i="48"/>
  <c r="P24" i="48" s="1"/>
  <c r="O23" i="60"/>
  <c r="P23" i="60" s="1"/>
  <c r="O16" i="64"/>
  <c r="P16" i="64" s="1"/>
  <c r="O17" i="45"/>
  <c r="P17" i="45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31" i="16"/>
  <c r="O32" i="16" s="1"/>
  <c r="O33" i="16" s="1"/>
  <c r="O34" i="16" s="1"/>
  <c r="O35" i="16" s="1"/>
  <c r="M12" i="62"/>
  <c r="O24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69"/>
  <c r="O25" i="48"/>
  <c r="P16" i="70"/>
  <c r="P25" i="70" s="1"/>
  <c r="P16" i="53"/>
  <c r="P25" i="53" s="1"/>
  <c r="O15" i="62"/>
  <c r="P15" i="62" s="1"/>
  <c r="O25" i="55"/>
  <c r="O18" i="16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P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20" i="5"/>
  <c r="O42" i="5"/>
  <c r="P47" i="5"/>
  <c r="P10" i="5"/>
  <c r="P29" i="5"/>
  <c r="O34" i="5"/>
  <c r="O25" i="5"/>
  <c r="P17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<sst xmlns="http://schemas.openxmlformats.org/spreadsheetml/2006/main" count="3948" uniqueCount="534">
  <si>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</si>
  <si>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</si>
  <si>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</si>
  <si>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</si>
  <si>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</si>
  <si>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</si>
  <si>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</si>
  <si>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</si>
  <si>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</si>
  <si>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</si>
  <si>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</si>
  <si>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</si>
  <si>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</si>
  <si>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</si>
  <si>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</si>
  <si>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</si>
  <si>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</si>
  <si>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</si>
  <si>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</si>
  <si>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</si>
  <si>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</si>
  <si>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</si>
  <si>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</si>
  <si>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</si>
  <si>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</si>
  <si>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</si>
  <si>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</si>
  <si>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</si>
  <si>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</si>
  <si>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</si>
  <si>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</si>
  <si>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</si>
  <si>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</si>
  <si>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</si>
  <si>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</si>
  <si>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</si>
  <si>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</si>
  <si>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</si>
  <si>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</si>
  <si>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</si>
  <si>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</si>
  <si>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</si>
  <si>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</si>
  <si>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</si>
  <si>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</si>
  <si>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</si>
  <si>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</si>
  <si>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</si>
  <si>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</si>
  <si>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</si>
  <si>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</si>
  <si>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</si>
  <si>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</si>
  <si>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</si>
  <si>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</si>
  <si>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</si>
  <si>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</si>
  <si>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</si>
  <si>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</si>
  <si>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</si>
  <si>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</si>
  <si>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</si>
  <si>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</si>
  <si>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</si>
  <si>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</si>
  <si>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</si>
  <si>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</si>
  <si>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</si>
  <si>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</si>
  <si>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</si>
  <si>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</si>
  <si>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</si>
  <si>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</si>
  <si>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</si>
  <si>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</si>
  <si>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</si>
  <si>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</si>
  <si>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</si>
  <si>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</si>
  <si>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</si>
  <si>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</si>
  <si>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</si>
  <si>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</si>
  <si>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</si>
  <si>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</si>
  <si>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</si>
  <si>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</si>
  <si>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</si>
  <si>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</si>
  <si>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</si>
  <si>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</si>
  <si>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</si>
  <si>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</si>
  <si>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</si>
  <si>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</si>
  <si>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</si>
  <si>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</si>
  <si>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</si>
  <si>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</si>
  <si>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</si>
  <si>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</si>
  <si>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</si>
  <si>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</si>
  <si>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</si>
  <si>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</si>
  <si>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</si>
  <si>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</si>
  <si>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</si>
  <si>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</si>
  <si>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</si>
  <si>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</si>
  <si>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</si>
  <si>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</si>
  <si>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</si>
  <si>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</si>
  <si>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</si>
  <si>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</si>
  <si>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</si>
  <si>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</si>
  <si>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</si>
  <si>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</si>
  <si>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</si>
  <si>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</si>
  <si>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</si>
  <si>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</si>
  <si>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</si>
  <si>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</si>
  <si>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</si>
  <si>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</si>
  <si>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</si>
  <si>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</si>
  <si>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</si>
  <si>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</si>
  <si>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</si>
  <si>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</si>
  <si>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</si>
  <si>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</si>
  <si>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</si>
  <si>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</si>
  <si>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</si>
  <si>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</si>
  <si>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</si>
  <si>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</si>
  <si>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</si>
  <si>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</si>
  <si>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</si>
  <si>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</si>
  <si>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</si>
  <si>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</si>
  <si>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</si>
  <si>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</si>
  <si>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</si>
  <si>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</si>
  <si>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</si>
  <si>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</si>
  <si>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</si>
  <si>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</si>
  <si>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</si>
  <si>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</si>
  <si>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</si>
  <si>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</si>
  <si>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</si>
  <si>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</si>
  <si>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</si>
  <si>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</si>
  <si>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</si>
  <si>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</si>
  <si>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</si>
  <si>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</si>
  <si>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</si>
  <si>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</si>
  <si>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</si>
  <si>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</si>
  <si>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</si>
  <si>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</si>
  <si>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</si>
  <si>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</si>
  <si>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</si>
  <si>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</si>
  <si>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</si>
  <si>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</si>
  <si>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</si>
  <si>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</si>
  <si>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</si>
  <si>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</si>
  <si>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</si>
  <si>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</si>
  <si>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</si>
  <si>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</si>
  <si>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</si>
  <si>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</si>
  <si>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</si>
  <si>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</si>
  <si>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</si>
  <si>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</si>
  <si>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</si>
  <si>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</si>
  <si>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</si>
  <si>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</si>
  <si>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</si>
  <si>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</si>
  <si>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</si>
  <si>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</si>
  <si>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</si>
  <si>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</si>
  <si>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</si>
  <si>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</si>
  <si>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</si>
  <si>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</si>
  <si>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</si>
  <si>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</si>
  <si>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</si>
  <si>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</si>
  <si>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</si>
  <si>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</si>
  <si>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</si>
  <si>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</si>
  <si>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</si>
  <si>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</si>
  <si>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</si>
  <si>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</si>
  <si>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</si>
  <si>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</si>
  <si>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</si>
  <si>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</si>
  <si>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</si>
  <si>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</si>
  <si>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</si>
  <si>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</si>
  <si>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</si>
  <si>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</si>
  <si>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</si>
  <si>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</si>
  <si>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</si>
  <si>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</si>
  <si>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</si>
  <si>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</si>
  <si>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</si>
  <si>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</si>
  <si>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</si>
  <si>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</si>
  <si>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</si>
  <si>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</si>
  <si>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</si>
  <si>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</si>
  <si>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</si>
  <si>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</si>
  <si>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</si>
  <si>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</si>
  <si>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</si>
  <si>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</si>
  <si>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</si>
  <si>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</si>
  <si>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</si>
  <si>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</si>
  <si>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</si>
  <si>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</si>
  <si>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</si>
  <si>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</si>
  <si>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</si>
  <si>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</si>
  <si>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</si>
  <si>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</si>
  <si>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</si>
  <si>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</si>
  <si>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</si>
  <si>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</si>
  <si>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</si>
  <si>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</si>
  <si>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</si>
  <si>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</si>
  <si>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</si>
  <si>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</si>
  <si>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</si>
  <si>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</si>
  <si>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</si>
  <si>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</si>
  <si>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</si>
  <si>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</si>
  <si>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</si>
  <si>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</si>
  <si>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</si>
  <si>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</si>
  <si>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</si>
  <si>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</si>
  <si>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</si>
  <si>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</si>
  <si>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</si>
  <si>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</si>
  <si>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</si>
  <si>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</si>
  <si>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</si>
  <si>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</si>
  <si>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</si>
  <si>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</si>
  <si>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</si>
  <si>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</si>
  <si>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</si>
  <si>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</si>
  <si>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</si>
  <si>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</si>
  <si>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</si>
  <si>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</si>
  <si>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</si>
  <si>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</si>
  <si>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</si>
  <si>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</si>
  <si>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</si>
  <si>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</si>
  <si>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</si>
  <si>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</si>
  <si>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</si>
  <si>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</si>
  <si>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</si>
  <si>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</si>
  <si>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</si>
  <si>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</si>
  <si>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</si>
  <si>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</si>
  <si>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</si>
  <si>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</si>
  <si>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</si>
  <si>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</si>
  <si>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</si>
  <si>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</si>
  <si>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</si>
  <si>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</si>
  <si>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</si>
  <si>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</si>
  <si>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</si>
  <si>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</si>
  <si>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</si>
  <si>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</si>
  <si>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</si>
  <si>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</si>
  <si>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</si>
  <si>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</si>
  <si>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</si>
  <si>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</si>
  <si>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</si>
  <si>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</si>
  <si>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</si>
  <si>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</si>
  <si>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</si>
  <si>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</si>
  <si>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</si>
  <si>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</si>
  <si>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</si>
  <si>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</si>
  <si>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</si>
  <si>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</si>
  <si>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</si>
  <si>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</si>
  <si>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</si>
  <si>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</si>
  <si>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</si>
  <si>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</si>
  <si>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</si>
  <si>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</si>
  <si>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</si>
  <si>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</si>
  <si>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</si>
  <si>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</si>
  <si>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</si>
  <si>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</si>
  <si>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</si>
  <si>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</si>
  <si>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</si>
  <si>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</si>
  <si>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</si>
  <si>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</si>
  <si>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</si>
  <si>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</si>
  <si>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</si>
  <si>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</si>
  <si>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</si>
  <si>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</si>
  <si>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</si>
  <si>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</si>
  <si>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</si>
  <si>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</si>
  <si>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</si>
  <si>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</si>
  <si>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</si>
  <si>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</si>
  <si>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</si>
  <si>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</si>
  <si>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</si>
  <si>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</si>
  <si>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</si>
  <si>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</si>
  <si>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</si>
  <si>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</si>
  <si>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</si>
  <si>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</si>
  <si>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</si>
  <si>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</si>
  <si>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</si>
  <si>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</si>
  <si>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</si>
  <si>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</si>
  <si>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</si>
  <si>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</si>
  <si>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</si>
  <si>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</si>
  <si>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</si>
  <si>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</si>
  <si>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</si>
  <si>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</si>
  <si>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</si>
  <si>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</si>
  <si>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</si>
  <si>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</si>
  <si>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</si>
  <si>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</si>
  <si>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</si>
  <si>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</si>
  <si>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</si>
  <si>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</si>
  <si>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</si>
  <si>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</si>
  <si>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</si>
  <si>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</si>
  <si>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</si>
  <si>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</si>
  <si>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</si>
  <si>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</si>
  <si>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</si>
  <si>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</si>
  <si>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</si>
  <si>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</si>
  <si>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</si>
  <si>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</si>
  <si>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</si>
  <si>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</si>
  <si>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</si>
  <si>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</si>
  <si>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</si>
  <si>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</si>
  <si>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</si>
  <si>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</si>
  <si>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</si>
  <si>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</si>
  <si>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</si>
  <si>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</si>
  <si>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</si>
  <si>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</si>
  <si>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</si>
  <si>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</si>
  <si>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</si>
  <si>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</si>
  <si>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</si>
  <si>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</si>
  <si>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</si>
  <si>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</si>
  <si>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</si>
  <si>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</si>
  <si>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</si>
  <si>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</si>
  <si>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</si>
  <si>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</si>
  <si>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</si>
  <si>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</si>
  <si>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</si>
  <si>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</si>
  <si>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</si>
  <si>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</si>
  <si>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</si>
  <si>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</si>
  <si>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</si>
  <si>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</si>
  <si>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</si>
  <si>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</si>
  <si>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</si>
  <si>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</si>
  <si>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</si>
  <si>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</si>
  <si>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</si>
  <si>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</si>
  <si>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</si>
  <si>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</si>
  <si>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</si>
  <si>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</si>
  <si>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</si>
  <si>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</si>
  <si>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</si>
  <si>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</si>
  <si>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</si>
  <si>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</si>
  <si>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</si>
  <si>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</si>
  <si>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</si>
  <si>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</si>
  <si>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</si>
  <si>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</si>
  <si>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</si>
  <si>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</si>
  <si>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</si>
  <si>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</si>
  <si>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</si>
  <si>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</si>
  <si>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</si>
  <si>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</si>
  <si>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</si>
  <si>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</si>
  <si>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</si>
  <si>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</si>
  <si>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</si>
  <si>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</si>
  <si>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</si>
  <si>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</si>
  <si>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</si>
  <si>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</si>
  <si>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</si>
  <si>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</si>
  <si>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Ashiyana Store</t>
  </si>
  <si>
    <t xml:space="preserve">Bakhtawer Sweets </t>
  </si>
  <si>
    <t xml:space="preserve">Al Falah Bakers </t>
  </si>
  <si>
    <t>Wali Store</t>
  </si>
  <si>
    <t>Raheem Store</t>
  </si>
  <si>
    <t>Khatak Kareyana Store</t>
  </si>
  <si>
    <t>Mughal Store</t>
  </si>
  <si>
    <t>Faisal Store</t>
  </si>
  <si>
    <t>Khan Store</t>
  </si>
  <si>
    <t>Janjua Store</t>
  </si>
  <si>
    <t>Ali Store</t>
  </si>
  <si>
    <t>Khuram Store</t>
  </si>
  <si>
    <t xml:space="preserve">Ahmad Usman Mart </t>
  </si>
  <si>
    <t>Al Fateh Store</t>
  </si>
  <si>
    <t xml:space="preserve">Hamza Mart </t>
  </si>
  <si>
    <t>Abdullah Store</t>
  </si>
  <si>
    <t>Faiq Jutt Store</t>
  </si>
  <si>
    <t>MG Store</t>
  </si>
  <si>
    <t>Shareef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</si>
</sst>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0" workbookViewId="0">
      <selection activeCell="I17" sqref="I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Ashiyana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Bakhtawer Sweets 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Al Falah Bakers </v>
      </c>
      <c r="T5" s="301">
        <f>+'3'!P35</f>
        <v>405.09473759427965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Wali Store</v>
      </c>
      <c r="T6" s="301">
        <f>+'4'!P35</f>
        <v>339.75773742584738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95</v>
      </c>
      <c r="I7" s="235">
        <f>(G7*D7)*F7+H7*F7</f>
        <v>4983.9375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398.71500000000003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174.43781250000001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4410.7846874999996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941.94915254237242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26.763669200211861</v>
      </c>
      <c r="P7" s="310">
        <f>M7+N7+O7</f>
        <v>5379.4975092425839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</v>
      </c>
      <c r="R7" s="313">
        <v>5</v>
      </c>
      <c r="S7" s="300" t="str">
        <f>+'5'!A6:A6</f>
        <v>Raheem Store</v>
      </c>
      <c r="T7" s="301">
        <f>+'5'!P35</f>
        <v>470.43173776271186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70</v>
      </c>
      <c r="I8" s="236">
        <f t="shared" ref="I8:I14" si="0">(G8*D8)*F8+H8*F8</f>
        <v>3672.375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293.78999999999996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128.53312500000001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3250.0518750000001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694.06779661016913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19.720598358050847</v>
      </c>
      <c r="P8" s="311">
        <f t="shared" ref="P8:P15" si="2">M8+N8+O8</f>
        <v>3963.8402699682201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>Khatak Kareyana Store</v>
      </c>
      <c r="T8" s="301">
        <f>+'6'!P35</f>
        <v>405.09473759427965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55</v>
      </c>
      <c r="I9" s="236">
        <f t="shared" si="0"/>
        <v>2885.4375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230.83499999999998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100.99031250000002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2553.6121874999999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545.33898305084722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15.494755852754237</v>
      </c>
      <c r="P9" s="311">
        <f t="shared" si="2"/>
        <v>3114.4459264036013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10</v>
      </c>
      <c r="R9" s="313">
        <v>7</v>
      </c>
      <c r="S9" s="300" t="str">
        <f>+'7'!A6:A6</f>
        <v>Mughal Store</v>
      </c>
      <c r="T9" s="301">
        <f>+'7'!P35</f>
        <v>339.75773742584738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290.56000000000006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3214.3199999999997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686.44067796610182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19.503803389830512</v>
      </c>
      <c r="P10" s="311">
        <f t="shared" si="2"/>
        <v>3920.2644813559318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3">
        <v>8</v>
      </c>
      <c r="S10" s="300" t="str">
        <f>+'8'!A6:A6</f>
        <v>Faisal Store</v>
      </c>
      <c r="T10" s="301">
        <f>+'8'!P35</f>
        <v>405.09473759427965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3">
        <v>9</v>
      </c>
      <c r="S11" s="300" t="str">
        <f>+'9'!A6:A6</f>
        <v>Khan Store</v>
      </c>
      <c r="T11" s="301">
        <f>+'9'!P35</f>
        <v>470.43173776271186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10</v>
      </c>
      <c r="R12" s="313">
        <v>10</v>
      </c>
      <c r="S12" s="300" t="str">
        <f>+'10'!A6:A6</f>
        <v>Janjua Store</v>
      </c>
      <c r="T12" s="301">
        <f>+'10'!P35</f>
        <v>339.75773742584738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Ali Store</v>
      </c>
      <c r="T13" s="301">
        <f>+'11'!P35</f>
        <v>470.43173776271186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Khuram Store</v>
      </c>
      <c r="T14" s="301">
        <f>+'12'!P35</f>
        <v>405.09473759427965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Ahmad Usman Mart </v>
      </c>
      <c r="T15" s="301">
        <f>+'13'!P35</f>
        <v>4965.6831668008481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8</v>
      </c>
      <c r="H16" s="113">
        <f t="shared" ref="H16:M16" si="3">SUM(H7:H15)</f>
        <v>320</v>
      </c>
      <c r="I16" s="114">
        <f t="shared" si="3"/>
        <v>18805.75</v>
      </c>
      <c r="J16" s="274">
        <f>SUM(J7:J15)</f>
        <v>1504.4600000000003</v>
      </c>
      <c r="K16" s="275">
        <f t="shared" si="3"/>
        <v>658.20125000000007</v>
      </c>
      <c r="L16" s="276">
        <f t="shared" si="3"/>
        <v>0</v>
      </c>
      <c r="M16" s="232">
        <f t="shared" si="3"/>
        <v>16643.088749999999</v>
      </c>
      <c r="N16" s="233">
        <f>SUM(N7:N15)</f>
        <v>3554.2372881355923</v>
      </c>
      <c r="O16" s="101">
        <f>SUM(O7:O15)</f>
        <v>100.98663019067797</v>
      </c>
      <c r="P16" s="113">
        <f>SUM(P7:P15)</f>
        <v>20298.312668326267</v>
      </c>
      <c r="Q16" s="128">
        <f>SUM(Q7:Q15)</f>
        <v>60</v>
      </c>
      <c r="R16" s="313">
        <v>14</v>
      </c>
      <c r="S16" s="315" t="str">
        <f>+'14'!A6:A6</f>
        <v>Al Fateh Store</v>
      </c>
      <c r="T16" s="301">
        <f>+'14'!P35</f>
        <v>2265.051582838983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Hamza Mart </v>
      </c>
      <c r="T17" s="301">
        <f>+'15'!P35</f>
        <v>5401.2631679237293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Abdullah Store</v>
      </c>
      <c r="T18" s="301">
        <f>+'16'!P35</f>
        <v>283.13144785487287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18805.75</v>
      </c>
      <c r="R19" s="299">
        <v>17</v>
      </c>
      <c r="S19" s="300" t="str">
        <f>+'17'!A6:A6</f>
        <v>Faiq Jutt Store</v>
      </c>
      <c r="T19" s="301">
        <f>+'17'!P35</f>
        <v>392.02644813559323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1504.4600000000003</v>
      </c>
      <c r="R20" s="299">
        <v>18</v>
      </c>
      <c r="S20" s="300" t="str">
        <f>+'18'!A6:A6</f>
        <v>MG Store</v>
      </c>
      <c r="T20" s="301">
        <f>+'18'!P35</f>
        <v>270.0631583961864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658.20125000000007</v>
      </c>
      <c r="R21" s="299">
        <v>19</v>
      </c>
      <c r="S21" s="300" t="str">
        <f>+'19'!A6:A6</f>
        <v>Shareef Store</v>
      </c>
      <c r="T21" s="301">
        <f>+'19'!P35</f>
        <v>405.09473759427965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16643.088750000003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3554.2372881355923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20197.326038135594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100.98663019067797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20298.312668326271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20298.312668326274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375.3075</v>
      </c>
      <c r="J25" s="274">
        <f>SUM(J16:J24)</f>
        <v>30.0246</v>
      </c>
      <c r="K25" s="275">
        <f t="shared" si="7"/>
        <v>13.135762500000002</v>
      </c>
      <c r="L25" s="276">
        <f t="shared" si="7"/>
        <v>0</v>
      </c>
      <c r="M25" s="232">
        <f t="shared" si="7"/>
        <v>332.14713749999999</v>
      </c>
      <c r="N25" s="233">
        <f>SUM(N16:N24)</f>
        <v>70.932203389830505</v>
      </c>
      <c r="O25" s="101">
        <f>SUM(O16:O24)</f>
        <v>2.0153967044491523</v>
      </c>
      <c r="P25" s="234">
        <f>SUM(P16:P24)</f>
        <v>405.09473759427965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375.3075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30.0246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13.135762500000002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332.14713749999999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70.932203389830505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403.07934088983052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2.0153967044491528</v>
      </c>
    </row>
    <row r="35" spans="2:16" ht="15.75" customHeight="1" thickBot="1" x14ac:dyDescent="0.4">
      <c r="N35" s="374" t="s">
        <v>88</v>
      </c>
      <c r="O35" s="375"/>
      <c r="P35" s="297">
        <f>+P33+P34</f>
        <v>405.09473759427965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375.3075</v>
      </c>
      <c r="J25" s="274">
        <f>SUM(J16:J24)</f>
        <v>30.0246</v>
      </c>
      <c r="K25" s="275">
        <f t="shared" si="7"/>
        <v>13.135762500000002</v>
      </c>
      <c r="L25" s="276">
        <f t="shared" si="7"/>
        <v>0</v>
      </c>
      <c r="M25" s="232">
        <f t="shared" si="7"/>
        <v>332.14713749999999</v>
      </c>
      <c r="N25" s="233">
        <f>SUM(N16:N24)</f>
        <v>70.932203389830505</v>
      </c>
      <c r="O25" s="101">
        <f>SUM(O16:O24)</f>
        <v>2.0153967044491523</v>
      </c>
      <c r="P25" s="234">
        <f>SUM(P16:P24)</f>
        <v>405.09473759427965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375.3075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30.0246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13.135762500000002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332.14713749999999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70.932203389830505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403.07934088983052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2.0153967044491528</v>
      </c>
    </row>
    <row r="35" spans="2:16" ht="15.75" customHeight="1" thickBot="1" x14ac:dyDescent="0.4">
      <c r="N35" s="374" t="s">
        <v>88</v>
      </c>
      <c r="O35" s="375"/>
      <c r="P35" s="297">
        <f>+P33+P34</f>
        <v>405.09473759427965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375.3075</v>
      </c>
      <c r="J25" s="274">
        <f>SUM(J16:J24)</f>
        <v>30.0246</v>
      </c>
      <c r="K25" s="275">
        <f t="shared" si="7"/>
        <v>13.135762500000002</v>
      </c>
      <c r="L25" s="276">
        <f t="shared" si="7"/>
        <v>0</v>
      </c>
      <c r="M25" s="232">
        <f t="shared" si="7"/>
        <v>332.14713749999999</v>
      </c>
      <c r="N25" s="233">
        <f>SUM(N16:N24)</f>
        <v>70.932203389830505</v>
      </c>
      <c r="O25" s="101">
        <f>SUM(O16:O24)</f>
        <v>2.0153967044491523</v>
      </c>
      <c r="P25" s="234">
        <f>SUM(P16:P24)</f>
        <v>405.09473759427965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375.3075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30.0246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13.135762500000002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332.14713749999999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70.932203389830505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403.07934088983052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2.0153967044491528</v>
      </c>
    </row>
    <row r="35" spans="2:16" ht="15.75" customHeight="1" thickBot="1" x14ac:dyDescent="0.4">
      <c r="N35" s="374" t="s">
        <v>88</v>
      </c>
      <c r="O35" s="375"/>
      <c r="P35" s="297">
        <f>+P33+P34</f>
        <v>405.09473759427965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375.3075</v>
      </c>
      <c r="J25" s="274">
        <f>SUM(J16:J24)</f>
        <v>30.0246</v>
      </c>
      <c r="K25" s="275">
        <f t="shared" si="7"/>
        <v>13.135762500000002</v>
      </c>
      <c r="L25" s="276">
        <f t="shared" si="7"/>
        <v>0</v>
      </c>
      <c r="M25" s="232">
        <f t="shared" si="7"/>
        <v>332.14713749999999</v>
      </c>
      <c r="N25" s="233">
        <f>SUM(N16:N24)</f>
        <v>70.932203389830505</v>
      </c>
      <c r="O25" s="101">
        <f>SUM(O16:O24)</f>
        <v>2.0153967044491523</v>
      </c>
      <c r="P25" s="234">
        <f>SUM(P16:P24)</f>
        <v>405.09473759427965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375.3075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30.0246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13.135762500000002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332.14713749999999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70.932203389830505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403.07934088983052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2.0153967044491528</v>
      </c>
    </row>
    <row r="35" spans="2:16" ht="15.75" customHeight="1" thickBot="1" x14ac:dyDescent="0.4">
      <c r="N35" s="374" t="s">
        <v>88</v>
      </c>
      <c r="O35" s="375"/>
      <c r="P35" s="297">
        <f>+P33+P34</f>
        <v>405.09473759427965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125.91</v>
      </c>
      <c r="K16" s="127">
        <f>$I16*T16</f>
        <v>55.085625000000007</v>
      </c>
      <c r="L16" s="118">
        <f>$I16*U16</f>
        <v>0</v>
      </c>
      <c r="M16" s="229">
        <f>I16-SUM(J16:L16)</f>
        <v>1392.879375</v>
      </c>
      <c r="N16" s="248">
        <f>+(G16*D16+H16)*V16</f>
        <v>297.45762711864393</v>
      </c>
      <c r="O16" s="238">
        <f>(N16+M16)*$O$15</f>
        <v>8.45168501059322</v>
      </c>
      <c r="P16" s="118">
        <f>M16+N16+O16</f>
        <v>1698.7886871292369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4600.55</v>
      </c>
      <c r="J25" s="274">
        <f>SUM(J16:J24)</f>
        <v>368.04400000000004</v>
      </c>
      <c r="K25" s="275">
        <f t="shared" si="7"/>
        <v>161.01925000000003</v>
      </c>
      <c r="L25" s="276">
        <f t="shared" si="7"/>
        <v>0</v>
      </c>
      <c r="M25" s="232">
        <f t="shared" si="7"/>
        <v>4071.48675</v>
      </c>
      <c r="N25" s="233">
        <f>SUM(N16:N24)</f>
        <v>869.49152542372849</v>
      </c>
      <c r="O25" s="101">
        <f>SUM(O16:O24)</f>
        <v>24.704891377118642</v>
      </c>
      <c r="P25" s="234">
        <f>SUM(P16:P24)</f>
        <v>4965.6831668008472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4600.55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368.04400000000004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161.01925000000003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4071.4867500000005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869.49152542372849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4940.9782754237294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24.704891377118649</v>
      </c>
    </row>
    <row r="35" spans="2:16" ht="15.75" customHeight="1" thickBot="1" x14ac:dyDescent="0.4">
      <c r="N35" s="374" t="s">
        <v>88</v>
      </c>
      <c r="O35" s="375"/>
      <c r="P35" s="297">
        <f>+P33+P34</f>
        <v>4965.6831668008481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</v>
      </c>
      <c r="I25" s="114">
        <f t="shared" si="7"/>
        <v>250.20499999999998</v>
      </c>
      <c r="J25" s="274">
        <f>SUM(J16:J24)</f>
        <v>20.016400000000001</v>
      </c>
      <c r="K25" s="275">
        <f t="shared" si="7"/>
        <v>8.7571750000000002</v>
      </c>
      <c r="L25" s="276">
        <f t="shared" si="7"/>
        <v>0</v>
      </c>
      <c r="M25" s="232">
        <f t="shared" si="7"/>
        <v>221.43142499999999</v>
      </c>
      <c r="N25" s="233">
        <f>SUM(N16:N24)</f>
        <v>47.288135593220332</v>
      </c>
      <c r="O25" s="101">
        <f>SUM(O16:O24)</f>
        <v>1.3435978029661015</v>
      </c>
      <c r="P25" s="234">
        <f>SUM(P16:P24)</f>
        <v>270.0631583961864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250.20499999999998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20.016400000000001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8.7571750000000002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221.43142499999999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47.288135593220332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268.71956059322031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1.3435978029661015</v>
      </c>
    </row>
    <row r="35" spans="2:16" ht="15.75" customHeight="1" thickBot="1" x14ac:dyDescent="0.4">
      <c r="N35" s="374" t="s">
        <v>88</v>
      </c>
      <c r="O35" s="375"/>
      <c r="P35" s="297">
        <f>+P33+P34</f>
        <v>270.0631583961864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375.3075</v>
      </c>
      <c r="J25" s="274">
        <f>SUM(J16:J24)</f>
        <v>30.0246</v>
      </c>
      <c r="K25" s="275">
        <f t="shared" si="7"/>
        <v>13.135762500000002</v>
      </c>
      <c r="L25" s="276">
        <f t="shared" si="7"/>
        <v>0</v>
      </c>
      <c r="M25" s="232">
        <f t="shared" si="7"/>
        <v>332.14713749999999</v>
      </c>
      <c r="N25" s="233">
        <f>SUM(N16:N24)</f>
        <v>70.932203389830505</v>
      </c>
      <c r="O25" s="101">
        <f>SUM(O16:O24)</f>
        <v>2.0153967044491523</v>
      </c>
      <c r="P25" s="234">
        <f>SUM(P16:P24)</f>
        <v>405.09473759427965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375.3075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30.0246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13.135762500000002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332.14713749999999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70.932203389830505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403.07934088983052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2.0153967044491528</v>
      </c>
    </row>
    <row r="35" spans="2:16" ht="15.75" customHeight="1" thickBot="1" x14ac:dyDescent="0.4">
      <c r="N35" s="374" t="s">
        <v>88</v>
      </c>
      <c r="O35" s="375"/>
      <c r="P35" s="297">
        <f>+P33+P34</f>
        <v>405.09473759427965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2026-09-28T12:15:59Z</dcterms:modified>
</cp:coreProperties>
</file>