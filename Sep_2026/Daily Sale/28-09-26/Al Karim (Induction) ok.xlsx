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381FFB-52DE-4109-89B1-0D2C5D32E0D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8" i="72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8" i="7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8" i="70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8" i="69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8" i="68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8" i="67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8" i="66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8" i="65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8" i="64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8" i="63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8" i="6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8" i="60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8" i="59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8" i="58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8" i="57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8" i="56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8" i="55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8" i="54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8" i="53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8" i="52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8" i="5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8" i="50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8" i="49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8" i="48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8" i="47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8" i="46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8" i="45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8" i="44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8" i="43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8" i="1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R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71" l="1"/>
  <c r="O20" i="71" s="1"/>
  <c r="P20" i="71" s="1"/>
  <c r="R20" i="71" s="1"/>
  <c r="M20" i="61"/>
  <c r="O20" i="61" s="1"/>
  <c r="P20" i="61" s="1"/>
  <c r="R20" i="61" s="1"/>
  <c r="M20" i="53"/>
  <c r="O20" i="53" s="1"/>
  <c r="P20" i="53" s="1"/>
  <c r="R20" i="53" s="1"/>
  <c r="M20" i="70"/>
  <c r="O20" i="70" s="1"/>
  <c r="P20" i="70" s="1"/>
  <c r="R20" i="70" s="1"/>
  <c r="K12" i="62"/>
  <c r="J25" i="61"/>
  <c r="P29" i="61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21" i="68"/>
  <c r="O21" i="68" s="1"/>
  <c r="P21" i="68" s="1"/>
  <c r="M23" i="44"/>
  <c r="O23" i="44" s="1"/>
  <c r="P23" i="44" s="1"/>
  <c r="M24" i="44"/>
  <c r="O24" i="44" s="1"/>
  <c r="P24" i="44" s="1"/>
  <c r="K15" i="62"/>
  <c r="M24" i="45"/>
  <c r="O24" i="45" s="1"/>
  <c r="P24" i="45" s="1"/>
  <c r="M24" i="58"/>
  <c r="M23" i="54"/>
  <c r="O23" i="54" s="1"/>
  <c r="P23" i="54" s="1"/>
  <c r="M23" i="69"/>
  <c r="M23" i="53"/>
  <c r="O23" i="53" s="1"/>
  <c r="P23" i="53" s="1"/>
  <c r="M24" i="63"/>
  <c r="O24" i="63" s="1"/>
  <c r="P24" i="63" s="1"/>
  <c r="M20" i="57"/>
  <c r="O20" i="57" s="1"/>
  <c r="P20" i="57" s="1"/>
  <c r="R20" i="57" s="1"/>
  <c r="M21" i="52"/>
  <c r="O21" i="52" s="1"/>
  <c r="P21" i="52" s="1"/>
  <c r="M21" i="51"/>
  <c r="M16" i="64"/>
  <c r="M16" i="65"/>
  <c r="M16" i="48"/>
  <c r="M16" i="60"/>
  <c r="M16" i="66"/>
  <c r="M16" i="44"/>
  <c r="M16" i="72"/>
  <c r="M18" i="67"/>
  <c r="O18" i="67" s="1"/>
  <c r="P18" i="67" s="1"/>
  <c r="J7" i="62"/>
  <c r="M16" i="52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P16" i="53"/>
  <c r="P25" i="53" s="1"/>
  <c r="P16" i="70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<sst xmlns="http://schemas.openxmlformats.org/spreadsheetml/2006/main" count="3918" uniqueCount="517">
  <si>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</si>
  <si>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</si>
  <si>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</si>
  <si>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</si>
  <si>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</si>
  <si>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</si>
  <si>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</si>
  <si>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</si>
  <si>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</si>
  <si>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</si>
  <si>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</si>
  <si>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</si>
  <si>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</si>
  <si>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</si>
  <si>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</si>
  <si>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</si>
  <si>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</si>
  <si>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</si>
  <si>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</si>
  <si>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</si>
  <si>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</si>
  <si>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</si>
  <si>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</si>
  <si>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</si>
  <si>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</si>
  <si>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</si>
  <si>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</si>
  <si>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</si>
  <si>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</si>
  <si>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</si>
  <si>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</si>
  <si>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</si>
  <si>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</si>
  <si>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</si>
  <si>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</si>
  <si>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</si>
  <si>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</si>
  <si>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</si>
  <si>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</si>
  <si>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</si>
  <si>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</si>
  <si>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</si>
  <si>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</si>
  <si>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</si>
  <si>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</si>
  <si>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</si>
  <si>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</si>
  <si>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</si>
  <si>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</si>
  <si>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</si>
  <si>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</si>
  <si>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</si>
  <si>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</si>
  <si>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</si>
  <si>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</si>
  <si>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</si>
  <si>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</si>
  <si>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</si>
  <si>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</si>
  <si>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</si>
  <si>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</si>
  <si>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</si>
  <si>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</si>
  <si>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</si>
  <si>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</si>
  <si>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</si>
  <si>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</si>
  <si>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</si>
  <si>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</si>
  <si>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</si>
  <si>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</si>
  <si>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</si>
  <si>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</si>
  <si>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</si>
  <si>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</si>
  <si>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</si>
  <si>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</si>
  <si>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</si>
  <si>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</si>
  <si>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</si>
  <si>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</si>
  <si>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</si>
  <si>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</si>
  <si>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</si>
  <si>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</si>
  <si>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</si>
  <si>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</si>
  <si>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</si>
  <si>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</si>
  <si>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</si>
  <si>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</si>
  <si>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</si>
  <si>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</si>
  <si>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</si>
  <si>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</si>
  <si>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</si>
  <si>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</si>
  <si>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</si>
  <si>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</si>
  <si>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</si>
  <si>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</si>
  <si>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</si>
  <si>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</si>
  <si>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</si>
  <si>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</si>
  <si>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</si>
  <si>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</si>
  <si>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</si>
  <si>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</si>
  <si>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</si>
  <si>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</si>
  <si>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</si>
  <si>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</si>
  <si>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</si>
  <si>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</si>
  <si>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</si>
  <si>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</si>
  <si>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</si>
  <si>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</si>
  <si>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</si>
  <si>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</si>
  <si>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</si>
  <si>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</si>
  <si>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</si>
  <si>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</si>
  <si>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</si>
  <si>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</si>
  <si>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</si>
  <si>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</si>
  <si>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</si>
  <si>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</si>
  <si>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</si>
  <si>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</si>
  <si>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</si>
  <si>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</si>
  <si>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</si>
  <si>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</si>
  <si>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</si>
  <si>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</si>
  <si>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</si>
  <si>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</si>
  <si>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</si>
  <si>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</si>
  <si>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</si>
  <si>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</si>
  <si>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</si>
  <si>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</si>
  <si>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</si>
  <si>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</si>
  <si>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</si>
  <si>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</si>
  <si>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</si>
  <si>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</si>
  <si>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</si>
  <si>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</si>
  <si>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</si>
  <si>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</si>
  <si>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</si>
  <si>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</si>
  <si>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</si>
  <si>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</si>
  <si>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</si>
  <si>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</si>
  <si>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</si>
  <si>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</si>
  <si>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</si>
  <si>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</si>
  <si>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</si>
  <si>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</si>
  <si>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</si>
  <si>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</si>
  <si>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</si>
  <si>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</si>
  <si>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</si>
  <si>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</si>
  <si>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</si>
  <si>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</si>
  <si>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</si>
  <si>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</si>
  <si>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</si>
  <si>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</si>
  <si>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</si>
  <si>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</si>
  <si>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</si>
  <si>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</si>
  <si>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</si>
  <si>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</si>
  <si>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</si>
  <si>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</si>
  <si>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</si>
  <si>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</si>
  <si>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</si>
  <si>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</si>
  <si>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</si>
  <si>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</si>
  <si>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</si>
  <si>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</si>
  <si>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</si>
  <si>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</si>
  <si>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</si>
  <si>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</si>
  <si>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</si>
  <si>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</si>
  <si>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</si>
  <si>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</si>
  <si>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</si>
  <si>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</si>
  <si>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</si>
  <si>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</si>
  <si>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</si>
  <si>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</si>
  <si>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</si>
  <si>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</si>
  <si>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</si>
  <si>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</si>
  <si>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</si>
  <si>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</si>
  <si>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</si>
  <si>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</si>
  <si>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</si>
  <si>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</si>
  <si>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</si>
  <si>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</si>
  <si>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</si>
  <si>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</si>
  <si>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</si>
  <si>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</si>
  <si>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</si>
  <si>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</si>
  <si>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</si>
  <si>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</si>
  <si>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</si>
  <si>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</si>
  <si>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</si>
  <si>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</si>
  <si>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</si>
  <si>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</si>
  <si>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</si>
  <si>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</si>
  <si>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</si>
  <si>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</si>
  <si>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</si>
  <si>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</si>
  <si>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</si>
  <si>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</si>
  <si>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</si>
  <si>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</si>
  <si>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</si>
  <si>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</si>
  <si>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</si>
  <si>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</si>
  <si>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</si>
  <si>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</si>
  <si>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</si>
  <si>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</si>
  <si>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</si>
  <si>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</si>
  <si>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</si>
  <si>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</si>
  <si>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</si>
  <si>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</si>
  <si>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</si>
  <si>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</si>
  <si>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</si>
  <si>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</si>
  <si>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</si>
  <si>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</si>
  <si>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</si>
  <si>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</si>
  <si>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</si>
  <si>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</si>
  <si>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</si>
  <si>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</si>
  <si>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</si>
  <si>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</si>
  <si>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</si>
  <si>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</si>
  <si>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</si>
  <si>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</si>
  <si>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</si>
  <si>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</si>
  <si>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</si>
  <si>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</si>
  <si>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</si>
  <si>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</si>
  <si>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</si>
  <si>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</si>
  <si>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</si>
  <si>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</si>
  <si>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</si>
  <si>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</si>
  <si>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</si>
  <si>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</si>
  <si>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</si>
  <si>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</si>
  <si>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</si>
  <si>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</si>
  <si>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</si>
  <si>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</si>
  <si>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</si>
  <si>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</si>
  <si>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</si>
  <si>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</si>
  <si>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</si>
  <si>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</si>
  <si>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</si>
  <si>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</si>
  <si>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</si>
  <si>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</si>
  <si>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</si>
  <si>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</si>
  <si>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</si>
  <si>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</si>
  <si>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</si>
  <si>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</si>
  <si>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</si>
  <si>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</si>
  <si>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</si>
  <si>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</si>
  <si>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</si>
  <si>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</si>
  <si>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</si>
  <si>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</si>
  <si>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</si>
  <si>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</si>
  <si>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</si>
  <si>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</si>
  <si>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</si>
  <si>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</si>
  <si>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</si>
  <si>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</si>
  <si>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</si>
  <si>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</si>
  <si>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</si>
  <si>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</si>
  <si>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</si>
  <si>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</si>
  <si>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</si>
  <si>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</si>
  <si>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</si>
  <si>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</si>
  <si>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</si>
  <si>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</si>
  <si>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</si>
  <si>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</si>
  <si>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</si>
  <si>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</si>
  <si>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</si>
  <si>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</si>
  <si>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</si>
  <si>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</si>
  <si>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</si>
  <si>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</si>
  <si>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</si>
  <si>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</si>
  <si>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</si>
  <si>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</si>
  <si>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</si>
  <si>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</si>
  <si>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</si>
  <si>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</si>
  <si>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</si>
  <si>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</si>
  <si>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</si>
  <si>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</si>
  <si>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</si>
  <si>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</si>
  <si>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</si>
  <si>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</si>
  <si>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</si>
  <si>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</si>
  <si>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</si>
  <si>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</si>
  <si>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</si>
  <si>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</si>
  <si>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</si>
  <si>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</si>
  <si>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</si>
  <si>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</si>
  <si>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</si>
  <si>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</si>
  <si>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</si>
  <si>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</si>
  <si>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</si>
  <si>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</si>
  <si>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</si>
  <si>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</si>
  <si>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</si>
  <si>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</si>
  <si>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</si>
  <si>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</si>
  <si>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</si>
  <si>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</si>
  <si>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</si>
  <si>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</si>
  <si>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</si>
  <si>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</si>
  <si>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</si>
  <si>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</si>
  <si>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</si>
  <si>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</si>
  <si>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</si>
  <si>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</si>
  <si>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</si>
  <si>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</si>
  <si>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</si>
  <si>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</si>
  <si>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</si>
  <si>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</si>
  <si>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</si>
  <si>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</si>
  <si>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</si>
  <si>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</si>
  <si>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</si>
  <si>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</si>
  <si>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</si>
  <si>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</si>
  <si>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</si>
  <si>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</si>
  <si>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</si>
  <si>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</si>
  <si>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</si>
  <si>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</si>
  <si>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</si>
  <si>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</si>
  <si>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</si>
  <si>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</si>
  <si>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</si>
  <si>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</si>
  <si>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</si>
  <si>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</si>
  <si>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</si>
  <si>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</si>
  <si>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</si>
  <si>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</si>
  <si>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</si>
  <si>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</si>
  <si>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</si>
  <si>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</si>
  <si>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</si>
  <si>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</si>
  <si>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</si>
  <si>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</si>
  <si>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</si>
  <si>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</si>
  <si>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</si>
  <si>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</si>
  <si>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</si>
  <si>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</si>
  <si>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</si>
  <si>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</si>
  <si>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</si>
  <si>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</si>
  <si>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</si>
  <si>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</si>
  <si>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</si>
  <si>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</si>
  <si>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</si>
  <si>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</si>
  <si>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</si>
  <si>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</si>
  <si>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</si>
  <si>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</si>
  <si>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</si>
  <si>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</si>
  <si>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</si>
  <si>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</si>
  <si>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</si>
  <si>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</si>
  <si>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</si>
  <si>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</si>
  <si>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</si>
  <si>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</si>
  <si>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</si>
  <si>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</si>
  <si>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</si>
  <si>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</si>
  <si>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</si>
  <si>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</si>
  <si>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</si>
  <si>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</si>
  <si>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</si>
  <si>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</si>
  <si>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</si>
  <si>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</si>
  <si>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</si>
  <si>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</si>
  <si>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</si>
  <si>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</si>
  <si>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</si>
  <si>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</si>
  <si>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</si>
  <si>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</si>
  <si>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</si>
  <si>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</si>
  <si>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</si>
  <si>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</si>
  <si>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</si>
  <si>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</si>
  <si>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</si>
  <si>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</si>
  <si>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</si>
  <si>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</si>
  <si>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</si>
  <si>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</si>
  <si>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</si>
  <si>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</si>
  <si>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</si>
  <si>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</si>
  <si>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</si>
  <si>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</si>
  <si>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</si>
  <si>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Shakoor </t>
  </si>
  <si>
    <t>Al Karim Departmental Store</t>
  </si>
  <si>
    <t xml:space="preserve">Address: Model Town </t>
  </si>
  <si>
    <t xml:space="preserve">Al Karim Induction 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</si>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</sst>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Al Karim Departmental Store</v>
      </c>
      <c r="T3" s="301">
        <f>+'1'!P35</f>
        <v>56094.675317161011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 Karim Induction </v>
      </c>
      <c r="T4" s="301">
        <f>+'2'!P35</f>
        <v>15087.361500000001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Karim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Karim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7292.2875000000004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10">
        <f>M7+N7+O7</f>
        <v>8514.0360985169482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Karim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7292.2875000000004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1">
        <f t="shared" ref="P8:P15" si="2">M8+N8+O8</f>
        <v>8514.0360985169482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Karim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10754.8125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12791.060164194916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Karim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10096.959999999999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11788.611715254237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Karim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10096.959999999999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11788.611715254237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Karim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14891.199999999997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17710.619525423728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Karim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Karim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Karim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Karim Departmental Store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28</v>
      </c>
      <c r="H16" s="113">
        <f t="shared" ref="H16:M16" si="3">SUM(H7:H15)</f>
        <v>1120</v>
      </c>
      <c r="I16" s="114">
        <f t="shared" si="3"/>
        <v>70057.399999999994</v>
      </c>
      <c r="J16" s="274">
        <f>SUM(J7:J15)</f>
        <v>7706.3140000000003</v>
      </c>
      <c r="K16" s="275">
        <f t="shared" si="3"/>
        <v>1926.5785000000001</v>
      </c>
      <c r="L16" s="276">
        <f t="shared" si="3"/>
        <v>0</v>
      </c>
      <c r="M16" s="232">
        <f t="shared" si="3"/>
        <v>60424.5075</v>
      </c>
      <c r="N16" s="233">
        <f>SUM(N7:N15)</f>
        <v>10403.389830508473</v>
      </c>
      <c r="O16" s="101">
        <f>SUM(O7:O15)</f>
        <v>279.07798665254234</v>
      </c>
      <c r="P16" s="113">
        <f>SUM(P7:P15)</f>
        <v>71106.975317161006</v>
      </c>
      <c r="Q16" s="128">
        <f>SUM(Q7:Q15)</f>
        <v>0</v>
      </c>
      <c r="R16" s="313">
        <v>14</v>
      </c>
      <c r="S16" s="315" t="str">
        <f>+'14'!A6:A6</f>
        <v>Al Karim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Karim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Karim Departmental Store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70057.399999999994</v>
      </c>
      <c r="R19" s="299">
        <v>17</v>
      </c>
      <c r="S19" s="300" t="str">
        <f>+'17'!A6:A6</f>
        <v>Al Karim Departmental Store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7706.3140000000003</v>
      </c>
      <c r="R20" s="299">
        <v>18</v>
      </c>
      <c r="S20" s="300" t="str">
        <f>+'18'!A6:A6</f>
        <v>Al Karim Departmental Store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1926.5785000000001</v>
      </c>
      <c r="R21" s="299">
        <v>19</v>
      </c>
      <c r="S21" s="300" t="str">
        <f>+'19'!A6:A6</f>
        <v>Al Karim Departmental Store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60424.507499999992</v>
      </c>
      <c r="R22" s="299">
        <v>20</v>
      </c>
      <c r="S22" s="300" t="str">
        <f>+'20'!A6:A6</f>
        <v>Al Karim Departmental Store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10403.389830508473</v>
      </c>
      <c r="R23" s="299">
        <v>21</v>
      </c>
      <c r="S23" s="300" t="str">
        <f>+'21'!A6:A6</f>
        <v>Al Karim Departmental Store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70827.897330508466</v>
      </c>
      <c r="R24" s="299">
        <v>22</v>
      </c>
      <c r="S24" s="300" t="str">
        <f>+'22'!A6:A6</f>
        <v>Al Karim Departmental Store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279.07798665254234</v>
      </c>
      <c r="R25" s="299">
        <v>23</v>
      </c>
      <c r="S25" s="300" t="str">
        <f>+'23'!A6:A6</f>
        <v>Al Karim Departmental Store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71106.975317161006</v>
      </c>
      <c r="R26" s="299">
        <v>24</v>
      </c>
      <c r="S26" s="300" t="str">
        <f>+'24'!A6:A6</f>
        <v>Al Karim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Al Karim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Karim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Karim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Karim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Al Karim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Al Karim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71182.036817161017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9"/>
      <c r="S17" s="269"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19"/>
      <c r="R20">
        <f>P20/21</f>
        <v>423.00055786924929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880</v>
      </c>
      <c r="I25" s="114">
        <f t="shared" ref="I25:M25" si="10">SUM(I16:I24)</f>
        <v>55045.1</v>
      </c>
      <c r="J25" s="274">
        <f>SUM(J16:J24)</f>
        <v>7706.3140000000003</v>
      </c>
      <c r="K25" s="275">
        <f t="shared" si="10"/>
        <v>1926.5785000000001</v>
      </c>
      <c r="L25" s="276">
        <f t="shared" si="10"/>
        <v>0</v>
      </c>
      <c r="M25" s="232">
        <f t="shared" si="10"/>
        <v>45412.207499999997</v>
      </c>
      <c r="N25" s="233">
        <f>SUM(N16:N24)</f>
        <v>10403.389830508473</v>
      </c>
      <c r="O25" s="101">
        <f>SUM(O16:O24)</f>
        <v>279.07798665254234</v>
      </c>
      <c r="P25" s="234">
        <f>SUM(P16:P24)</f>
        <v>56094.675317161011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55045.1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7706.3140000000003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1926.5785000000001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45412.207499999997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10403.389830508473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55815.59733050847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279.07798665254234</v>
      </c>
    </row>
    <row r="35" spans="2:16" ht="15.75" customHeight="1" thickBot="1" x14ac:dyDescent="0.4">
      <c r="N35" s="346" t="s">
        <v>88</v>
      </c>
      <c r="O35" s="347"/>
      <c r="P35" s="297">
        <f>+P33+P34</f>
        <v>56094.675317161011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/>
      <c r="K16" s="127"/>
      <c r="L16" s="118"/>
      <c r="M16" s="229"/>
      <c r="N16" s="248"/>
      <c r="O16" s="238"/>
      <c r="P16" s="118"/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/>
      <c r="K17" s="128"/>
      <c r="L17" s="119"/>
      <c r="M17" s="230"/>
      <c r="N17" s="277"/>
      <c r="O17" s="239"/>
      <c r="P17" s="119"/>
      <c r="Q17" s="319"/>
      <c r="S17" s="269">
        <v>0.14000000000000001</v>
      </c>
      <c r="T17" s="270">
        <f>+T16</f>
        <v>0</v>
      </c>
      <c r="U17" s="269"/>
      <c r="V17" s="142">
        <f t="shared" ref="V17:V24" si="1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/>
      <c r="K18" s="128"/>
      <c r="L18" s="119"/>
      <c r="M18" s="230"/>
      <c r="N18" s="277"/>
      <c r="O18" s="239"/>
      <c r="P18" s="119"/>
      <c r="Q18" s="319"/>
      <c r="S18" s="269">
        <f>+S17</f>
        <v>0.14000000000000001</v>
      </c>
      <c r="T18" s="270">
        <f>+T17</f>
        <v>0</v>
      </c>
      <c r="U18" s="269"/>
      <c r="V18" s="142">
        <f t="shared" si="1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/>
      <c r="K19" s="128"/>
      <c r="L19" s="119"/>
      <c r="M19" s="230"/>
      <c r="N19" s="277"/>
      <c r="O19" s="239"/>
      <c r="P19" s="119"/>
      <c r="Q19" s="319"/>
      <c r="S19" s="269">
        <f>+S18</f>
        <v>0.14000000000000001</v>
      </c>
      <c r="T19" s="270">
        <v>0</v>
      </c>
      <c r="U19" s="269"/>
      <c r="V19" s="142">
        <f t="shared" si="1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1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/>
      <c r="K21" s="128"/>
      <c r="L21" s="119"/>
      <c r="M21" s="230"/>
      <c r="N21" s="277"/>
      <c r="O21" s="239"/>
      <c r="P21" s="119"/>
      <c r="Q21" s="319"/>
      <c r="S21" s="269">
        <f>+S20</f>
        <v>0.14000000000000001</v>
      </c>
      <c r="T21" s="270">
        <f>+T20</f>
        <v>0</v>
      </c>
      <c r="U21" s="269"/>
      <c r="V21" s="142">
        <f t="shared" si="1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0</v>
      </c>
      <c r="U22" s="270">
        <v>5.0999999999999997E-2</v>
      </c>
      <c r="V22" s="142">
        <f t="shared" si="1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1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1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2">SUM(G16:G24)</f>
        <v>0</v>
      </c>
      <c r="H25" s="113">
        <f t="shared" si="2"/>
        <v>240</v>
      </c>
      <c r="I25" s="114">
        <f t="shared" si="2"/>
        <v>15012.300000000001</v>
      </c>
      <c r="J25" s="274">
        <f>SUM(J16:J24)</f>
        <v>0</v>
      </c>
      <c r="K25" s="275">
        <f t="shared" si="2"/>
        <v>0</v>
      </c>
      <c r="L25" s="276">
        <f t="shared" si="2"/>
        <v>0</v>
      </c>
      <c r="M25" s="232">
        <f t="shared" si="2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15012.300000000001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15012.300000000001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15012.300000000001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75.061500000000009</v>
      </c>
    </row>
    <row r="35" spans="2:16" ht="15.75" customHeight="1" thickBot="1" x14ac:dyDescent="0.4">
      <c r="N35" s="346" t="s">
        <v>88</v>
      </c>
      <c r="O35" s="347"/>
      <c r="P35" s="297">
        <f>+P33+P34</f>
        <v>15087.361500000001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8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 xml:space="preserve">Shakoor 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0.14000000000000001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v>0.14000000000000001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46294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46293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2026-09-28T06:48:36Z</dcterms:modified>
</cp:coreProperties>
</file>