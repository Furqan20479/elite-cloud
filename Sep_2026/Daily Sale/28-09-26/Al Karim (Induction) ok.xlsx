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ED52F3C-834E-4368-9565-76E0E9BDF300}" xr6:coauthVersionLast="47" xr6:coauthVersionMax="47" xr10:uidLastSave="{00000000-0000-0000-0000-000000000000}"/>
  <bookViews>
    <workbookView xWindow="-110" yWindow="-110" windowWidth="19420" windowHeight="10420" tabRatio="948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8" i="72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8" i="7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8" i="70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8" i="69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8" i="68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8" i="67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8" i="66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8" i="65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8" i="64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8" i="63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8" i="6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8" i="60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8" i="59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8" i="58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8" i="57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8" i="56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8" i="55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8" i="54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8" i="53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8" i="52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8" i="5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8" i="50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8" i="49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8" i="48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8" i="47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8" i="46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8" i="45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8" i="44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8" i="43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5" l="1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8" i="1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I25" i="43"/>
  <c r="P28" i="43" s="1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K24" i="53"/>
  <c r="M24" i="53" s="1"/>
  <c r="O24" i="53" s="1"/>
  <c r="P24" i="53" s="1"/>
  <c r="L24" i="53"/>
  <c r="J24" i="53"/>
  <c r="J24" i="58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R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71" l="1"/>
  <c r="O20" i="71" s="1"/>
  <c r="P20" i="71" s="1"/>
  <c r="R20" i="71" s="1"/>
  <c r="M20" i="61"/>
  <c r="O20" i="61" s="1"/>
  <c r="P20" i="61" s="1"/>
  <c r="R20" i="61" s="1"/>
  <c r="M20" i="53"/>
  <c r="O20" i="53" s="1"/>
  <c r="P20" i="53" s="1"/>
  <c r="R20" i="53" s="1"/>
  <c r="M20" i="70"/>
  <c r="O20" i="70" s="1"/>
  <c r="P20" i="70" s="1"/>
  <c r="R20" i="70" s="1"/>
  <c r="K12" i="62"/>
  <c r="J25" i="61"/>
  <c r="P29" i="61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21" i="68"/>
  <c r="O21" i="68" s="1"/>
  <c r="P21" i="68" s="1"/>
  <c r="M23" i="44"/>
  <c r="O23" i="44" s="1"/>
  <c r="P23" i="44" s="1"/>
  <c r="M24" i="44"/>
  <c r="O24" i="44" s="1"/>
  <c r="P24" i="44" s="1"/>
  <c r="K15" i="62"/>
  <c r="M24" i="45"/>
  <c r="O24" i="45" s="1"/>
  <c r="P24" i="45" s="1"/>
  <c r="M24" i="58"/>
  <c r="M23" i="54"/>
  <c r="O23" i="54" s="1"/>
  <c r="P23" i="54" s="1"/>
  <c r="M23" i="69"/>
  <c r="M23" i="53"/>
  <c r="O23" i="53" s="1"/>
  <c r="P23" i="53" s="1"/>
  <c r="M24" i="63"/>
  <c r="O24" i="63" s="1"/>
  <c r="P24" i="63" s="1"/>
  <c r="M20" i="57"/>
  <c r="O20" i="57" s="1"/>
  <c r="P20" i="57" s="1"/>
  <c r="R20" i="57" s="1"/>
  <c r="M21" i="52"/>
  <c r="O21" i="52" s="1"/>
  <c r="P21" i="52" s="1"/>
  <c r="M21" i="51"/>
  <c r="M16" i="64"/>
  <c r="M16" i="65"/>
  <c r="M16" i="48"/>
  <c r="M16" i="60"/>
  <c r="M16" i="66"/>
  <c r="M16" i="44"/>
  <c r="M16" i="72"/>
  <c r="M18" i="67"/>
  <c r="O18" i="67" s="1"/>
  <c r="P18" i="67" s="1"/>
  <c r="J7" i="62"/>
  <c r="M16" i="52"/>
  <c r="M17" i="60"/>
  <c r="O17" i="60" s="1"/>
  <c r="P17" i="60" s="1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 s="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L25" i="43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69"/>
  <c r="O25" i="55"/>
  <c r="O15" i="62"/>
  <c r="P15" i="62" s="1"/>
  <c r="P16" i="53"/>
  <c r="P25" i="53" s="1"/>
  <c r="P16" i="70"/>
  <c r="O25" i="48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<sst xmlns="http://schemas.openxmlformats.org/spreadsheetml/2006/main" count="3918" uniqueCount="517">
  <si>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</si>
  <si>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</si>
  <si>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</si>
  <si>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</si>
  <si>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</si>
  <si>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</si>
  <si>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</si>
  <si>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</si>
  <si>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</si>
  <si>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</si>
  <si>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</si>
  <si>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</si>
  <si>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</si>
  <si>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</si>
  <si>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</si>
  <si>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</si>
  <si>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</si>
  <si>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</si>
  <si>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</si>
  <si>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</si>
  <si>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</si>
  <si>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</si>
  <si>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</si>
  <si>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</si>
  <si>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</si>
  <si>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</si>
  <si>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</si>
  <si>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</si>
  <si>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</si>
  <si>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</si>
  <si>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</si>
  <si>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</si>
  <si>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</si>
  <si>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</si>
  <si>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</si>
  <si>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</si>
  <si>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</si>
  <si>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</si>
  <si>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</si>
  <si>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</si>
  <si>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</si>
  <si>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</si>
  <si>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</si>
  <si>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</si>
  <si>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</si>
  <si>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</si>
  <si>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</si>
  <si>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</si>
  <si>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</si>
  <si>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</si>
  <si>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</si>
  <si>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</si>
  <si>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</si>
  <si>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</si>
  <si>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</si>
  <si>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</si>
  <si>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</si>
  <si>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</si>
  <si>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</si>
  <si>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</si>
  <si>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</si>
  <si>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</si>
  <si>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</si>
  <si>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</si>
  <si>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</si>
  <si>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</si>
  <si>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</si>
  <si>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</si>
  <si>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</si>
  <si>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</si>
  <si>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</si>
  <si>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</si>
  <si>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</si>
  <si>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</si>
  <si>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</si>
  <si>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</si>
  <si>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</si>
  <si>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</si>
  <si>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</si>
  <si>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</si>
  <si>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</si>
  <si>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</si>
  <si>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</si>
  <si>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</si>
  <si>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</si>
  <si>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</si>
  <si>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</si>
  <si>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</si>
  <si>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</si>
  <si>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</si>
  <si>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</si>
  <si>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</si>
  <si>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</si>
  <si>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</si>
  <si>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</si>
  <si>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</si>
  <si>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</si>
  <si>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</si>
  <si>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</si>
  <si>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</si>
  <si>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</si>
  <si>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</si>
  <si>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</si>
  <si>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</si>
  <si>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</si>
  <si>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</si>
  <si>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</si>
  <si>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</si>
  <si>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</si>
  <si>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</si>
  <si>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</si>
  <si>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</si>
  <si>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</si>
  <si>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</si>
  <si>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</si>
  <si>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</si>
  <si>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</si>
  <si>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</si>
  <si>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</si>
  <si>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</si>
  <si>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</si>
  <si>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</si>
  <si>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</si>
  <si>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</si>
  <si>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</si>
  <si>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</si>
  <si>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</si>
  <si>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</si>
  <si>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</si>
  <si>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</si>
  <si>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</si>
  <si>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</si>
  <si>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</si>
  <si>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</si>
  <si>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</si>
  <si>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</si>
  <si>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</si>
  <si>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</si>
  <si>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</si>
  <si>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</si>
  <si>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</si>
  <si>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</si>
  <si>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</si>
  <si>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</si>
  <si>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</si>
  <si>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</si>
  <si>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</si>
  <si>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</si>
  <si>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</si>
  <si>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</si>
  <si>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</si>
  <si>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</si>
  <si>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</si>
  <si>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</si>
  <si>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</si>
  <si>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</si>
  <si>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</si>
  <si>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</si>
  <si>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</si>
  <si>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</si>
  <si>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</si>
  <si>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</si>
  <si>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</si>
  <si>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</si>
  <si>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</si>
  <si>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</si>
  <si>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</si>
  <si>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</si>
  <si>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</si>
  <si>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</si>
  <si>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</si>
  <si>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</si>
  <si>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</si>
  <si>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</si>
  <si>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</si>
  <si>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</si>
  <si>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</si>
  <si>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</si>
  <si>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</si>
  <si>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</si>
  <si>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</si>
  <si>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</si>
  <si>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</si>
  <si>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</si>
  <si>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</si>
  <si>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</si>
  <si>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</si>
  <si>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</si>
  <si>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</si>
  <si>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</si>
  <si>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</si>
  <si>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</si>
  <si>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</si>
  <si>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</si>
  <si>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</si>
  <si>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</si>
  <si>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</si>
  <si>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</si>
  <si>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</si>
  <si>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</si>
  <si>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</si>
  <si>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</si>
  <si>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</si>
  <si>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</si>
  <si>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</si>
  <si>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</si>
  <si>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</si>
  <si>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</si>
  <si>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</si>
  <si>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</si>
  <si>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</si>
  <si>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</si>
  <si>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</si>
  <si>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</si>
  <si>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</si>
  <si>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</si>
  <si>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</si>
  <si>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</si>
  <si>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</si>
  <si>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</si>
  <si>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</si>
  <si>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</si>
  <si>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</si>
  <si>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</si>
  <si>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</si>
  <si>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</si>
  <si>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</si>
  <si>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</si>
  <si>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</si>
  <si>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</si>
  <si>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</si>
  <si>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</si>
  <si>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</si>
  <si>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</si>
  <si>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</si>
  <si>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</si>
  <si>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</si>
  <si>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</si>
  <si>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</si>
  <si>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</si>
  <si>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</si>
  <si>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</si>
  <si>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</si>
  <si>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</si>
  <si>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</si>
  <si>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</si>
  <si>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</si>
  <si>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</si>
  <si>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</si>
  <si>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</si>
  <si>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</si>
  <si>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</si>
  <si>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</si>
  <si>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</si>
  <si>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</si>
  <si>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</si>
  <si>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</si>
  <si>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</si>
  <si>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</si>
  <si>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</si>
  <si>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</si>
  <si>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</si>
  <si>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</si>
  <si>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</si>
  <si>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</si>
  <si>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</si>
  <si>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</si>
  <si>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</si>
  <si>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</si>
  <si>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</si>
  <si>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</si>
  <si>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</si>
  <si>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</si>
  <si>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</si>
  <si>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</si>
  <si>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</si>
  <si>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</si>
  <si>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</si>
  <si>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</si>
  <si>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</si>
  <si>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</si>
  <si>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</si>
  <si>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</si>
  <si>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</si>
  <si>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</si>
  <si>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</si>
  <si>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</si>
  <si>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</si>
  <si>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</si>
  <si>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</si>
  <si>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</si>
  <si>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</si>
  <si>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</si>
  <si>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</si>
  <si>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</si>
  <si>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</si>
  <si>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</si>
  <si>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</si>
  <si>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</si>
  <si>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</si>
  <si>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</si>
  <si>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</si>
  <si>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</si>
  <si>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</si>
  <si>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</si>
  <si>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</si>
  <si>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</si>
  <si>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</si>
  <si>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</si>
  <si>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</si>
  <si>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</si>
  <si>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</si>
  <si>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</si>
  <si>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</si>
  <si>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</si>
  <si>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</si>
  <si>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</si>
  <si>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</si>
  <si>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</si>
  <si>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</si>
  <si>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</si>
  <si>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</si>
  <si>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</si>
  <si>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</si>
  <si>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</si>
  <si>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</si>
  <si>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</si>
  <si>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</si>
  <si>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</si>
  <si>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</si>
  <si>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</si>
  <si>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</si>
  <si>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</si>
  <si>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</si>
  <si>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</si>
  <si>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</si>
  <si>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</si>
  <si>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</si>
  <si>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</si>
  <si>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</si>
  <si>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</si>
  <si>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</si>
  <si>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</si>
  <si>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</si>
  <si>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</si>
  <si>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</si>
  <si>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</si>
  <si>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</si>
  <si>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</si>
  <si>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</si>
  <si>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</si>
  <si>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</si>
  <si>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</si>
  <si>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</si>
  <si>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</si>
  <si>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</si>
  <si>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</si>
  <si>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</si>
  <si>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</si>
  <si>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</si>
  <si>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</si>
  <si>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</si>
  <si>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</si>
  <si>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</si>
  <si>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</si>
  <si>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</si>
  <si>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</si>
  <si>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</si>
  <si>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</si>
  <si>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</si>
  <si>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</si>
  <si>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</si>
  <si>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</si>
  <si>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</si>
  <si>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</si>
  <si>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</si>
  <si>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</si>
  <si>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</si>
  <si>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</si>
  <si>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</si>
  <si>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</si>
  <si>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</si>
  <si>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</si>
  <si>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</si>
  <si>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</si>
  <si>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</si>
  <si>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</si>
  <si>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</si>
  <si>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</si>
  <si>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</si>
  <si>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</si>
  <si>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</si>
  <si>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</si>
  <si>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</si>
  <si>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</si>
  <si>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</si>
  <si>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</si>
  <si>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</si>
  <si>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</si>
  <si>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</si>
  <si>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</si>
  <si>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</si>
  <si>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</si>
  <si>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</si>
  <si>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</si>
  <si>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</si>
  <si>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</si>
  <si>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</si>
  <si>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</si>
  <si>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</si>
  <si>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</si>
  <si>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</si>
  <si>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</si>
  <si>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</si>
  <si>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</si>
  <si>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</si>
  <si>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</si>
  <si>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</si>
  <si>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</si>
  <si>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</si>
  <si>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</si>
  <si>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</si>
  <si>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</si>
  <si>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</si>
  <si>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</si>
  <si>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</si>
  <si>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</si>
  <si>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</si>
  <si>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</si>
  <si>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</si>
  <si>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</si>
  <si>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</si>
  <si>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</si>
  <si>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</si>
  <si>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</si>
  <si>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</si>
  <si>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</si>
  <si>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</si>
  <si>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</si>
  <si>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</si>
  <si>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</si>
  <si>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</si>
  <si>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</si>
  <si>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</si>
  <si>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</si>
  <si>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</si>
  <si>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</si>
  <si>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</si>
  <si>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</si>
  <si>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</si>
  <si>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</si>
  <si>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</si>
  <si>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</si>
  <si>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</si>
  <si>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</si>
  <si>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</si>
  <si>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</si>
  <si>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</si>
  <si>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</si>
  <si>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</si>
  <si>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</si>
  <si>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</si>
  <si>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</si>
  <si>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</si>
  <si>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</si>
  <si>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</si>
  <si>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</si>
  <si>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</si>
  <si>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</si>
  <si>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</si>
  <si>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</si>
  <si>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</si>
  <si>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</si>
  <si>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</si>
  <si>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</si>
  <si>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</si>
  <si>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</si>
  <si>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</si>
  <si>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</si>
  <si>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</si>
  <si>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</si>
  <si>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</si>
  <si>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</si>
  <si>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</si>
  <si>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</si>
  <si>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</si>
  <si>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</si>
  <si>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</si>
  <si>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</si>
  <si>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</si>
  <si>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</si>
  <si>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</si>
  <si>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</si>
  <si>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</si>
  <si>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</si>
  <si>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</si>
  <si>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</si>
  <si>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</si>
  <si>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</si>
  <si>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</si>
  <si>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</si>
  <si>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</si>
  <si>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</si>
  <si>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</si>
  <si>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</si>
  <si>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</si>
  <si>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</si>
  <si>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</si>
  <si>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</si>
  <si>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</si>
  <si>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</si>
  <si>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</si>
  <si>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Shakoor </t>
  </si>
  <si>
    <t>Al Karim Departmental Store</t>
  </si>
  <si>
    <t xml:space="preserve">Address: Model Town </t>
  </si>
  <si>
    <t xml:space="preserve">Al Karim Induction </t>
  </si>
  <si>
    <t>Invoice No # :0001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</si>
</sst>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512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v>46293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00" t="str">
        <f>+'1'!A6:A6</f>
        <v>Al Karim Departmental Store</v>
      </c>
      <c r="T3" s="301">
        <f>+'1'!P35</f>
        <v>56094.675317161011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Al Karim Induction </v>
      </c>
      <c r="T4" s="301">
        <f>+'2'!P35</f>
        <v>15087.361500000001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Al Karim Departmental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Al Karim Departmental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160</v>
      </c>
      <c r="I7" s="235">
        <f>(G7*D7)*F7+H7*F7</f>
        <v>8394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7292.2875000000004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31.918090042372878</v>
      </c>
      <c r="P7" s="310">
        <f>M7+N7+O7</f>
        <v>8514.0360985169482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Al Karim Departmental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160</v>
      </c>
      <c r="I8" s="236">
        <f t="shared" ref="I8:I14" si="0">(G8*D8)*F8+H8*F8</f>
        <v>8394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881.37000000000012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220.34250000000003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7292.2875000000004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31.918090042372878</v>
      </c>
      <c r="P8" s="311">
        <f t="shared" ref="P8:P15" si="2">M8+N8+O8</f>
        <v>8514.0360985169482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Al Karim Departmental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240</v>
      </c>
      <c r="I9" s="236">
        <f t="shared" si="0"/>
        <v>12591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1468.95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367.23750000000001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10754.8125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1983.0508474576263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53.196816737288138</v>
      </c>
      <c r="P9" s="311">
        <f t="shared" si="2"/>
        <v>12791.060164194916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Al Karim Departmental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160</v>
      </c>
      <c r="I10" s="236">
        <f t="shared" si="0"/>
        <v>11622.4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1220.3520000000001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10096.959999999999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44.194088135593212</v>
      </c>
      <c r="P10" s="311">
        <f t="shared" si="2"/>
        <v>11788.611715254237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Al Karim Departmental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160</v>
      </c>
      <c r="I11" s="236">
        <f t="shared" si="0"/>
        <v>11622.4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1220.3520000000001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305.08800000000002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10096.959999999999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1647.4576271186443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44.194088135593212</v>
      </c>
      <c r="P11" s="311">
        <f t="shared" si="2"/>
        <v>11788.611715254237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Al Karim Departmental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240</v>
      </c>
      <c r="I12" s="236">
        <f t="shared" si="0"/>
        <v>17433.599999999999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2033.9200000000003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508.48000000000008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14891.199999999997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2745.7627118644068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73.656813559322032</v>
      </c>
      <c r="P12" s="311">
        <f t="shared" si="2"/>
        <v>17710.619525423728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Al Karim Departmental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Al Karim Departmental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Al Karim Departmental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Al Karim Departmental Store</v>
      </c>
      <c r="T15" s="301">
        <f>+'13'!P35</f>
        <v>0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117">
        <f>H16/40</f>
        <v>28</v>
      </c>
      <c r="H16" s="113">
        <f t="shared" ref="H16:M16" si="3">SUM(H7:H15)</f>
        <v>1120</v>
      </c>
      <c r="I16" s="114">
        <f t="shared" si="3"/>
        <v>70057.399999999994</v>
      </c>
      <c r="J16" s="274">
        <f>SUM(J7:J15)</f>
        <v>7706.3140000000003</v>
      </c>
      <c r="K16" s="275">
        <f t="shared" si="3"/>
        <v>1926.5785000000001</v>
      </c>
      <c r="L16" s="276">
        <f t="shared" si="3"/>
        <v>0</v>
      </c>
      <c r="M16" s="232">
        <f t="shared" si="3"/>
        <v>60424.5075</v>
      </c>
      <c r="N16" s="233">
        <f>SUM(N7:N15)</f>
        <v>10403.389830508473</v>
      </c>
      <c r="O16" s="101">
        <f>SUM(O7:O15)</f>
        <v>279.07798665254234</v>
      </c>
      <c r="P16" s="113">
        <f>SUM(P7:P15)</f>
        <v>71106.975317161006</v>
      </c>
      <c r="Q16" s="128">
        <f>SUM(Q7:Q15)</f>
        <v>0</v>
      </c>
      <c r="R16" s="313">
        <v>14</v>
      </c>
      <c r="S16" s="315" t="str">
        <f>+'14'!A6:A6</f>
        <v>Al Karim Departmental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Al Karim Departmental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Al Karim Departmental Store</v>
      </c>
      <c r="T18" s="301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70057.399999999994</v>
      </c>
      <c r="R19" s="299">
        <v>17</v>
      </c>
      <c r="S19" s="300" t="str">
        <f>+'17'!A6:A6</f>
        <v>Al Karim Departmental Store</v>
      </c>
      <c r="T19" s="301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7706.3140000000003</v>
      </c>
      <c r="R20" s="299">
        <v>18</v>
      </c>
      <c r="S20" s="300" t="str">
        <f>+'18'!A6:A6</f>
        <v>Al Karim Departmental Store</v>
      </c>
      <c r="T20" s="301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1926.5785000000001</v>
      </c>
      <c r="R21" s="299">
        <v>19</v>
      </c>
      <c r="S21" s="300" t="str">
        <f>+'19'!A6:A6</f>
        <v>Al Karim Departmental Store</v>
      </c>
      <c r="T21" s="301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60424.507499999992</v>
      </c>
      <c r="R22" s="299">
        <v>20</v>
      </c>
      <c r="S22" s="300" t="str">
        <f>+'20'!A6:A6</f>
        <v>Al Karim Departmental Store</v>
      </c>
      <c r="T22" s="301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10403.389830508473</v>
      </c>
      <c r="R23" s="299">
        <v>21</v>
      </c>
      <c r="S23" s="300" t="str">
        <f>+'21'!A6:A6</f>
        <v>Al Karim Departmental Store</v>
      </c>
      <c r="T23" s="301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70827.897330508466</v>
      </c>
      <c r="R24" s="299">
        <v>22</v>
      </c>
      <c r="S24" s="300" t="str">
        <f>+'22'!A6:A6</f>
        <v>Al Karim Departmental Store</v>
      </c>
      <c r="T24" s="301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279.07798665254234</v>
      </c>
      <c r="R25" s="299">
        <v>23</v>
      </c>
      <c r="S25" s="300" t="str">
        <f>+'23'!A6:A6</f>
        <v>Al Karim Departmental Store</v>
      </c>
      <c r="T25" s="301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71106.975317161006</v>
      </c>
      <c r="R26" s="299">
        <v>24</v>
      </c>
      <c r="S26" s="300" t="str">
        <f>+'24'!A6:A6</f>
        <v>Al Karim Departmental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00" t="str">
        <f>+'25'!A6:A6</f>
        <v>Al Karim Departmental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Al Karim Departmental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Al Karim Departmental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Al Karim Departmental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Al Karim Departmental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Al Karim Departmental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71182.036817161017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516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7.2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881.37000000000012</v>
      </c>
      <c r="K16" s="127">
        <f>$I16*T16</f>
        <v>220.34250000000003</v>
      </c>
      <c r="L16" s="118">
        <f>$I16*U16</f>
        <v>0</v>
      </c>
      <c r="M16" s="229">
        <f>I16-SUM(J16:L16)</f>
        <v>5193.7875000000004</v>
      </c>
      <c r="N16" s="248">
        <f>+(G16*D16+H16)*V16</f>
        <v>1189.8305084745757</v>
      </c>
      <c r="O16" s="238">
        <f>(N16+M16)*$O$15</f>
        <v>31.918090042372878</v>
      </c>
      <c r="P16" s="118">
        <f>M16+N16+O16</f>
        <v>6415.5360985169482</v>
      </c>
      <c r="Q16" s="318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881.37000000000012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5193.7875000000004</v>
      </c>
      <c r="N17" s="277">
        <f t="shared" ref="N17:N24" si="3">+(G17*D17+H17)*V17</f>
        <v>1189.8305084745757</v>
      </c>
      <c r="O17" s="239">
        <f t="shared" ref="O17:O24" si="4">(N17+M17)*$O$15</f>
        <v>31.918090042372878</v>
      </c>
      <c r="P17" s="119">
        <f t="shared" ref="P17:P24" si="5">M17+N17+O17</f>
        <v>6415.5360985169482</v>
      </c>
      <c r="Q17" s="319"/>
      <c r="S17" s="269"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ref="I18:I21" si="7">(G18*D18)*F18+H18*F18</f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Q18" s="319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Q19" s="319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Q20" s="319"/>
      <c r="R20">
        <f>P20/21</f>
        <v>423.00055786924929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7"/>
        <v>14528</v>
      </c>
      <c r="J21" s="272">
        <f t="shared" si="1"/>
        <v>2033.9200000000003</v>
      </c>
      <c r="K21" s="128">
        <f t="shared" si="1"/>
        <v>508.48000000000008</v>
      </c>
      <c r="L21" s="119">
        <f t="shared" si="1"/>
        <v>0</v>
      </c>
      <c r="M21" s="230">
        <f t="shared" si="2"/>
        <v>11985.599999999999</v>
      </c>
      <c r="N21" s="277">
        <f t="shared" si="3"/>
        <v>2745.7627118644068</v>
      </c>
      <c r="O21" s="239">
        <f t="shared" si="4"/>
        <v>73.656813559322032</v>
      </c>
      <c r="P21" s="119">
        <f t="shared" si="5"/>
        <v>14805.019525423728</v>
      </c>
      <c r="Q21" s="319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880</v>
      </c>
      <c r="I25" s="114">
        <f t="shared" ref="I25:M25" si="10">SUM(I16:I24)</f>
        <v>55045.1</v>
      </c>
      <c r="J25" s="274">
        <f>SUM(J16:J24)</f>
        <v>7706.3140000000003</v>
      </c>
      <c r="K25" s="275">
        <f t="shared" si="10"/>
        <v>1926.5785000000001</v>
      </c>
      <c r="L25" s="276">
        <f t="shared" si="10"/>
        <v>0</v>
      </c>
      <c r="M25" s="232">
        <f t="shared" si="10"/>
        <v>45412.207499999997</v>
      </c>
      <c r="N25" s="233">
        <f>SUM(N16:N24)</f>
        <v>10403.389830508473</v>
      </c>
      <c r="O25" s="101">
        <f>SUM(O16:O24)</f>
        <v>279.07798665254234</v>
      </c>
      <c r="P25" s="234">
        <f>SUM(P16:P24)</f>
        <v>56094.675317161011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55045.1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7706.3140000000003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1926.5785000000001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45412.207499999997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10403.389830508473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55815.59733050847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279.07798665254234</v>
      </c>
    </row>
    <row r="35" spans="2:16" ht="15.75" customHeight="1" thickBot="1" x14ac:dyDescent="0.4">
      <c r="N35" s="375" t="s">
        <v>88</v>
      </c>
      <c r="O35" s="376"/>
      <c r="P35" s="297">
        <f>+P33+P34</f>
        <v>56094.675317161011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516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/>
      <c r="K16" s="127"/>
      <c r="L16" s="118"/>
      <c r="M16" s="229"/>
      <c r="N16" s="248"/>
      <c r="O16" s="238"/>
      <c r="P16" s="118"/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/>
      <c r="K17" s="128"/>
      <c r="L17" s="119"/>
      <c r="M17" s="230"/>
      <c r="N17" s="277"/>
      <c r="O17" s="239"/>
      <c r="P17" s="119"/>
      <c r="Q17" s="319"/>
      <c r="S17" s="269">
        <v>0.14000000000000001</v>
      </c>
      <c r="T17" s="270">
        <f>+T16</f>
        <v>0</v>
      </c>
      <c r="U17" s="269"/>
      <c r="V17" s="142">
        <f t="shared" ref="V17:V24" si="1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/>
      <c r="K18" s="128"/>
      <c r="L18" s="119"/>
      <c r="M18" s="230"/>
      <c r="N18" s="277"/>
      <c r="O18" s="239"/>
      <c r="P18" s="119"/>
      <c r="Q18" s="319"/>
      <c r="S18" s="269">
        <f>+S17</f>
        <v>0.14000000000000001</v>
      </c>
      <c r="T18" s="270">
        <f>+T17</f>
        <v>0</v>
      </c>
      <c r="U18" s="269"/>
      <c r="V18" s="142">
        <f t="shared" si="1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/>
      <c r="K19" s="128"/>
      <c r="L19" s="119"/>
      <c r="M19" s="230"/>
      <c r="N19" s="277"/>
      <c r="O19" s="239"/>
      <c r="P19" s="119"/>
      <c r="Q19" s="319"/>
      <c r="S19" s="269">
        <f>+S18</f>
        <v>0.14000000000000001</v>
      </c>
      <c r="T19" s="270">
        <v>0</v>
      </c>
      <c r="U19" s="269"/>
      <c r="V19" s="142">
        <f t="shared" si="1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/>
      <c r="K20" s="128"/>
      <c r="L20" s="119"/>
      <c r="M20" s="230"/>
      <c r="N20" s="277"/>
      <c r="O20" s="239"/>
      <c r="P20" s="119"/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1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/>
      <c r="K21" s="128"/>
      <c r="L21" s="119"/>
      <c r="M21" s="230"/>
      <c r="N21" s="277"/>
      <c r="O21" s="239"/>
      <c r="P21" s="119"/>
      <c r="Q21" s="319"/>
      <c r="S21" s="269">
        <f>+S20</f>
        <v>0.14000000000000001</v>
      </c>
      <c r="T21" s="270">
        <f>+T20</f>
        <v>0</v>
      </c>
      <c r="U21" s="269"/>
      <c r="V21" s="142">
        <f t="shared" si="1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/>
      <c r="K22" s="128"/>
      <c r="L22" s="119"/>
      <c r="M22" s="230"/>
      <c r="N22" s="277"/>
      <c r="O22" s="239"/>
      <c r="P22" s="119"/>
      <c r="Q22" s="319"/>
      <c r="S22" s="269">
        <v>0.05</v>
      </c>
      <c r="T22" s="270">
        <v>0</v>
      </c>
      <c r="U22" s="270">
        <v>5.0999999999999997E-2</v>
      </c>
      <c r="V22" s="142">
        <f t="shared" si="1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/>
      <c r="K23" s="128"/>
      <c r="L23" s="119"/>
      <c r="M23" s="230"/>
      <c r="N23" s="277"/>
      <c r="O23" s="239"/>
      <c r="P23" s="119"/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1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/>
      <c r="K24" s="129"/>
      <c r="L24" s="120"/>
      <c r="M24" s="231"/>
      <c r="N24" s="278"/>
      <c r="O24" s="240"/>
      <c r="P24" s="120"/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1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2">SUM(G16:G24)</f>
        <v>0</v>
      </c>
      <c r="H25" s="113">
        <f t="shared" si="2"/>
        <v>240</v>
      </c>
      <c r="I25" s="114">
        <f t="shared" si="2"/>
        <v>15012.300000000001</v>
      </c>
      <c r="J25" s="274">
        <f>SUM(J16:J24)</f>
        <v>0</v>
      </c>
      <c r="K25" s="275">
        <f t="shared" si="2"/>
        <v>0</v>
      </c>
      <c r="L25" s="276">
        <f t="shared" si="2"/>
        <v>0</v>
      </c>
      <c r="M25" s="232">
        <f t="shared" si="2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15012.300000000001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15012.300000000001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15012.300000000001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75.061500000000009</v>
      </c>
    </row>
    <row r="35" spans="2:16" ht="15.75" customHeight="1" thickBot="1" x14ac:dyDescent="0.4">
      <c r="N35" s="375" t="s">
        <v>88</v>
      </c>
      <c r="O35" s="376"/>
      <c r="P35" s="297">
        <f>+P33+P34</f>
        <v>15087.361500000001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8.7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'1'!N4:P5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8.7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18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0.14000000000000001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v>0.14000000000000001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0.14000000000000001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0.14000000000000001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0.14000000000000001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0.14000000000000001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46296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46295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2026-09-30T05:16:41Z</dcterms:modified>
</cp:coreProperties>
</file>