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BF64E98-E3A5-49FB-B537-AD61488389D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<sst xmlns="http://schemas.openxmlformats.org/spreadsheetml/2006/main" count="3918" uniqueCount="517">
  <si>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</si>
  <si>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</si>
  <si>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</si>
  <si>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</si>
  <si>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</si>
  <si>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</si>
  <si>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</si>
  <si>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</si>
  <si>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</si>
  <si>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</si>
  <si>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</si>
  <si>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</si>
  <si>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</si>
  <si>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</si>
  <si>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</si>
  <si>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</si>
  <si>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</si>
  <si>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</si>
  <si>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</si>
  <si>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</si>
  <si>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</si>
  <si>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</si>
  <si>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</si>
  <si>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</si>
  <si>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</si>
  <si>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</si>
  <si>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</si>
  <si>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</si>
  <si>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</si>
  <si>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</si>
  <si>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</si>
  <si>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</si>
  <si>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</si>
  <si>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</si>
  <si>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</si>
  <si>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</si>
  <si>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</si>
  <si>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</si>
  <si>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</si>
  <si>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</si>
  <si>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</si>
  <si>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</si>
  <si>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</si>
  <si>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</si>
  <si>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</si>
  <si>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</si>
  <si>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</si>
  <si>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</si>
  <si>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</si>
  <si>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</si>
  <si>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</si>
  <si>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</si>
  <si>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</si>
  <si>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</si>
  <si>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</si>
  <si>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</si>
  <si>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</si>
  <si>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</si>
  <si>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</si>
  <si>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</si>
  <si>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</si>
  <si>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</si>
  <si>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</si>
  <si>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</si>
  <si>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</si>
  <si>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</si>
  <si>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</si>
  <si>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</si>
  <si>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</si>
  <si>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</si>
  <si>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</si>
  <si>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</si>
  <si>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</si>
  <si>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</si>
  <si>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</si>
  <si>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</si>
  <si>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</si>
  <si>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</si>
  <si>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</si>
  <si>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</si>
  <si>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</si>
  <si>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</si>
  <si>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</si>
  <si>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</si>
  <si>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</si>
  <si>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</si>
  <si>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</si>
  <si>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</si>
  <si>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</si>
  <si>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</si>
  <si>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</si>
  <si>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</si>
  <si>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</si>
  <si>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</si>
  <si>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</si>
  <si>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</si>
  <si>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</si>
  <si>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</si>
  <si>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</si>
  <si>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</si>
  <si>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</si>
  <si>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</si>
  <si>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</si>
  <si>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</si>
  <si>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</si>
  <si>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</si>
  <si>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</si>
  <si>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</si>
  <si>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</si>
  <si>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</si>
  <si>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</si>
  <si>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</si>
  <si>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</si>
  <si>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</si>
  <si>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</si>
  <si>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</si>
  <si>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</si>
  <si>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</si>
  <si>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</si>
  <si>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</si>
  <si>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</si>
  <si>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</si>
  <si>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</si>
  <si>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</si>
  <si>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</si>
  <si>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</si>
  <si>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</si>
  <si>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</si>
  <si>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</si>
  <si>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</si>
  <si>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</si>
  <si>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</si>
  <si>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</si>
  <si>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</si>
  <si>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</si>
  <si>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</si>
  <si>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</si>
  <si>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</si>
  <si>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</si>
  <si>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</si>
  <si>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</si>
  <si>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</si>
  <si>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</si>
  <si>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</si>
  <si>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</si>
  <si>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</si>
  <si>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</si>
  <si>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</si>
  <si>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</si>
  <si>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</si>
  <si>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</si>
  <si>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</si>
  <si>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</si>
  <si>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</si>
  <si>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</si>
  <si>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</si>
  <si>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</si>
  <si>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</si>
  <si>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</si>
  <si>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</si>
  <si>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</si>
  <si>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</si>
  <si>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</si>
  <si>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</si>
  <si>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</si>
  <si>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</si>
  <si>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</si>
  <si>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</si>
  <si>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</si>
  <si>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</si>
  <si>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</si>
  <si>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</si>
  <si>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</si>
  <si>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</si>
  <si>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</si>
  <si>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</si>
  <si>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</si>
  <si>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</si>
  <si>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</si>
  <si>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</si>
  <si>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</si>
  <si>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</si>
  <si>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</si>
  <si>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</si>
  <si>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</si>
  <si>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</si>
  <si>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</si>
  <si>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</si>
  <si>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</si>
  <si>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</si>
  <si>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</si>
  <si>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</si>
  <si>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</si>
  <si>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</si>
  <si>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</si>
  <si>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</si>
  <si>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</si>
  <si>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</si>
  <si>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</si>
  <si>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</si>
  <si>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</si>
  <si>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</si>
  <si>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</si>
  <si>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</si>
  <si>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</si>
  <si>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</si>
  <si>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</si>
  <si>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</si>
  <si>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</si>
  <si>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</si>
  <si>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</si>
  <si>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</si>
  <si>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</si>
  <si>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</si>
  <si>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</si>
  <si>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</si>
  <si>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</si>
  <si>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</si>
  <si>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</si>
  <si>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</si>
  <si>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</si>
  <si>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</si>
  <si>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</si>
  <si>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</si>
  <si>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</si>
  <si>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</si>
  <si>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</si>
  <si>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</si>
  <si>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</si>
  <si>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</si>
  <si>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</si>
  <si>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</si>
  <si>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</si>
  <si>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</si>
  <si>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</si>
  <si>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</si>
  <si>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</si>
  <si>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</si>
  <si>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</si>
  <si>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</si>
  <si>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</si>
  <si>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</si>
  <si>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</si>
  <si>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</si>
  <si>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</si>
  <si>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</si>
  <si>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</si>
  <si>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</si>
  <si>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</si>
  <si>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</si>
  <si>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</si>
  <si>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</si>
  <si>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</si>
  <si>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</si>
  <si>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</si>
  <si>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</si>
  <si>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</si>
  <si>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</si>
  <si>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</si>
  <si>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</si>
  <si>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</si>
  <si>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</si>
  <si>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</si>
  <si>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</si>
  <si>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</si>
  <si>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</si>
  <si>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</si>
  <si>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</si>
  <si>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</si>
  <si>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</si>
  <si>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</si>
  <si>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</si>
  <si>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</si>
  <si>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</si>
  <si>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</si>
  <si>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</si>
  <si>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</si>
  <si>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</si>
  <si>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</si>
  <si>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</si>
  <si>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</si>
  <si>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</si>
  <si>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</si>
  <si>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</si>
  <si>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</si>
  <si>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</si>
  <si>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</si>
  <si>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</si>
  <si>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</si>
  <si>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</si>
  <si>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</si>
  <si>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</si>
  <si>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</si>
  <si>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</si>
  <si>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</si>
  <si>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</si>
  <si>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</si>
  <si>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</si>
  <si>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</si>
  <si>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</si>
  <si>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</si>
  <si>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</si>
  <si>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</si>
  <si>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</si>
  <si>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</si>
  <si>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</si>
  <si>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</si>
  <si>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</si>
  <si>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</si>
  <si>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</si>
  <si>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</si>
  <si>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</si>
  <si>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</si>
  <si>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</si>
  <si>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</si>
  <si>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</si>
  <si>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</si>
  <si>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</si>
  <si>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</si>
  <si>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</si>
  <si>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</si>
  <si>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</si>
  <si>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</si>
  <si>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</si>
  <si>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</si>
  <si>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</si>
  <si>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</si>
  <si>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</si>
  <si>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</si>
  <si>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</si>
  <si>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</si>
  <si>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</si>
  <si>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</si>
  <si>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</si>
  <si>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</si>
  <si>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</si>
  <si>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</si>
  <si>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</si>
  <si>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</si>
  <si>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</si>
  <si>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</si>
  <si>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</si>
  <si>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</si>
  <si>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</si>
  <si>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</si>
  <si>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</si>
  <si>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</si>
  <si>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</si>
  <si>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</si>
  <si>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</si>
  <si>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</si>
  <si>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</si>
  <si>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</si>
  <si>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</si>
  <si>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</si>
  <si>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</si>
  <si>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</si>
  <si>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</si>
  <si>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</si>
  <si>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</si>
  <si>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</si>
  <si>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</si>
  <si>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</si>
  <si>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</si>
  <si>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</si>
  <si>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</si>
  <si>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</si>
  <si>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</si>
  <si>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</si>
  <si>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</si>
  <si>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</si>
  <si>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</si>
  <si>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</si>
  <si>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</si>
  <si>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</si>
  <si>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</si>
  <si>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</si>
  <si>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</si>
  <si>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</si>
  <si>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</si>
  <si>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</si>
  <si>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</si>
  <si>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</si>
  <si>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</si>
  <si>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</si>
  <si>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</si>
  <si>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</si>
  <si>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</si>
  <si>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</si>
  <si>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</si>
  <si>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</si>
  <si>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</si>
  <si>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</si>
  <si>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</si>
  <si>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</si>
  <si>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</si>
  <si>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</si>
  <si>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</si>
  <si>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</si>
  <si>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</si>
  <si>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</si>
  <si>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</si>
  <si>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</si>
  <si>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</si>
  <si>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</si>
  <si>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</si>
  <si>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</si>
  <si>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</si>
  <si>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</si>
  <si>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</si>
  <si>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</si>
  <si>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</si>
  <si>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</si>
  <si>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</si>
  <si>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</si>
  <si>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</si>
  <si>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</si>
  <si>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</si>
  <si>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</si>
  <si>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</si>
  <si>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</si>
  <si>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</si>
  <si>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</si>
  <si>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</si>
  <si>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</si>
  <si>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</si>
  <si>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</si>
  <si>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</si>
  <si>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</si>
  <si>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</si>
  <si>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</si>
  <si>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</si>
  <si>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</si>
  <si>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</si>
  <si>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</si>
  <si>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</si>
  <si>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</si>
  <si>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</si>
  <si>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</si>
  <si>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</si>
  <si>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</si>
  <si>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</si>
  <si>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</si>
  <si>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</si>
  <si>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</si>
  <si>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</si>
  <si>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</si>
  <si>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</si>
  <si>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</si>
  <si>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</si>
  <si>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</si>
  <si>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</si>
  <si>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</si>
  <si>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</si>
  <si>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</si>
  <si>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</si>
  <si>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</si>
  <si>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</si>
  <si>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</si>
  <si>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</si>
  <si>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</si>
  <si>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</si>
  <si>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</si>
  <si>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</si>
  <si>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</si>
  <si>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</si>
  <si>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</si>
  <si>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</si>
  <si>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</si>
  <si>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</si>
  <si>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</si>
  <si>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</si>
  <si>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</si>
  <si>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</si>
  <si>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</si>
  <si>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</si>
  <si>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</si>
  <si>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</si>
  <si>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</si>
  <si>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</si>
  <si>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</si>
  <si>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</si>
  <si>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</si>
  <si>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</si>
  <si>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</si>
  <si>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</si>
  <si>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</si>
  <si>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</si>
  <si>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</si>
  <si>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</si>
  <si>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</si>
  <si>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</si>
  <si>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</si>
  <si>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</si>
  <si>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</si>
  <si>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</si>
  <si>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</si>
  <si>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</si>
  <si>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</si>
  <si>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</si>
  <si>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</si>
  <si>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</si>
  <si>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</si>
  <si>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</si>
  <si>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</si>
  <si>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</si>
  <si>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</si>
  <si>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</si>
  <si>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</si>
  <si>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</si>
  <si>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</si>
  <si>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</si>
  <si>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</si>
  <si>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Victoria Departmental Store</t>
  </si>
  <si>
    <t>NTN #: 1732069-7</t>
  </si>
  <si>
    <t>Address: Link Road</t>
  </si>
  <si>
    <t>Invoice No # :451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</si>
</sst>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Victoria Departmental Store</v>
      </c>
      <c r="T3" s="301">
        <f>+'1'!P35</f>
        <v>45895.643441313558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Victoria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Victoria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Victoria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Victoria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Victoria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Victoria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Victoria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Victoria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Victoria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Victoria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Victoria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Victoria Departmental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</v>
      </c>
      <c r="H16" s="113">
        <f t="shared" ref="H16:M16" si="3">SUM(H7:H15)</f>
        <v>720</v>
      </c>
      <c r="I16" s="114">
        <f t="shared" si="3"/>
        <v>45036.9</v>
      </c>
      <c r="J16" s="274">
        <f>SUM(J7:J15)</f>
        <v>6305.1660000000002</v>
      </c>
      <c r="K16" s="275">
        <f t="shared" si="3"/>
        <v>1576.2915</v>
      </c>
      <c r="L16" s="276">
        <f t="shared" si="3"/>
        <v>0</v>
      </c>
      <c r="M16" s="232">
        <f t="shared" si="3"/>
        <v>37155.442499999997</v>
      </c>
      <c r="N16" s="233">
        <f>SUM(N7:N15)</f>
        <v>8511.8644067796595</v>
      </c>
      <c r="O16" s="101">
        <f>SUM(O7:O15)</f>
        <v>228.33653453389832</v>
      </c>
      <c r="P16" s="113">
        <f>SUM(P7:P15)</f>
        <v>45895.64344131355</v>
      </c>
      <c r="Q16" s="128">
        <f>SUM(Q7:Q15)</f>
        <v>0</v>
      </c>
      <c r="R16" s="313">
        <v>14</v>
      </c>
      <c r="S16" s="315" t="str">
        <f>+'14'!A6:A6</f>
        <v>Victoria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Victoria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Victoria Departmental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45036.9</v>
      </c>
      <c r="R19" s="299">
        <v>17</v>
      </c>
      <c r="S19" s="300" t="str">
        <f>+'17'!A6:A6</f>
        <v>Victoria Departmental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6305.1660000000002</v>
      </c>
      <c r="R20" s="299">
        <v>18</v>
      </c>
      <c r="S20" s="300" t="str">
        <f>+'18'!A6:A6</f>
        <v>Victoria Departmental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1576.2915</v>
      </c>
      <c r="R21" s="299">
        <v>19</v>
      </c>
      <c r="S21" s="300" t="str">
        <f>+'19'!A6:A6</f>
        <v>Victoria Departmental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37155.442500000005</v>
      </c>
      <c r="R22" s="299">
        <v>20</v>
      </c>
      <c r="S22" s="300" t="str">
        <f>+'20'!A6:A6</f>
        <v>Victoria Departmental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8511.8644067796595</v>
      </c>
      <c r="R23" s="299">
        <v>21</v>
      </c>
      <c r="S23" s="300" t="str">
        <f>+'21'!A6:A6</f>
        <v>Victoria Departmental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45667.30690677966</v>
      </c>
      <c r="R24" s="299">
        <v>22</v>
      </c>
      <c r="S24" s="300" t="str">
        <f>+'22'!A6:A6</f>
        <v>Victoria Departmental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228.33653453389832</v>
      </c>
      <c r="R25" s="299">
        <v>23</v>
      </c>
      <c r="S25" s="300" t="str">
        <f>+'23'!A6:A6</f>
        <v>Victoria Departmental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45895.643441313558</v>
      </c>
      <c r="R26" s="299">
        <v>24</v>
      </c>
      <c r="S26" s="300" t="str">
        <f>+'24'!A6:A6</f>
        <v>Victoria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Victoria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Victoria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Victoria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Victoria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Victoria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Victoria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45895.643441313558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1" sqref="E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45036.9</v>
      </c>
      <c r="J25" s="274">
        <f>SUM(J16:J24)</f>
        <v>6305.1660000000002</v>
      </c>
      <c r="K25" s="275">
        <f t="shared" si="10"/>
        <v>1576.2915</v>
      </c>
      <c r="L25" s="276">
        <f t="shared" si="10"/>
        <v>0</v>
      </c>
      <c r="M25" s="232">
        <f t="shared" si="10"/>
        <v>37155.442499999997</v>
      </c>
      <c r="N25" s="233">
        <f>SUM(N16:N24)</f>
        <v>8511.8644067796595</v>
      </c>
      <c r="O25" s="101">
        <f>SUM(O16:O24)</f>
        <v>228.33653453389832</v>
      </c>
      <c r="P25" s="234">
        <f>SUM(P16:P24)</f>
        <v>45895.64344131355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45036.9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6305.1660000000002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1576.2915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37155.442500000005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45667.30690677966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4" t="s">
        <v>88</v>
      </c>
      <c r="O35" s="375"/>
      <c r="P35" s="297">
        <f>+P33+P34</f>
        <v>45895.643441313558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2026-09-28T06:54:20Z</dcterms:modified>
</cp:coreProperties>
</file>