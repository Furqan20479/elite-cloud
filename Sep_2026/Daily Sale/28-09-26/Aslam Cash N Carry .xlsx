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3A6C08F-CD6D-43A0-B0CB-CD71A19BEEF8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<sst xmlns="http://schemas.openxmlformats.org/spreadsheetml/2006/main" count="3918" uniqueCount="516">
  <si>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</si>
  <si>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</si>
  <si>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</si>
  <si>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</si>
  <si>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</si>
  <si>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</si>
  <si>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</si>
  <si>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</si>
  <si>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</si>
  <si>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</si>
  <si>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</si>
  <si>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</si>
  <si>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</si>
  <si>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</si>
  <si>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</si>
  <si>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</si>
  <si>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</si>
  <si>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</si>
  <si>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</si>
  <si>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</si>
  <si>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</si>
  <si>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</si>
  <si>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</si>
  <si>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</si>
  <si>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</si>
  <si>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</si>
  <si>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</si>
  <si>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</si>
  <si>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</si>
  <si>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</si>
  <si>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</si>
  <si>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</si>
  <si>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</si>
  <si>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</si>
  <si>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</si>
  <si>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</si>
  <si>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</si>
  <si>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</si>
  <si>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</si>
  <si>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</si>
  <si>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</si>
  <si>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</si>
  <si>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</si>
  <si>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</si>
  <si>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</si>
  <si>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</si>
  <si>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</si>
  <si>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</si>
  <si>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</si>
  <si>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</si>
  <si>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</si>
  <si>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</si>
  <si>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</si>
  <si>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</si>
  <si>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</si>
  <si>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</si>
  <si>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</si>
  <si>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</si>
  <si>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</si>
  <si>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</si>
  <si>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</si>
  <si>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</si>
  <si>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</si>
  <si>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</si>
  <si>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</si>
  <si>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</si>
  <si>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</si>
  <si>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</si>
  <si>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</si>
  <si>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</si>
  <si>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</si>
  <si>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</si>
  <si>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</si>
  <si>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</si>
  <si>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</si>
  <si>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</si>
  <si>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</si>
  <si>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</si>
  <si>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</si>
  <si>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</si>
  <si>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</si>
  <si>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</si>
  <si>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</si>
  <si>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</si>
  <si>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</si>
  <si>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</si>
  <si>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</si>
  <si>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</si>
  <si>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</si>
  <si>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</si>
  <si>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</si>
  <si>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</si>
  <si>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</si>
  <si>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</si>
  <si>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</si>
  <si>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</si>
  <si>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</si>
  <si>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</si>
  <si>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</si>
  <si>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</si>
  <si>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</si>
  <si>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</si>
  <si>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</si>
  <si>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</si>
  <si>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</si>
  <si>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</si>
  <si>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</si>
  <si>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</si>
  <si>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</si>
  <si>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</si>
  <si>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</si>
  <si>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</si>
  <si>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</si>
  <si>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</si>
  <si>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</si>
  <si>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</si>
  <si>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</si>
  <si>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</si>
  <si>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</si>
  <si>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</si>
  <si>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</si>
  <si>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</si>
  <si>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</si>
  <si>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</si>
  <si>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</si>
  <si>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</si>
  <si>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</si>
  <si>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</si>
  <si>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</si>
  <si>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</si>
  <si>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</si>
  <si>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</si>
  <si>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</si>
  <si>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</si>
  <si>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</si>
  <si>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</si>
  <si>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</si>
  <si>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</si>
  <si>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</si>
  <si>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</si>
  <si>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</si>
  <si>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</si>
  <si>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</si>
  <si>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</si>
  <si>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</si>
  <si>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</si>
  <si>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</si>
  <si>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</si>
  <si>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</si>
  <si>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</si>
  <si>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</si>
  <si>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</si>
  <si>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</si>
  <si>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</si>
  <si>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</si>
  <si>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</si>
  <si>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</si>
  <si>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</si>
  <si>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</si>
  <si>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</si>
  <si>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</si>
  <si>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</si>
  <si>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</si>
  <si>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</si>
  <si>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</si>
  <si>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</si>
  <si>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</si>
  <si>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</si>
  <si>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</si>
  <si>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</si>
  <si>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</si>
  <si>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</si>
  <si>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</si>
  <si>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</si>
  <si>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</si>
  <si>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</si>
  <si>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</si>
  <si>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</si>
  <si>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</si>
  <si>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</si>
  <si>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</si>
  <si>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</si>
  <si>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</si>
  <si>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</si>
  <si>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</si>
  <si>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</si>
  <si>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</si>
  <si>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</si>
  <si>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</si>
  <si>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</si>
  <si>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</si>
  <si>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</si>
  <si>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</si>
  <si>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</si>
  <si>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</si>
  <si>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</si>
  <si>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</si>
  <si>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</si>
  <si>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</si>
  <si>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</si>
  <si>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</si>
  <si>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</si>
  <si>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</si>
  <si>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</si>
  <si>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</si>
  <si>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</si>
  <si>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</si>
  <si>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</si>
  <si>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</si>
  <si>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</si>
  <si>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</si>
  <si>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</si>
  <si>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</si>
  <si>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</si>
  <si>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</si>
  <si>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</si>
  <si>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</si>
  <si>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</si>
  <si>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</si>
  <si>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</si>
  <si>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</si>
  <si>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</si>
  <si>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</si>
  <si>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</si>
  <si>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</si>
  <si>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</si>
  <si>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</si>
  <si>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</si>
  <si>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</si>
  <si>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</si>
  <si>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</si>
  <si>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</si>
  <si>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</si>
  <si>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</si>
  <si>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</si>
  <si>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</si>
  <si>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</si>
  <si>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</si>
  <si>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</si>
  <si>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</si>
  <si>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</si>
  <si>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</si>
  <si>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</si>
  <si>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</si>
  <si>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</si>
  <si>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</si>
  <si>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</si>
  <si>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</si>
  <si>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</si>
  <si>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</si>
  <si>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</si>
  <si>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</si>
  <si>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</si>
  <si>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</si>
  <si>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</si>
  <si>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</si>
  <si>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</si>
  <si>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</si>
  <si>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</si>
  <si>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</si>
  <si>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</si>
  <si>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</si>
  <si>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</si>
  <si>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</si>
  <si>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</si>
  <si>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</si>
  <si>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</si>
  <si>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</si>
  <si>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</si>
  <si>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</si>
  <si>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</si>
  <si>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</si>
  <si>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</si>
  <si>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</si>
  <si>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</si>
  <si>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</si>
  <si>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</si>
  <si>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</si>
  <si>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</si>
  <si>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</si>
  <si>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</si>
  <si>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</si>
  <si>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</si>
  <si>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</si>
  <si>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</si>
  <si>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</si>
  <si>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</si>
  <si>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</si>
  <si>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</si>
  <si>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</si>
  <si>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</si>
  <si>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</si>
  <si>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</si>
  <si>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</si>
  <si>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</si>
  <si>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</si>
  <si>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</si>
  <si>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</si>
  <si>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</si>
  <si>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</si>
  <si>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</si>
  <si>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</si>
  <si>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</si>
  <si>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</si>
  <si>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</si>
  <si>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</si>
  <si>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</si>
  <si>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</si>
  <si>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</si>
  <si>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</si>
  <si>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</si>
  <si>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</si>
  <si>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</si>
  <si>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</si>
  <si>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</si>
  <si>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</si>
  <si>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</si>
  <si>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</si>
  <si>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</si>
  <si>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</si>
  <si>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</si>
  <si>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</si>
  <si>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</si>
  <si>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</si>
  <si>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</si>
  <si>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</si>
  <si>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</si>
  <si>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</si>
  <si>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</si>
  <si>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</si>
  <si>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</si>
  <si>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</si>
  <si>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</si>
  <si>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</si>
  <si>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</si>
  <si>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</si>
  <si>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</si>
  <si>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</si>
  <si>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</si>
  <si>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</si>
  <si>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</si>
  <si>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</si>
  <si>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</si>
  <si>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</si>
  <si>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</si>
  <si>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</si>
  <si>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</si>
  <si>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</si>
  <si>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</si>
  <si>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</si>
  <si>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</si>
  <si>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</si>
  <si>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</si>
  <si>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</si>
  <si>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</si>
  <si>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</si>
  <si>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</si>
  <si>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</si>
  <si>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</si>
  <si>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</si>
  <si>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</si>
  <si>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</si>
  <si>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</si>
  <si>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</si>
  <si>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</si>
  <si>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</si>
  <si>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</si>
  <si>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</si>
  <si>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</si>
  <si>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</si>
  <si>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</si>
  <si>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</si>
  <si>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</si>
  <si>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</si>
  <si>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</si>
  <si>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</si>
  <si>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</si>
  <si>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</si>
  <si>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</si>
  <si>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</si>
  <si>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</si>
  <si>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</si>
  <si>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</si>
  <si>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</si>
  <si>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</si>
  <si>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</si>
  <si>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</si>
  <si>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</si>
  <si>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</si>
  <si>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</si>
  <si>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</si>
  <si>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</si>
  <si>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</si>
  <si>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</si>
  <si>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</si>
  <si>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</si>
  <si>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</si>
  <si>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</si>
  <si>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</si>
  <si>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</si>
  <si>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</si>
  <si>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</si>
  <si>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</si>
  <si>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</si>
  <si>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</si>
  <si>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</si>
  <si>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</si>
  <si>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</si>
  <si>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</si>
  <si>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</si>
  <si>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</si>
  <si>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</si>
  <si>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</si>
  <si>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</si>
  <si>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</si>
  <si>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</si>
  <si>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</si>
  <si>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</si>
  <si>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</si>
  <si>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</si>
  <si>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</si>
  <si>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</si>
  <si>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</si>
  <si>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</si>
  <si>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</si>
  <si>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</si>
  <si>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</si>
  <si>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</si>
  <si>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</si>
  <si>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</si>
  <si>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</si>
  <si>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</si>
  <si>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</si>
  <si>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</si>
  <si>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</si>
  <si>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</si>
  <si>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</si>
  <si>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</si>
  <si>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</si>
  <si>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</si>
  <si>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</si>
  <si>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</si>
  <si>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</si>
  <si>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</si>
  <si>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</si>
  <si>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</si>
  <si>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</si>
  <si>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</si>
  <si>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</si>
  <si>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</si>
  <si>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</si>
  <si>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</si>
  <si>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</si>
  <si>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</si>
  <si>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</si>
  <si>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</si>
  <si>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</si>
  <si>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</si>
  <si>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</si>
  <si>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</si>
  <si>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</si>
  <si>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</si>
  <si>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</si>
  <si>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</si>
  <si>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</si>
  <si>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</si>
  <si>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</si>
  <si>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</si>
  <si>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</si>
  <si>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</si>
  <si>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</si>
  <si>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</si>
  <si>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</si>
  <si>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</si>
  <si>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</si>
  <si>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</si>
  <si>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</si>
  <si>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</si>
  <si>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</si>
  <si>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</si>
  <si>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</si>
  <si>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</si>
  <si>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</si>
  <si>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</si>
  <si>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</si>
  <si>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</si>
  <si>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</si>
  <si>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</si>
  <si>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</si>
  <si>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</si>
  <si>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</si>
  <si>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</si>
  <si>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</si>
  <si>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</si>
  <si>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</si>
  <si>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</si>
  <si>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</si>
  <si>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</si>
  <si>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</si>
  <si>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</si>
  <si>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</si>
  <si>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</si>
  <si>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</si>
  <si>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</si>
  <si>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</si>
  <si>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</si>
  <si>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</si>
  <si>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</si>
  <si>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</si>
  <si>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</si>
  <si>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</si>
  <si>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</si>
  <si>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</si>
  <si>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Aslam Cash N Carry</t>
  </si>
  <si>
    <t>Address: College Road</t>
  </si>
  <si>
    <t>Invoice No # :1210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</si>
</sst>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R11" sqref="R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512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Aslam Cash N Carry</v>
      </c>
      <c r="T3" s="301">
        <f>+'1'!P35</f>
        <v>31804.08454754237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Aslam Cash N Carry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Aslam Cash N Carry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Aslam Cash N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Aslam Cash N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419.70000000000005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3630.4049999999997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22.118126694915251</v>
      </c>
      <c r="P8" s="311">
        <f t="shared" ref="P8:P15" si="2">M8+N8+O8</f>
        <v>4445.7434656779651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Aslam Cash N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629.55000000000007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5445.6075000000001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33.177190042372878</v>
      </c>
      <c r="P9" s="311">
        <f t="shared" si="2"/>
        <v>6668.6151985169481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Aslam Cash N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Aslam Cash N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5026.6880000000001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30.624965423728813</v>
      </c>
      <c r="P11" s="311">
        <f t="shared" si="2"/>
        <v>6155.6180501694917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Aslam Cash N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871.68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7540.0319999999992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45.937448135593222</v>
      </c>
      <c r="P12" s="311">
        <f t="shared" si="2"/>
        <v>9233.4270752542379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Aslam Cash N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Aslam Cash N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Aslam Cash N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Aslam Cash N Carry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12</v>
      </c>
      <c r="H16" s="113">
        <f t="shared" ref="H16:M16" si="3">SUM(H7:H15)</f>
        <v>480</v>
      </c>
      <c r="I16" s="114">
        <f t="shared" si="3"/>
        <v>30024.6</v>
      </c>
      <c r="J16" s="274">
        <f>SUM(J7:J15)</f>
        <v>3002.46</v>
      </c>
      <c r="K16" s="275">
        <f t="shared" si="3"/>
        <v>1050.8610000000001</v>
      </c>
      <c r="L16" s="276">
        <f t="shared" si="3"/>
        <v>0</v>
      </c>
      <c r="M16" s="232">
        <f t="shared" si="3"/>
        <v>25971.279000000002</v>
      </c>
      <c r="N16" s="233">
        <f>SUM(N7:N15)</f>
        <v>5674.57627118644</v>
      </c>
      <c r="O16" s="101">
        <f>SUM(O7:O15)</f>
        <v>158.2292763559322</v>
      </c>
      <c r="P16" s="113">
        <f>SUM(P7:P15)</f>
        <v>31804.08454754237</v>
      </c>
      <c r="Q16" s="128">
        <f>SUM(Q7:Q15)</f>
        <v>0</v>
      </c>
      <c r="R16" s="313">
        <v>14</v>
      </c>
      <c r="S16" s="315" t="str">
        <f>+'14'!A6:A6</f>
        <v>Aslam Cash N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Aslam Cash N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Aslam Cash N Carry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30024.6</v>
      </c>
      <c r="R19" s="299">
        <v>17</v>
      </c>
      <c r="S19" s="300" t="str">
        <f>+'17'!A6:A6</f>
        <v>Aslam Cash N Carry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3002.46</v>
      </c>
      <c r="R20" s="299">
        <v>18</v>
      </c>
      <c r="S20" s="300" t="str">
        <f>+'18'!A6:A6</f>
        <v>Aslam Cash N Carry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1050.8610000000001</v>
      </c>
      <c r="R21" s="299">
        <v>19</v>
      </c>
      <c r="S21" s="300" t="str">
        <f>+'19'!A6:A6</f>
        <v>Aslam Cash N Carry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25971.278999999999</v>
      </c>
      <c r="R22" s="299">
        <v>20</v>
      </c>
      <c r="S22" s="300" t="str">
        <f>+'20'!A6:A6</f>
        <v>Aslam Cash N Carry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5674.57627118644</v>
      </c>
      <c r="R23" s="299">
        <v>21</v>
      </c>
      <c r="S23" s="300" t="str">
        <f>+'21'!A6:A6</f>
        <v>Aslam Cash N Carry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31645.855271186439</v>
      </c>
      <c r="R24" s="299">
        <v>22</v>
      </c>
      <c r="S24" s="300" t="str">
        <f>+'22'!A6:A6</f>
        <v>Aslam Cash N Carry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158.2292763559322</v>
      </c>
      <c r="R25" s="299">
        <v>23</v>
      </c>
      <c r="S25" s="300" t="str">
        <f>+'23'!A6:A6</f>
        <v>Aslam Cash N Carry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31804.08454754237</v>
      </c>
      <c r="R26" s="299">
        <v>24</v>
      </c>
      <c r="S26" s="300" t="str">
        <f>+'24'!A6:A6</f>
        <v>Aslam Cash N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Aslam Cash N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Aslam Cash N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Aslam Cash N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Aslam Cash N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Aslam Cash N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Aslam Cash N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31804.08454754237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419.70000000000005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3630.4049999999997</v>
      </c>
      <c r="N17" s="277">
        <f t="shared" ref="N17:N24" si="3">+(G17*D17+H17)*V17</f>
        <v>793.22033898305051</v>
      </c>
      <c r="O17" s="239">
        <f t="shared" ref="O17:O24" si="4">(N17+M17)*$O$15</f>
        <v>22.118126694915251</v>
      </c>
      <c r="P17" s="119">
        <f t="shared" ref="P17:P24" si="5">M17+N17+O17</f>
        <v>4445.7434656779651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629.55000000000007</v>
      </c>
      <c r="K18" s="128">
        <f t="shared" si="1"/>
        <v>220.34250000000003</v>
      </c>
      <c r="L18" s="119">
        <f t="shared" si="1"/>
        <v>0</v>
      </c>
      <c r="M18" s="230">
        <f t="shared" si="2"/>
        <v>5445.6075000000001</v>
      </c>
      <c r="N18" s="277">
        <f t="shared" si="3"/>
        <v>1189.8305084745757</v>
      </c>
      <c r="O18" s="239">
        <f t="shared" si="4"/>
        <v>33.177190042372878</v>
      </c>
      <c r="P18" s="119">
        <f t="shared" si="5"/>
        <v>6668.6151985169481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119">
        <f t="shared" si="5"/>
        <v>6155.6180501694917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871.68</v>
      </c>
      <c r="K21" s="128">
        <f t="shared" si="1"/>
        <v>305.08800000000002</v>
      </c>
      <c r="L21" s="119">
        <f t="shared" si="1"/>
        <v>0</v>
      </c>
      <c r="M21" s="230">
        <f t="shared" si="2"/>
        <v>7540.0319999999992</v>
      </c>
      <c r="N21" s="277">
        <f t="shared" si="3"/>
        <v>1647.4576271186443</v>
      </c>
      <c r="O21" s="239">
        <f t="shared" si="4"/>
        <v>45.937448135593222</v>
      </c>
      <c r="P21" s="119">
        <f t="shared" si="5"/>
        <v>9233.4270752542379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30024.6</v>
      </c>
      <c r="J25" s="274">
        <f>SUM(J16:J24)</f>
        <v>3002.46</v>
      </c>
      <c r="K25" s="275">
        <f t="shared" si="10"/>
        <v>1050.8610000000001</v>
      </c>
      <c r="L25" s="276">
        <f t="shared" si="10"/>
        <v>0</v>
      </c>
      <c r="M25" s="232">
        <f t="shared" si="10"/>
        <v>25971.279000000002</v>
      </c>
      <c r="N25" s="233">
        <f>SUM(N16:N24)</f>
        <v>5674.57627118644</v>
      </c>
      <c r="O25" s="101">
        <f>SUM(O16:O24)</f>
        <v>158.2292763559322</v>
      </c>
      <c r="P25" s="234">
        <f>SUM(P16:P24)</f>
        <v>31804.08454754237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30024.6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3002.46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1050.8610000000001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25971.278999999999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5674.57627118644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31645.855271186439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158.2292763559322</v>
      </c>
    </row>
    <row r="35" spans="2:16" ht="15.75" customHeight="1" thickBot="1" x14ac:dyDescent="0.4">
      <c r="N35" s="374" t="s">
        <v>88</v>
      </c>
      <c r="O35" s="375"/>
      <c r="P35" s="297">
        <f>+P33+P34</f>
        <v>31804.08454754237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2026-09-28T06:26:26Z</dcterms:modified>
</cp:coreProperties>
</file>